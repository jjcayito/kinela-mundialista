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c50fdfbba445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a93ac4e3e0214d74"/>
    <x:sheet xmlns:r="http://schemas.openxmlformats.org/officeDocument/2006/relationships" name="Reglas" sheetId="2" r:id="R12c395aff0f746fa"/>
    <x:sheet xmlns:r="http://schemas.openxmlformats.org/officeDocument/2006/relationships" name="Resultados" sheetId="3" r:id="Rcc05ae7b088944d9"/>
    <x:sheet xmlns:r="http://schemas.openxmlformats.org/officeDocument/2006/relationships" name="Posiciones" sheetId="4" r:id="R3188b4102e4443bb"/>
    <x:sheet xmlns:r="http://schemas.openxmlformats.org/officeDocument/2006/relationships" name="Detalle_Formulas" sheetId="5" r:id="Rbe43a9a6d8e64699"/>
    <x:sheet xmlns:r="http://schemas.openxmlformats.org/officeDocument/2006/relationships" name="8vos_Acumulado" sheetId="6" r:id="Rd95aa6ea9f824a39"/>
    <x:sheet xmlns:r="http://schemas.openxmlformats.org/officeDocument/2006/relationships" name="Validaciones" sheetId="7" r:id="R953db8943bfe43a4"/>
    <x:sheet xmlns:r="http://schemas.openxmlformats.org/officeDocument/2006/relationships" name="Fuentes" sheetId="8" r:id="R726022c8364a43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2" borderId="0" xfId="0" applyNumberFormat="1" applyFont="1" applyFill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b3048dc1064ebe" /><Relationship Type="http://schemas.openxmlformats.org/officeDocument/2006/relationships/theme" Target="/xl/theme/theme1.xml" Id="R1aaa85724e904b9c" /><Relationship Type="http://schemas.openxmlformats.org/officeDocument/2006/relationships/sharedStrings" Target="/xl/sharedStrings.xml" Id="R2104c8f316d64a2d" /><Relationship Type="http://schemas.openxmlformats.org/officeDocument/2006/relationships/worksheet" Target="/xl/worksheets/sheet1.xml" Id="Ra93ac4e3e0214d74" /><Relationship Type="http://schemas.openxmlformats.org/officeDocument/2006/relationships/worksheet" Target="/xl/worksheets/sheet2.xml" Id="R12c395aff0f746fa" /><Relationship Type="http://schemas.openxmlformats.org/officeDocument/2006/relationships/worksheet" Target="/xl/worksheets/sheet3.xml" Id="Rcc05ae7b088944d9" /><Relationship Type="http://schemas.openxmlformats.org/officeDocument/2006/relationships/worksheet" Target="/xl/worksheets/sheet4.xml" Id="R3188b4102e4443bb" /><Relationship Type="http://schemas.openxmlformats.org/officeDocument/2006/relationships/worksheet" Target="/xl/worksheets/sheet5.xml" Id="Rbe43a9a6d8e64699" /><Relationship Type="http://schemas.openxmlformats.org/officeDocument/2006/relationships/worksheet" Target="/xl/worksheets/sheet6.xml" Id="Rd95aa6ea9f824a39" /><Relationship Type="http://schemas.openxmlformats.org/officeDocument/2006/relationships/worksheet" Target="/xl/worksheets/sheet7.xml" Id="R953db8943bfe43a4" /><Relationship Type="http://schemas.openxmlformats.org/officeDocument/2006/relationships/worksheet" Target="/xl/worksheets/sheet8.xml" Id="R726022c8364a43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4.25" hidden="0" customWidth="1"/>
    <x:col min="2" max="2" width="105.87999725341797" hidden="0" customWidth="1"/>
    <x:col min="3" max="3" width="10.25" hidden="0" customWidth="1"/>
    <x:col min="4" max="4" width="10.25" hidden="0" customWidth="1"/>
    <x:col min="5" max="5" width="6.380000114440918" hidden="0" customWidth="1"/>
    <x:col min="6" max="6" width="5" hidden="0" customWidth="1"/>
    <x:col min="7" max="7" width="5.880000114440918" hidden="0" customWidth="1"/>
    <x:col min="8" max="8" width="13.380000114440918" hidden="0" customWidth="1"/>
  </x:cols>
  <x:sheetData>
    <x:row r="1" ht="19.200000762939453" hidden="0" customHeight="1">
      <x:c r="A1" s="4" t="str">
        <x:v>Kinela Mundialista - auditoria completa</x:v>
      </x:c>
      <x:c r="B1"/>
      <x:c r="C1"/>
      <x:c r="D1"/>
      <x:c r="E1"/>
      <x:c r="F1"/>
      <x:c r="G1"/>
      <x:c r="H1"/>
    </x:row>
    <x:row r="2" ht="15" hidden="0" customHeight="1">
      <x:c r="A2" t="str">
        <x:v>Actualizado</x:v>
      </x:c>
      <x:c r="B2" t="str">
        <x:v>2026-07-19</x:v>
      </x:c>
      <x:c r="C2"/>
      <x:c r="D2"/>
      <x:c r="E2"/>
      <x:c r="F2"/>
      <x:c r="G2"/>
      <x:c r="H2"/>
    </x:row>
    <x:row r="3" ht="15" hidden="0" customHeight="1">
      <x:c r="A3" t="str">
        <x:v>Lider publico</x:v>
      </x:c>
      <x:c r="B3" t="str">
        <x:v>Jean</x:v>
      </x:c>
      <x:c r="C3" t="n">
        <x:v>122</x:v>
      </x:c>
      <x:c r="D3"/>
      <x:c r="E3"/>
      <x:c r="F3"/>
      <x:c r="G3"/>
      <x:c r="H3"/>
    </x:row>
    <x:row r="4" ht="15" hidden="0" customHeight="1">
      <x:c r="A4" t="str">
        <x:v>Total partidos auditados</x:v>
      </x:c>
      <x:c r="B4" t="n">
        <x:v>16</x:v>
      </x:c>
      <x:c r="C4"/>
      <x:c r="D4"/>
      <x:c r="E4"/>
      <x:c r="F4"/>
      <x:c r="G4"/>
      <x:c r="H4"/>
    </x:row>
    <x:row r="5" ht="15" hidden="0" customHeight="1">
      <x:c r="A5" t="str">
        <x:v>Regla critica</x:v>
      </x:c>
      <x:c r="B5" t="str">
        <x:v>Si el clasificado/gandor no coincide con el oficial, ese partido suma 0.</x:v>
      </x:c>
      <x:c r="C5"/>
      <x:c r="D5"/>
      <x:c r="E5"/>
      <x:c r="F5"/>
      <x:c r="G5"/>
      <x:c r="H5"/>
    </x:row>
    <x:row r="6" ht="15" hidden="0" customHeight="1">
      <x:c r="A6" t="str">
        <x:v>Observacion octavos</x:v>
      </x:c>
      <x:c r="B6" t="str">
        <x:v>La tabla publica conserva la base cerrada de octavos. La hoja Posiciones tambien muestra el recalculo disponible y la diferencia para auditoria.</x:v>
      </x:c>
      <x:c r="C6"/>
      <x:c r="D6"/>
      <x:c r="E6"/>
      <x:c r="F6"/>
      <x:c r="G6"/>
      <x:c r="H6"/>
    </x:row>
    <x:row r="7" ht="15" hidden="0" customHeight="1">
      <x:c r="A7"/>
      <x:c r="B7"/>
      <x:c r="C7"/>
      <x:c r="D7"/>
      <x:c r="E7"/>
      <x:c r="F7"/>
      <x:c r="G7"/>
      <x:c r="H7"/>
    </x:row>
    <x:row r="8" ht="15" hidden="0" customHeight="1">
      <x:c r="A8" s="2" t="str">
        <x:v>Top</x:v>
      </x:c>
      <x:c r="B8" s="2" t="str">
        <x:v>Participante</x:v>
      </x:c>
      <x:c r="C8" s="2" t="str">
        <x:v>Total publico</x:v>
      </x:c>
      <x:c r="D8" s="2" t="str">
        <x:v>8vos cerrado</x:v>
      </x:c>
      <x:c r="E8" s="2" t="str">
        <x:v>Cuartos</x:v>
      </x:c>
      <x:c r="F8" s="2" t="str">
        <x:v>Semis</x:v>
      </x:c>
      <x:c r="G8" s="2" t="str">
        <x:v>Finales</x:v>
      </x:c>
      <x:c r="H8" s="2" t="str">
        <x:v>Total recalculado</x:v>
      </x:c>
    </x:row>
    <x:row r="9" ht="15" hidden="0" customHeight="1">
      <x:c r="A9" t="n">
        <x:v>1</x:v>
      </x:c>
      <x:c r="B9" t="str">
        <x:v>Jean</x:v>
      </x:c>
      <x:c r="C9" t="n">
        <x:v>122</x:v>
      </x:c>
      <x:c r="D9" t="n">
        <x:v>75</x:v>
      </x:c>
      <x:c r="E9" t="n">
        <x:v>29</x:v>
      </x:c>
      <x:c r="F9" t="n">
        <x:v>18</x:v>
      </x:c>
      <x:c r="G9" t="n">
        <x:v>0</x:v>
      </x:c>
      <x:c r="H9" t="n">
        <x:v>119</x:v>
      </x:c>
    </x:row>
    <x:row r="10" ht="15" hidden="0" customHeight="1">
      <x:c r="A10" t="n">
        <x:v>2</x:v>
      </x:c>
      <x:c r="B10" t="str">
        <x:v>Jorge</x:v>
      </x:c>
      <x:c r="C10" t="n">
        <x:v>108</x:v>
      </x:c>
      <x:c r="D10" t="n">
        <x:v>61</x:v>
      </x:c>
      <x:c r="E10" t="n">
        <x:v>23</x:v>
      </x:c>
      <x:c r="F10" t="n">
        <x:v>21</x:v>
      </x:c>
      <x:c r="G10" t="n">
        <x:v>3</x:v>
      </x:c>
      <x:c r="H10" t="n">
        <x:v>99</x:v>
      </x:c>
    </x:row>
    <x:row r="11" ht="15" hidden="0" customHeight="1">
      <x:c r="A11" t="n">
        <x:v>3</x:v>
      </x:c>
      <x:c r="B11" t="str">
        <x:v>Freddy</x:v>
      </x:c>
      <x:c r="C11" t="n">
        <x:v>108</x:v>
      </x:c>
      <x:c r="D11" t="n">
        <x:v>70</x:v>
      </x:c>
      <x:c r="E11" t="n">
        <x:v>35</x:v>
      </x:c>
      <x:c r="F11" t="n">
        <x:v>3</x:v>
      </x:c>
      <x:c r="G11" t="n">
        <x:v>0</x:v>
      </x:c>
      <x:c r="H11" t="n">
        <x:v>106</x:v>
      </x:c>
    </x:row>
    <x:row r="12" ht="15" hidden="0" customHeight="1">
      <x:c r="A12" t="n">
        <x:v>4</x:v>
      </x:c>
      <x:c r="B12" t="str">
        <x:v>Jesús</x:v>
      </x:c>
      <x:c r="C12" t="n">
        <x:v>95</x:v>
      </x:c>
      <x:c r="D12" t="n">
        <x:v>59</x:v>
      </x:c>
      <x:c r="E12" t="n">
        <x:v>33</x:v>
      </x:c>
      <x:c r="F12" t="n">
        <x:v>0</x:v>
      </x:c>
      <x:c r="G12" t="n">
        <x:v>3</x:v>
      </x:c>
      <x:c r="H12" t="n">
        <x:v>93</x:v>
      </x:c>
    </x:row>
    <x:row r="13" ht="15" hidden="0" customHeight="1">
      <x:c r="A13" t="n">
        <x:v>5</x:v>
      </x:c>
      <x:c r="B13" t="str">
        <x:v>Gabriela</x:v>
      </x:c>
      <x:c r="C13" t="n">
        <x:v>95</x:v>
      </x:c>
      <x:c r="D13" t="n">
        <x:v>61</x:v>
      </x:c>
      <x:c r="E13" t="n">
        <x:v>14</x:v>
      </x:c>
      <x:c r="F13" t="n">
        <x:v>0</x:v>
      </x:c>
      <x:c r="G13" t="n">
        <x:v>20</x:v>
      </x:c>
      <x:c r="H13" t="n">
        <x:v>95</x:v>
      </x:c>
    </x:row>
    <x:row r="14" ht="15" hidden="0" customHeight="1">
      <x:c r="A14" t="n">
        <x:v>6</x:v>
      </x:c>
      <x:c r="B14" t="str">
        <x:v>Alex</x:v>
      </x:c>
      <x:c r="C14" t="n">
        <x:v>93</x:v>
      </x:c>
      <x:c r="D14" t="n">
        <x:v>49</x:v>
      </x:c>
      <x:c r="E14" t="n">
        <x:v>29</x:v>
      </x:c>
      <x:c r="F14" t="n">
        <x:v>3</x:v>
      </x:c>
      <x:c r="G14" t="n">
        <x:v>12</x:v>
      </x:c>
      <x:c r="H14" t="n">
        <x:v>88</x:v>
      </x:c>
    </x:row>
    <x:row r="15" ht="15" hidden="0" customHeight="1">
      <x:c r="A15" t="n">
        <x:v>7</x:v>
      </x:c>
      <x:c r="B15" t="str">
        <x:v>Diego</x:v>
      </x:c>
      <x:c r="C15" t="n">
        <x:v>91</x:v>
      </x:c>
      <x:c r="D15" t="n">
        <x:v>56</x:v>
      </x:c>
      <x:c r="E15" t="n">
        <x:v>32</x:v>
      </x:c>
      <x:c r="F15" t="n">
        <x:v>3</x:v>
      </x:c>
      <x:c r="G15" t="n">
        <x:v>0</x:v>
      </x:c>
      <x:c r="H15" t="n">
        <x:v>82</x:v>
      </x:c>
    </x:row>
    <x:row r="16" ht="15" hidden="0" customHeight="1">
      <x:c r="A16" t="n">
        <x:v>8</x:v>
      </x:c>
      <x:c r="B16" t="str">
        <x:v>Anny</x:v>
      </x:c>
      <x:c r="C16" t="n">
        <x:v>89</x:v>
      </x:c>
      <x:c r="D16" t="n">
        <x:v>59</x:v>
      </x:c>
      <x:c r="E16" t="n">
        <x:v>17</x:v>
      </x:c>
      <x:c r="F16" t="n">
        <x:v>3</x:v>
      </x:c>
      <x:c r="G16" t="n">
        <x:v>10</x:v>
      </x:c>
      <x:c r="H16" t="n">
        <x:v>78</x:v>
      </x:c>
    </x:row>
    <x:row r="17" ht="15" hidden="0" customHeight="1">
      <x:c r="A17" t="n">
        <x:v>9</x:v>
      </x:c>
      <x:c r="B17" t="str">
        <x:v>Aldo</x:v>
      </x:c>
      <x:c r="C17" t="n">
        <x:v>88</x:v>
      </x:c>
      <x:c r="D17" t="n">
        <x:v>50</x:v>
      </x:c>
      <x:c r="E17" t="n">
        <x:v>17</x:v>
      </x:c>
      <x:c r="F17" t="n">
        <x:v>6</x:v>
      </x:c>
      <x:c r="G17" t="n">
        <x:v>15</x:v>
      </x:c>
      <x:c r="H17" t="n">
        <x:v>83</x:v>
      </x:c>
    </x:row>
    <x:row r="18" ht="15" hidden="0" customHeight="1">
      <x:c r="A18" t="n">
        <x:v>10</x:v>
      </x:c>
      <x:c r="B18" t="str">
        <x:v>Arthur</x:v>
      </x:c>
      <x:c r="C18" t="n">
        <x:v>86</x:v>
      </x:c>
      <x:c r="D18" t="n">
        <x:v>35</x:v>
      </x:c>
      <x:c r="E18" t="n">
        <x:v>39</x:v>
      </x:c>
      <x:c r="F18" t="n">
        <x:v>0</x:v>
      </x:c>
      <x:c r="G18" t="n">
        <x:v>12</x:v>
      </x:c>
      <x:c r="H18" t="n">
        <x:v>81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5.880000114440918" hidden="0" customWidth="1"/>
    <x:col min="3" max="3" width="118" hidden="0" customWidth="1"/>
    <x:col min="4" max="4" width="64.62999725341797" hidden="0" customWidth="1"/>
  </x:cols>
  <x:sheetData>
    <x:row r="1" ht="15" hidden="0" customHeight="1">
      <x:c r="A1" s="3" t="str">
        <x:v>Criterio</x:v>
      </x:c>
      <x:c r="B1" s="3" t="str">
        <x:v>Puntos</x:v>
      </x:c>
      <x:c r="C1" s="3" t="str">
        <x:v>Como se evalua</x:v>
      </x:c>
      <x:c r="D1" s="3" t="str">
        <x:v>Ejemplo</x:v>
      </x:c>
    </x:row>
    <x:row r="2" ht="15" hidden="0" customHeight="1">
      <x:c r="A2" t="str">
        <x:v>Resultado 90</x:v>
      </x:c>
      <x:c r="B2" t="n">
        <x:v>5</x:v>
      </x:c>
      <x:c r="C2" t="str">
        <x:v>Gana Equipo A, empate o gana Equipo B en tiempo reglamentario. Si la via apostada u oficial es suplementario/penales, el resultado 90 se trata como empate.</x:v>
      </x:c>
      <x:c r="D2" t="str">
        <x:v>Espana 1-0 Argentina en suplementario: el resultado 90 oficial es empate.</x:v>
      </x:c>
    </x:row>
    <x:row r="3" ht="15" hidden="0" customHeight="1">
      <x:c r="A3" t="str">
        <x:v>Clasificado</x:v>
      </x:c>
      <x:c r="B3" t="n">
        <x:v>3</x:v>
      </x:c>
      <x:c r="C3" t="str">
        <x:v>Equipo que avanza o gana el partido.</x:v>
      </x:c>
      <x:c r="D3" t="str">
        <x:v>Si el oficial gana Espana y se aposto Argentina, el partido suma 0.</x:v>
      </x:c>
    </x:row>
    <x:row r="4" ht="15" hidden="0" customHeight="1">
      <x:c r="A4" t="str">
        <x:v>Via</x:v>
      </x:c>
      <x:c r="B4" t="n">
        <x:v>2</x:v>
      </x:c>
      <x:c r="C4" t="str">
        <x:v>90 minutos, suplementario o penales.</x:v>
      </x:c>
      <x:c r="D4" t="str">
        <x:v>Apostar suplementario y que sea suplementario da 2 pts si tambien se acerto ganador.</x:v>
      </x:c>
    </x:row>
    <x:row r="5" ht="15" hidden="0" customHeight="1">
      <x:c r="A5" t="str">
        <x:v>Marcador exacto</x:v>
      </x:c>
      <x:c r="B5" t="n">
        <x:v>4</x:v>
      </x:c>
      <x:c r="C5" t="str">
        <x:v>Marcador por goles antes de tanda. En penales no se cuenta la tanda.</x:v>
      </x:c>
      <x:c r="D5" t="str">
        <x:v>1-0 Espana en suplementario exacto da 4 pts adicionales.</x:v>
      </x:c>
    </x:row>
    <x:row r="6" ht="15" hidden="0" customHeight="1">
      <x:c r="A6" t="str">
        <x:v>Diferencia</x:v>
      </x:c>
      <x:c r="B6" t="n">
        <x:v>2</x:v>
      </x:c>
      <x:c r="C6" t="str">
        <x:v>Diferencia de goles elegida contra la oficial.</x:v>
      </x:c>
      <x:c r="D6" t="str">
        <x:v>2-1 y 1-0 tienen diferencia +1.</x:v>
      </x:c>
    </x:row>
    <x:row r="7" ht="15" hidden="0" customHeight="1">
      <x:c r="A7" t="str">
        <x:v>Gol Equipo A</x:v>
      </x:c>
      <x:c r="B7" t="n">
        <x:v>1</x:v>
      </x:c>
      <x:c r="C7" t="str">
        <x:v>Goles exactos del Equipo A.</x:v>
      </x:c>
      <x:c r="D7" t="str">
        <x:v>Equipo A marco 1 y apostaste 1.</x:v>
      </x:c>
    </x:row>
    <x:row r="8" ht="15" hidden="0" customHeight="1">
      <x:c r="A8" t="str">
        <x:v>Gol Equipo B</x:v>
      </x:c>
      <x:c r="B8" t="n">
        <x:v>1</x:v>
      </x:c>
      <x:c r="C8" t="str">
        <x:v>Goles exactos del Equipo B.</x:v>
      </x:c>
      <x:c r="D8" t="str">
        <x:v>Equipo B marco 0 y apostaste 0.</x:v>
      </x:c>
    </x:row>
    <x:row r="9" ht="15" hidden="0" customHeight="1">
      <x:c r="A9" t="str">
        <x:v>Maximo por partido</x:v>
      </x:c>
      <x:c r="B9" t="n">
        <x:v>18</x:v>
      </x:c>
      <x:c r="C9" t="str">
        <x:v>Suma de todos los criterios.</x:v>
      </x:c>
      <x:c r="D9" t="str">
        <x:v>5+3+2+4+2+1+1 = 18.</x:v>
      </x:c>
    </x:row>
    <x:row r="10" ht="15" hidden="0" customHeight="1">
      <x:c r="A10" t="str">
        <x:v>Regla de bloqueo</x:v>
      </x:c>
      <x:c r="B10" t="n">
        <x:v>0</x:v>
      </x:c>
      <x:c r="C10" t="str">
        <x:v>Desde cuartos hasta la final, si no se acierta el clasificado/gandor, el total del partido es 0.</x:v>
      </x:c>
      <x:c r="D10" t="str">
        <x:v>Apostar Noruega cuando clasifico Inglaterra da 0 aunque coincida algun gol o via.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6.130000114440918" hidden="0" customWidth="1"/>
    <x:col min="3" max="3" width="11.880000114440918" hidden="0" customWidth="1"/>
    <x:col min="4" max="4" width="8.630000114440918" hidden="0" customWidth="1"/>
    <x:col min="5" max="5" width="9.5" hidden="0" customWidth="1"/>
    <x:col min="6" max="6" width="9.380000114440918" hidden="0" customWidth="1"/>
    <x:col min="7" max="7" width="16.1299991607666" hidden="0" customWidth="1"/>
    <x:col min="8" max="8" width="11.5" hidden="0" customWidth="1"/>
    <x:col min="9" max="9" width="8" hidden="0" customWidth="1"/>
    <x:col min="10" max="10" width="16.25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Equipo A</x:v>
      </x:c>
      <x:c r="D1" s="3" t="str">
        <x:v>Equipo B</x:v>
      </x:c>
      <x:c r="E1" s="3" t="str">
        <x:v>Marcador A</x:v>
      </x:c>
      <x:c r="F1" s="3" t="str">
        <x:v>Marcador B</x:v>
      </x:c>
      <x:c r="G1" s="3" t="str">
        <x:v>Clasificado/Ganador</x:v>
      </x:c>
      <x:c r="H1" s="3" t="str">
        <x:v>Via oficial</x:v>
      </x:c>
      <x:c r="I1" s="3" t="str">
        <x:v>Estado</x:v>
      </x:c>
      <x:c r="J1" s="3" t="str">
        <x:v>Fuente</x:v>
      </x:c>
    </x:row>
    <x:row r="2" ht="15" hidden="0" customHeight="1">
      <x:c r="A2" t="str">
        <x:v>8vos</x:v>
      </x:c>
      <x:c r="B2" t="str">
        <x:v>O1</x:v>
      </x:c>
      <x:c r="C2" t="str">
        <x:v>Canada</x:v>
      </x:c>
      <x:c r="D2" t="str">
        <x:v>Marruecos</x:v>
      </x:c>
      <x:c r="E2" t="n">
        <x:v>0</x:v>
      </x:c>
      <x:c r="F2" t="n">
        <x:v>3</x:v>
      </x:c>
      <x:c r="G2" t="str">
        <x:v>Marruecos</x:v>
      </x:c>
      <x:c r="H2" t="str">
        <x:v>90 minutos</x:v>
      </x:c>
      <x:c r="I2" t="str">
        <x:v>Finalizado</x:v>
      </x:c>
      <x:c r="J2" t="str">
        <x:v>Base cerrada octavos</x:v>
      </x:c>
    </x:row>
    <x:row r="3" ht="15" hidden="0" customHeight="1">
      <x:c r="A3" t="str">
        <x:v>8vos</x:v>
      </x:c>
      <x:c r="B3" t="str">
        <x:v>O2</x:v>
      </x:c>
      <x:c r="C3" t="str">
        <x:v>Paraguay</x:v>
      </x:c>
      <x:c r="D3" t="str">
        <x:v>Francia</x:v>
      </x:c>
      <x:c r="E3" t="n">
        <x:v>0</x:v>
      </x:c>
      <x:c r="F3" t="n">
        <x:v>1</x:v>
      </x:c>
      <x:c r="G3" t="str">
        <x:v>Francia</x:v>
      </x:c>
      <x:c r="H3" t="str">
        <x:v>90 minutos</x:v>
      </x:c>
      <x:c r="I3" t="str">
        <x:v>Finalizado</x:v>
      </x:c>
      <x:c r="J3" t="str">
        <x:v>Base cerrada octavos</x:v>
      </x:c>
    </x:row>
    <x:row r="4" ht="15" hidden="0" customHeight="1">
      <x:c r="A4" t="str">
        <x:v>8vos</x:v>
      </x:c>
      <x:c r="B4" t="str">
        <x:v>O3</x:v>
      </x:c>
      <x:c r="C4" t="str">
        <x:v>Brasil</x:v>
      </x:c>
      <x:c r="D4" t="str">
        <x:v>Noruega</x:v>
      </x:c>
      <x:c r="E4" t="n">
        <x:v>1</x:v>
      </x:c>
      <x:c r="F4" t="n">
        <x:v>2</x:v>
      </x:c>
      <x:c r="G4" t="str">
        <x:v>Noruega</x:v>
      </x:c>
      <x:c r="H4" t="str">
        <x:v>90 minutos</x:v>
      </x:c>
      <x:c r="I4" t="str">
        <x:v>Finalizado</x:v>
      </x:c>
      <x:c r="J4" t="str">
        <x:v>Base cerrada octavos</x:v>
      </x:c>
    </x:row>
    <x:row r="5" ht="15" hidden="0" customHeight="1">
      <x:c r="A5" t="str">
        <x:v>8vos</x:v>
      </x:c>
      <x:c r="B5" t="str">
        <x:v>O4</x:v>
      </x:c>
      <x:c r="C5" t="str">
        <x:v>Mexico</x:v>
      </x:c>
      <x:c r="D5" t="str">
        <x:v>Inglaterra</x:v>
      </x:c>
      <x:c r="E5" t="n">
        <x:v>2</x:v>
      </x:c>
      <x:c r="F5" t="n">
        <x:v>3</x:v>
      </x:c>
      <x:c r="G5" t="str">
        <x:v>Inglaterra</x:v>
      </x:c>
      <x:c r="H5" t="str">
        <x:v>90 minutos</x:v>
      </x:c>
      <x:c r="I5" t="str">
        <x:v>Finalizado</x:v>
      </x:c>
      <x:c r="J5" t="str">
        <x:v>Base cerrada octavos</x:v>
      </x:c>
    </x:row>
    <x:row r="6" ht="15" hidden="0" customHeight="1">
      <x:c r="A6" t="str">
        <x:v>8vos</x:v>
      </x:c>
      <x:c r="B6" t="str">
        <x:v>O5</x:v>
      </x:c>
      <x:c r="C6" t="str">
        <x:v>Estados Unidos</x:v>
      </x:c>
      <x:c r="D6" t="str">
        <x:v>Belgica</x:v>
      </x:c>
      <x:c r="E6" t="n">
        <x:v>1</x:v>
      </x:c>
      <x:c r="F6" t="n">
        <x:v>4</x:v>
      </x:c>
      <x:c r="G6" t="str">
        <x:v>Belgica</x:v>
      </x:c>
      <x:c r="H6" t="str">
        <x:v>90 minutos</x:v>
      </x:c>
      <x:c r="I6" t="str">
        <x:v>Finalizado</x:v>
      </x:c>
      <x:c r="J6" t="str">
        <x:v>Base cerrada octavos</x:v>
      </x:c>
    </x:row>
    <x:row r="7" ht="15" hidden="0" customHeight="1">
      <x:c r="A7" t="str">
        <x:v>8vos</x:v>
      </x:c>
      <x:c r="B7" t="str">
        <x:v>O6</x:v>
      </x:c>
      <x:c r="C7" t="str">
        <x:v>Portugal</x:v>
      </x:c>
      <x:c r="D7" t="str">
        <x:v>Espana</x:v>
      </x:c>
      <x:c r="E7" t="n">
        <x:v>0</x:v>
      </x:c>
      <x:c r="F7" t="n">
        <x:v>1</x:v>
      </x:c>
      <x:c r="G7" t="str">
        <x:v>Espana</x:v>
      </x:c>
      <x:c r="H7" t="str">
        <x:v>90 minutos</x:v>
      </x:c>
      <x:c r="I7" t="str">
        <x:v>Finalizado</x:v>
      </x:c>
      <x:c r="J7" t="str">
        <x:v>Base cerrada octavos</x:v>
      </x:c>
    </x:row>
    <x:row r="8" ht="15" hidden="0" customHeight="1">
      <x:c r="A8" t="str">
        <x:v>8vos</x:v>
      </x:c>
      <x:c r="B8" t="str">
        <x:v>O7</x:v>
      </x:c>
      <x:c r="C8" t="str">
        <x:v>Suiza</x:v>
      </x:c>
      <x:c r="D8" t="str">
        <x:v>Colombia</x:v>
      </x:c>
      <x:c r="E8" t="n">
        <x:v>0</x:v>
      </x:c>
      <x:c r="F8" t="n">
        <x:v>0</x:v>
      </x:c>
      <x:c r="G8" t="str">
        <x:v>Suiza</x:v>
      </x:c>
      <x:c r="H8" t="str">
        <x:v>Penales</x:v>
      </x:c>
      <x:c r="I8" t="str">
        <x:v>Finalizado</x:v>
      </x:c>
      <x:c r="J8" t="str">
        <x:v>Base cerrada octavos</x:v>
      </x:c>
    </x:row>
    <x:row r="9" ht="15" hidden="0" customHeight="1">
      <x:c r="A9" t="str">
        <x:v>8vos</x:v>
      </x:c>
      <x:c r="B9" t="str">
        <x:v>O8</x:v>
      </x:c>
      <x:c r="C9" t="str">
        <x:v>Argentina</x:v>
      </x:c>
      <x:c r="D9" t="str">
        <x:v>Egipto</x:v>
      </x:c>
      <x:c r="E9" t="n">
        <x:v>3</x:v>
      </x:c>
      <x:c r="F9" t="n">
        <x:v>2</x:v>
      </x:c>
      <x:c r="G9" t="str">
        <x:v>Argentina</x:v>
      </x:c>
      <x:c r="H9" t="str">
        <x:v>90 minutos</x:v>
      </x:c>
      <x:c r="I9" t="str">
        <x:v>Finalizado</x:v>
      </x:c>
      <x:c r="J9" t="str">
        <x:v>Base cerrada octavos</x:v>
      </x:c>
    </x:row>
    <x:row r="10" ht="15" hidden="0" customHeight="1">
      <x:c r="A10" t="str">
        <x:v>4tos</x:v>
      </x:c>
      <x:c r="B10" t="str">
        <x:v>QF1</x:v>
      </x:c>
      <x:c r="C10" t="str">
        <x:v>Francia</x:v>
      </x:c>
      <x:c r="D10" t="str">
        <x:v>Marruecos</x:v>
      </x:c>
      <x:c r="E10" t="n">
        <x:v>2</x:v>
      </x:c>
      <x:c r="F10" t="n">
        <x:v>0</x:v>
      </x:c>
      <x:c r="G10" t="str">
        <x:v>Francia</x:v>
      </x:c>
      <x:c r="H10" t="str">
        <x:v>90 minutos</x:v>
      </x:c>
      <x:c r="I10" t="str">
        <x:v>Finalizado</x:v>
      </x:c>
      <x:c r="J10" t="str">
        <x:v>ESPN API</x:v>
      </x:c>
    </x:row>
    <x:row r="11" ht="15" hidden="0" customHeight="1">
      <x:c r="A11" t="str">
        <x:v>4tos</x:v>
      </x:c>
      <x:c r="B11" t="str">
        <x:v>QF2</x:v>
      </x:c>
      <x:c r="C11" t="str">
        <x:v>Espana</x:v>
      </x:c>
      <x:c r="D11" t="str">
        <x:v>Belgica</x:v>
      </x:c>
      <x:c r="E11" t="n">
        <x:v>2</x:v>
      </x:c>
      <x:c r="F11" t="n">
        <x:v>1</x:v>
      </x:c>
      <x:c r="G11" t="str">
        <x:v>Espana</x:v>
      </x:c>
      <x:c r="H11" t="str">
        <x:v>90 minutos</x:v>
      </x:c>
      <x:c r="I11" t="str">
        <x:v>Finalizado</x:v>
      </x:c>
      <x:c r="J11" t="str">
        <x:v>ESPN API</x:v>
      </x:c>
    </x:row>
    <x:row r="12" ht="15" hidden="0" customHeight="1">
      <x:c r="A12" t="str">
        <x:v>4tos</x:v>
      </x:c>
      <x:c r="B12" t="str">
        <x:v>QF3</x:v>
      </x:c>
      <x:c r="C12" t="str">
        <x:v>Noruega</x:v>
      </x:c>
      <x:c r="D12" t="str">
        <x:v>Inglaterra</x:v>
      </x:c>
      <x:c r="E12" t="n">
        <x:v>1</x:v>
      </x:c>
      <x:c r="F12" t="n">
        <x:v>2</x:v>
      </x:c>
      <x:c r="G12" t="str">
        <x:v>Inglaterra</x:v>
      </x:c>
      <x:c r="H12" t="str">
        <x:v>Suplementario</x:v>
      </x:c>
      <x:c r="I12" t="str">
        <x:v>Finalizado</x:v>
      </x:c>
      <x:c r="J12" t="str">
        <x:v>ESPN API</x:v>
      </x:c>
    </x:row>
    <x:row r="13" ht="15" hidden="0" customHeight="1">
      <x:c r="A13" t="str">
        <x:v>4tos</x:v>
      </x:c>
      <x:c r="B13" t="str">
        <x:v>QF4</x:v>
      </x:c>
      <x:c r="C13" t="str">
        <x:v>Argentina</x:v>
      </x:c>
      <x:c r="D13" t="str">
        <x:v>Suiza</x:v>
      </x:c>
      <x:c r="E13" t="n">
        <x:v>3</x:v>
      </x:c>
      <x:c r="F13" t="n">
        <x:v>1</x:v>
      </x:c>
      <x:c r="G13" t="str">
        <x:v>Argentina</x:v>
      </x:c>
      <x:c r="H13" t="str">
        <x:v>Suplementario</x:v>
      </x:c>
      <x:c r="I13" t="str">
        <x:v>Finalizado</x:v>
      </x:c>
      <x:c r="J13" t="str">
        <x:v>ESPN API</x:v>
      </x:c>
    </x:row>
    <x:row r="14" ht="15" hidden="0" customHeight="1">
      <x:c r="A14" t="str">
        <x:v>Semifinal</x:v>
      </x:c>
      <x:c r="B14" t="str">
        <x:v>SF1</x:v>
      </x:c>
      <x:c r="C14" t="str">
        <x:v>Francia</x:v>
      </x:c>
      <x:c r="D14" t="str">
        <x:v>Espana</x:v>
      </x:c>
      <x:c r="E14" t="n">
        <x:v>0</x:v>
      </x:c>
      <x:c r="F14" t="n">
        <x:v>2</x:v>
      </x:c>
      <x:c r="G14" t="str">
        <x:v>Espana</x:v>
      </x:c>
      <x:c r="H14" t="str">
        <x:v>90 minutos</x:v>
      </x:c>
      <x:c r="I14" t="str">
        <x:v>Finalizado</x:v>
      </x:c>
      <x:c r="J14" t="str">
        <x:v>ESPN API</x:v>
      </x:c>
    </x:row>
    <x:row r="15" ht="15" hidden="0" customHeight="1">
      <x:c r="A15" t="str">
        <x:v>Semifinal</x:v>
      </x:c>
      <x:c r="B15" t="str">
        <x:v>SF2</x:v>
      </x:c>
      <x:c r="C15" t="str">
        <x:v>Inglaterra</x:v>
      </x:c>
      <x:c r="D15" t="str">
        <x:v>Argentina</x:v>
      </x:c>
      <x:c r="E15" t="n">
        <x:v>1</x:v>
      </x:c>
      <x:c r="F15" t="n">
        <x:v>2</x:v>
      </x:c>
      <x:c r="G15" t="str">
        <x:v>Argentina</x:v>
      </x:c>
      <x:c r="H15" t="str">
        <x:v>90 minutos</x:v>
      </x:c>
      <x:c r="I15" t="str">
        <x:v>Finalizado</x:v>
      </x:c>
      <x:c r="J15" t="str">
        <x:v>ESPN API</x:v>
      </x:c>
    </x:row>
    <x:row r="16" ht="15" hidden="0" customHeight="1">
      <x:c r="A16" t="str">
        <x:v>Tercer puesto</x:v>
      </x:c>
      <x:c r="B16" t="str">
        <x:v>TP</x:v>
      </x:c>
      <x:c r="C16" t="str">
        <x:v>Inglaterra</x:v>
      </x:c>
      <x:c r="D16" t="str">
        <x:v>Francia</x:v>
      </x:c>
      <x:c r="E16" t="n">
        <x:v>6</x:v>
      </x:c>
      <x:c r="F16" t="n">
        <x:v>4</x:v>
      </x:c>
      <x:c r="G16" t="str">
        <x:v>Inglaterra</x:v>
      </x:c>
      <x:c r="H16" t="str">
        <x:v>90 minutos</x:v>
      </x:c>
      <x:c r="I16" t="str">
        <x:v>Finalizado</x:v>
      </x:c>
      <x:c r="J16" t="str">
        <x:v>ESPN API</x:v>
      </x:c>
    </x:row>
    <x:row r="17" ht="15" hidden="0" customHeight="1">
      <x:c r="A17" t="str">
        <x:v>Final</x:v>
      </x:c>
      <x:c r="B17" t="str">
        <x:v>F</x:v>
      </x:c>
      <x:c r="C17" t="str">
        <x:v>Espana</x:v>
      </x:c>
      <x:c r="D17" t="str">
        <x:v>Argentina</x:v>
      </x:c>
      <x:c r="E17" t="n">
        <x:v>1</x:v>
      </x:c>
      <x:c r="F17" t="n">
        <x:v>0</x:v>
      </x:c>
      <x:c r="G17" t="str">
        <x:v>Espana</x:v>
      </x:c>
      <x:c r="H17" t="str">
        <x:v>Suplementario</x:v>
      </x:c>
      <x:c r="I17" t="str">
        <x:v>Finalizado</x:v>
      </x:c>
      <x:c r="J17" t="str">
        <x:v>ESPN API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75" hidden="0" customWidth="1"/>
    <x:col min="2" max="2" width="9.75" hidden="0" customWidth="1"/>
    <x:col min="3" max="3" width="10.25" hidden="0" customWidth="1"/>
    <x:col min="4" max="4" width="21.5" hidden="0" customWidth="1"/>
    <x:col min="5" max="5" width="6.630000114440918" hidden="0" customWidth="1"/>
    <x:col min="6" max="6" width="6.380000114440918" hidden="0" customWidth="1"/>
    <x:col min="7" max="7" width="9.25" hidden="0" customWidth="1"/>
    <x:col min="8" max="8" width="5.880000114440918" hidden="0" customWidth="1"/>
    <x:col min="9" max="9" width="10.25" hidden="0" customWidth="1"/>
    <x:col min="10" max="10" width="21" hidden="0" customWidth="1"/>
    <x:col min="11" max="11" width="6.25" hidden="0" customWidth="1"/>
    <x:col min="12" max="12" width="9.5" hidden="0" customWidth="1"/>
    <x:col min="13" max="13" width="3.75" hidden="0" customWidth="1"/>
    <x:col min="14" max="14" width="10.630000114440918" hidden="0" customWidth="1"/>
    <x:col min="15" max="15" width="31.3799991607666" hidden="0" customWidth="1"/>
  </x:cols>
  <x:sheetData>
    <x:row r="1" ht="15" hidden="0" customHeight="1">
      <x:c r="A1" s="3" t="str">
        <x:v>Puesto</x:v>
      </x:c>
      <x:c r="B1" s="3" t="str">
        <x:v>Participante</x:v>
      </x:c>
      <x:c r="C1" s="3" t="str">
        <x:v>8vos cerrado</x:v>
      </x:c>
      <x:c r="D1" s="3" t="str">
        <x:v>8vos recalculado disponible</x:v>
      </x:c>
      <x:c r="E1" s="3" t="str">
        <x:v>Dif 8vos</x:v>
      </x:c>
      <x:c r="F1" s="3" t="str">
        <x:v>Cuartos</x:v>
      </x:c>
      <x:c r="G1" s="3" t="str">
        <x:v>Semifinales</x:v>
      </x:c>
      <x:c r="H1" s="3" t="str">
        <x:v>Finales</x:v>
      </x:c>
      <x:c r="I1" s="3" t="str">
        <x:v>Total publico</x:v>
      </x:c>
      <x:c r="J1" s="3" t="str">
        <x:v>Total recalculado completo</x:v>
      </x:c>
      <x:c r="K1" s="3" t="str">
        <x:v>Exactos</x:v>
      </x:c>
      <x:c r="L1" s="3" t="str">
        <x:v>Clasificados</x:v>
      </x:c>
      <x:c r="M1" s="3" t="str">
        <x:v>Vias</x:v>
      </x:c>
      <x:c r="N1" s="3" t="str">
        <x:v>Sin respuesta</x:v>
      </x:c>
      <x:c r="O1" s="3" t="str">
        <x:v>Observacion</x:v>
      </x:c>
    </x:row>
    <x:row r="2" ht="15" hidden="0" customHeight="1">
      <x:c r="A2" t="n">
        <x:v>1</x:v>
      </x:c>
      <x:c r="B2" t="str">
        <x:v>Jean</x:v>
      </x:c>
      <x:c r="C2" t="n">
        <x:v>75</x:v>
      </x:c>
      <x:c r="D2" t="n">
        <x:f>SUMIFS('Detalle_Formulas'!$Z$2:$Z$353,'Detalle_Formulas'!$C$2:$C$353,$B2,'Detalle_Formulas'!$A$2:$A$353,"8vos")</x:f>
        <x:v>72</x:v>
      </x:c>
      <x:c r="E2" t="n">
        <x:f>D2-C2</x:f>
        <x:v>-3</x:v>
      </x:c>
      <x:c r="F2" t="n">
        <x:f>SUMIFS('Detalle_Formulas'!$Z$2:$Z$353,'Detalle_Formulas'!$C$2:$C$353,$B2,'Detalle_Formulas'!$A$2:$A$353,"4tos")</x:f>
        <x:v>29</x:v>
      </x:c>
      <x:c r="G2" t="n">
        <x:f>SUMIFS('Detalle_Formulas'!$Z$2:$Z$353,'Detalle_Formulas'!$C$2:$C$353,$B2,'Detalle_Formulas'!$A$2:$A$353,"Semifinal")</x:f>
        <x:v>18</x:v>
      </x:c>
      <x:c r="H2" t="n">
        <x:f>SUMIFS('Detalle_Formulas'!$Z$2:$Z$353,'Detalle_Formulas'!$C$2:$C$353,$B2,'Detalle_Formulas'!$A$2:$A$353,"Tercer puesto")+SUMIFS('Detalle_Formulas'!$Z$2:$Z$353,'Detalle_Formulas'!$C$2:$C$353,$B2,'Detalle_Formulas'!$A$2:$A$353,"Final")</x:f>
        <x:v>0</x:v>
      </x:c>
      <x:c r="I2" t="n">
        <x:f>C2+F2+G2+H2</x:f>
        <x:v>122</x:v>
      </x:c>
      <x:c r="J2" t="n">
        <x:f>D2+F2+G2+H2</x:f>
        <x:v>119</x:v>
      </x:c>
      <x:c r="K2" t="n">
        <x:f>1+COUNTIFS('Detalle_Formulas'!$C$2:$C$353,$B2,'Detalle_Formulas'!$A$2:$A$353,"&lt;&gt;8vos",'Detalle_Formulas'!$V$2:$V$353,"&gt;0")</x:f>
        <x:v>2</x:v>
      </x:c>
      <x:c r="L2" t="n">
        <x:f>6+COUNTIFS('Detalle_Formulas'!$C$2:$C$353,$B2,'Detalle_Formulas'!$A$2:$A$353,"&lt;&gt;8vos",'Detalle_Formulas'!$T$2:$T$353,"&gt;0")</x:f>
        <x:v>11</x:v>
      </x:c>
      <x:c r="M2" t="n">
        <x:f>7+COUNTIFS('Detalle_Formulas'!$C$2:$C$353,$B2,'Detalle_Formulas'!$A$2:$A$353,"&lt;&gt;8vos",'Detalle_Formulas'!$U$2:$U$353,"&gt;0")</x:f>
        <x:v>10</x:v>
      </x:c>
      <x:c r="N2" t="n">
        <x:f>COUNTIFS('Detalle_Formulas'!$C$2:$C$353,$B2,'Detalle_Formulas'!$H$2:$H$353,"Sin envio")</x:f>
        <x:v>0</x:v>
      </x:c>
      <x:c r="O2" t="str">
        <x:f>IF(E2=0,"OK","Diferencia en 8vos: revisar fuente original")</x:f>
        <x:v>Diferencia en 8vos: revisar fuente original</x:v>
      </x:c>
    </x:row>
    <x:row r="3" ht="15" hidden="0" customHeight="1">
      <x:c r="A3" t="n">
        <x:v>2</x:v>
      </x:c>
      <x:c r="B3" t="str">
        <x:v>Jorge</x:v>
      </x:c>
      <x:c r="C3" t="n">
        <x:v>61</x:v>
      </x:c>
      <x:c r="D3" t="n">
        <x:f>SUMIFS('Detalle_Formulas'!$Z$2:$Z$353,'Detalle_Formulas'!$C$2:$C$353,$B3,'Detalle_Formulas'!$A$2:$A$353,"8vos")</x:f>
        <x:v>52</x:v>
      </x:c>
      <x:c r="E3" t="n">
        <x:f>D3-C3</x:f>
        <x:v>-9</x:v>
      </x:c>
      <x:c r="F3" t="n">
        <x:f>SUMIFS('Detalle_Formulas'!$Z$2:$Z$353,'Detalle_Formulas'!$C$2:$C$353,$B3,'Detalle_Formulas'!$A$2:$A$353,"4tos")</x:f>
        <x:v>23</x:v>
      </x:c>
      <x:c r="G3" t="n">
        <x:f>SUMIFS('Detalle_Formulas'!$Z$2:$Z$353,'Detalle_Formulas'!$C$2:$C$353,$B3,'Detalle_Formulas'!$A$2:$A$353,"Semifinal")</x:f>
        <x:v>21</x:v>
      </x:c>
      <x:c r="H3" t="n">
        <x:f>SUMIFS('Detalle_Formulas'!$Z$2:$Z$353,'Detalle_Formulas'!$C$2:$C$353,$B3,'Detalle_Formulas'!$A$2:$A$353,"Tercer puesto")+SUMIFS('Detalle_Formulas'!$Z$2:$Z$353,'Detalle_Formulas'!$C$2:$C$353,$B3,'Detalle_Formulas'!$A$2:$A$353,"Final")</x:f>
        <x:v>3</x:v>
      </x:c>
      <x:c r="I3" t="n">
        <x:f>C3+F3+G3+H3</x:f>
        <x:v>108</x:v>
      </x:c>
      <x:c r="J3" t="n">
        <x:f>D3+F3+G3+H3</x:f>
        <x:v>99</x:v>
      </x:c>
      <x:c r="K3" t="n">
        <x:f>1+COUNTIFS('Detalle_Formulas'!$C$2:$C$353,$B3,'Detalle_Formulas'!$A$2:$A$353,"&lt;&gt;8vos",'Detalle_Formulas'!$V$2:$V$353,"&gt;0")</x:f>
        <x:v>2</x:v>
      </x:c>
      <x:c r="L3" t="n">
        <x:f>5+COUNTIFS('Detalle_Formulas'!$C$2:$C$353,$B3,'Detalle_Formulas'!$A$2:$A$353,"&lt;&gt;8vos",'Detalle_Formulas'!$T$2:$T$353,"&gt;0")</x:f>
        <x:v>11</x:v>
      </x:c>
      <x:c r="M3" t="n">
        <x:f>6+COUNTIFS('Detalle_Formulas'!$C$2:$C$353,$B3,'Detalle_Formulas'!$A$2:$A$353,"&lt;&gt;8vos",'Detalle_Formulas'!$U$2:$U$353,"&gt;0")</x:f>
        <x:v>9</x:v>
      </x:c>
      <x:c r="N3" t="n">
        <x:f>COUNTIFS('Detalle_Formulas'!$C$2:$C$353,$B3,'Detalle_Formulas'!$H$2:$H$353,"Sin envio")</x:f>
        <x:v>0</x:v>
      </x:c>
      <x:c r="O3" t="str">
        <x:f>IF(E3=0,"OK","Diferencia en 8vos: revisar fuente original")</x:f>
        <x:v>Diferencia en 8vos: revisar fuente original</x:v>
      </x:c>
    </x:row>
    <x:row r="4" ht="15" hidden="0" customHeight="1">
      <x:c r="A4" t="n">
        <x:v>3</x:v>
      </x:c>
      <x:c r="B4" t="str">
        <x:v>Freddy</x:v>
      </x:c>
      <x:c r="C4" t="n">
        <x:v>70</x:v>
      </x:c>
      <x:c r="D4" t="n">
        <x:f>SUMIFS('Detalle_Formulas'!$Z$2:$Z$353,'Detalle_Formulas'!$C$2:$C$353,$B4,'Detalle_Formulas'!$A$2:$A$353,"8vos")</x:f>
        <x:v>68</x:v>
      </x:c>
      <x:c r="E4" t="n">
        <x:f>D4-C4</x:f>
        <x:v>-2</x:v>
      </x:c>
      <x:c r="F4" t="n">
        <x:f>SUMIFS('Detalle_Formulas'!$Z$2:$Z$353,'Detalle_Formulas'!$C$2:$C$353,$B4,'Detalle_Formulas'!$A$2:$A$353,"4tos")</x:f>
        <x:v>35</x:v>
      </x:c>
      <x:c r="G4" t="n">
        <x:f>SUMIFS('Detalle_Formulas'!$Z$2:$Z$353,'Detalle_Formulas'!$C$2:$C$353,$B4,'Detalle_Formulas'!$A$2:$A$353,"Semifinal")</x:f>
        <x:v>3</x:v>
      </x:c>
      <x:c r="H4" t="n">
        <x:f>SUMIFS('Detalle_Formulas'!$Z$2:$Z$353,'Detalle_Formulas'!$C$2:$C$353,$B4,'Detalle_Formulas'!$A$2:$A$353,"Tercer puesto")+SUMIFS('Detalle_Formulas'!$Z$2:$Z$353,'Detalle_Formulas'!$C$2:$C$353,$B4,'Detalle_Formulas'!$A$2:$A$353,"Final")</x:f>
        <x:v>0</x:v>
      </x:c>
      <x:c r="I4" t="n">
        <x:f>C4+F4+G4+H4</x:f>
        <x:v>108</x:v>
      </x:c>
      <x:c r="J4" t="n">
        <x:f>D4+F4+G4+H4</x:f>
        <x:v>106</x:v>
      </x:c>
      <x:c r="K4" t="n">
        <x:f>0+COUNTIFS('Detalle_Formulas'!$C$2:$C$353,$B4,'Detalle_Formulas'!$A$2:$A$353,"&lt;&gt;8vos",'Detalle_Formulas'!$V$2:$V$353,"&gt;0")</x:f>
        <x:v>1</x:v>
      </x:c>
      <x:c r="L4" t="n">
        <x:f>6+COUNTIFS('Detalle_Formulas'!$C$2:$C$353,$B4,'Detalle_Formulas'!$A$2:$A$353,"&lt;&gt;8vos",'Detalle_Formulas'!$T$2:$T$353,"&gt;0")</x:f>
        <x:v>11</x:v>
      </x:c>
      <x:c r="M4" t="n">
        <x:f>7+COUNTIFS('Detalle_Formulas'!$C$2:$C$353,$B4,'Detalle_Formulas'!$A$2:$A$353,"&lt;&gt;8vos",'Detalle_Formulas'!$U$2:$U$353,"&gt;0")</x:f>
        <x:v>9</x:v>
      </x:c>
      <x:c r="N4" t="n">
        <x:f>COUNTIFS('Detalle_Formulas'!$C$2:$C$353,$B4,'Detalle_Formulas'!$H$2:$H$353,"Sin envio")</x:f>
        <x:v>0</x:v>
      </x:c>
      <x:c r="O4" t="str">
        <x:f>IF(E4=0,"OK","Diferencia en 8vos: revisar fuente original")</x:f>
        <x:v>Diferencia en 8vos: revisar fuente original</x:v>
      </x:c>
    </x:row>
    <x:row r="5" ht="15" hidden="0" customHeight="1">
      <x:c r="A5" t="n">
        <x:v>4</x:v>
      </x:c>
      <x:c r="B5" t="str">
        <x:v>Jesús</x:v>
      </x:c>
      <x:c r="C5" t="n">
        <x:v>59</x:v>
      </x:c>
      <x:c r="D5" t="n">
        <x:f>SUMIFS('Detalle_Formulas'!$Z$2:$Z$353,'Detalle_Formulas'!$C$2:$C$353,$B5,'Detalle_Formulas'!$A$2:$A$353,"8vos")</x:f>
        <x:v>57</x:v>
      </x:c>
      <x:c r="E5" t="n">
        <x:f>D5-C5</x:f>
        <x:v>-2</x:v>
      </x:c>
      <x:c r="F5" t="n">
        <x:f>SUMIFS('Detalle_Formulas'!$Z$2:$Z$353,'Detalle_Formulas'!$C$2:$C$353,$B5,'Detalle_Formulas'!$A$2:$A$353,"4tos")</x:f>
        <x:v>33</x:v>
      </x:c>
      <x:c r="G5" t="n">
        <x:f>SUMIFS('Detalle_Formulas'!$Z$2:$Z$353,'Detalle_Formulas'!$C$2:$C$353,$B5,'Detalle_Formulas'!$A$2:$A$353,"Semifinal")</x:f>
        <x:v>0</x:v>
      </x:c>
      <x:c r="H5" t="n">
        <x:f>SUMIFS('Detalle_Formulas'!$Z$2:$Z$353,'Detalle_Formulas'!$C$2:$C$353,$B5,'Detalle_Formulas'!$A$2:$A$353,"Tercer puesto")+SUMIFS('Detalle_Formulas'!$Z$2:$Z$353,'Detalle_Formulas'!$C$2:$C$353,$B5,'Detalle_Formulas'!$A$2:$A$353,"Final")</x:f>
        <x:v>3</x:v>
      </x:c>
      <x:c r="I5" t="n">
        <x:f>C5+F5+G5+H5</x:f>
        <x:v>95</x:v>
      </x:c>
      <x:c r="J5" t="n">
        <x:f>D5+F5+G5+H5</x:f>
        <x:v>93</x:v>
      </x:c>
      <x:c r="K5" t="n">
        <x:f>0+COUNTIFS('Detalle_Formulas'!$C$2:$C$353,$B5,'Detalle_Formulas'!$A$2:$A$353,"&lt;&gt;8vos",'Detalle_Formulas'!$V$2:$V$353,"&gt;0")</x:f>
        <x:v>1</x:v>
      </x:c>
      <x:c r="L5" t="n">
        <x:f>6+COUNTIFS('Detalle_Formulas'!$C$2:$C$353,$B5,'Detalle_Formulas'!$A$2:$A$353,"&lt;&gt;8vos",'Detalle_Formulas'!$T$2:$T$353,"&gt;0")</x:f>
        <x:v>10</x:v>
      </x:c>
      <x:c r="M5" t="n">
        <x:f>6+COUNTIFS('Detalle_Formulas'!$C$2:$C$353,$B5,'Detalle_Formulas'!$A$2:$A$353,"&lt;&gt;8vos",'Detalle_Formulas'!$U$2:$U$353,"&gt;0")</x:f>
        <x:v>8</x:v>
      </x:c>
      <x:c r="N5" t="n">
        <x:f>COUNTIFS('Detalle_Formulas'!$C$2:$C$353,$B5,'Detalle_Formulas'!$H$2:$H$353,"Sin envio")</x:f>
        <x:v>0</x:v>
      </x:c>
      <x:c r="O5" t="str">
        <x:f>IF(E5=0,"OK","Diferencia en 8vos: revisar fuente original")</x:f>
        <x:v>Diferencia en 8vos: revisar fuente original</x:v>
      </x:c>
    </x:row>
    <x:row r="6" ht="15" hidden="0" customHeight="1">
      <x:c r="A6" t="n">
        <x:v>5</x:v>
      </x:c>
      <x:c r="B6" t="str">
        <x:v>Gabriela</x:v>
      </x:c>
      <x:c r="C6" t="n">
        <x:v>61</x:v>
      </x:c>
      <x:c r="D6" t="n">
        <x:f>SUMIFS('Detalle_Formulas'!$Z$2:$Z$353,'Detalle_Formulas'!$C$2:$C$353,$B6,'Detalle_Formulas'!$A$2:$A$353,"8vos")</x:f>
        <x:v>61</x:v>
      </x:c>
      <x:c r="E6" t="n">
        <x:f>D6-C6</x:f>
        <x:v>0</x:v>
      </x:c>
      <x:c r="F6" t="n">
        <x:f>SUMIFS('Detalle_Formulas'!$Z$2:$Z$353,'Detalle_Formulas'!$C$2:$C$353,$B6,'Detalle_Formulas'!$A$2:$A$353,"4tos")</x:f>
        <x:v>14</x:v>
      </x:c>
      <x:c r="G6" t="n">
        <x:f>SUMIFS('Detalle_Formulas'!$Z$2:$Z$353,'Detalle_Formulas'!$C$2:$C$353,$B6,'Detalle_Formulas'!$A$2:$A$353,"Semifinal")</x:f>
        <x:v>0</x:v>
      </x:c>
      <x:c r="H6" t="n">
        <x:f>SUMIFS('Detalle_Formulas'!$Z$2:$Z$353,'Detalle_Formulas'!$C$2:$C$353,$B6,'Detalle_Formulas'!$A$2:$A$353,"Tercer puesto")+SUMIFS('Detalle_Formulas'!$Z$2:$Z$353,'Detalle_Formulas'!$C$2:$C$353,$B6,'Detalle_Formulas'!$A$2:$A$353,"Final")</x:f>
        <x:v>20</x:v>
      </x:c>
      <x:c r="I6" t="n">
        <x:f>C6+F6+G6+H6</x:f>
        <x:v>95</x:v>
      </x:c>
      <x:c r="J6" t="n">
        <x:f>D6+F6+G6+H6</x:f>
        <x:v>95</x:v>
      </x:c>
      <x:c r="K6" t="n">
        <x:f>0+COUNTIFS('Detalle_Formulas'!$C$2:$C$353,$B6,'Detalle_Formulas'!$A$2:$A$353,"&lt;&gt;8vos",'Detalle_Formulas'!$V$2:$V$353,"&gt;0")</x:f>
        <x:v>0</x:v>
      </x:c>
      <x:c r="L6" t="n">
        <x:f>7+COUNTIFS('Detalle_Formulas'!$C$2:$C$353,$B6,'Detalle_Formulas'!$A$2:$A$353,"&lt;&gt;8vos",'Detalle_Formulas'!$T$2:$T$353,"&gt;0")</x:f>
        <x:v>11</x:v>
      </x:c>
      <x:c r="M6" t="n">
        <x:f>5+COUNTIFS('Detalle_Formulas'!$C$2:$C$353,$B6,'Detalle_Formulas'!$A$2:$A$353,"&lt;&gt;8vos",'Detalle_Formulas'!$U$2:$U$353,"&gt;0")</x:f>
        <x:v>8</x:v>
      </x:c>
      <x:c r="N6" t="n">
        <x:f>COUNTIFS('Detalle_Formulas'!$C$2:$C$353,$B6,'Detalle_Formulas'!$H$2:$H$353,"Sin envio")</x:f>
        <x:v>0</x:v>
      </x:c>
      <x:c r="O6" t="str">
        <x:f>IF(E6=0,"OK","Diferencia en 8vos: revisar fuente original")</x:f>
        <x:v>OK</x:v>
      </x:c>
    </x:row>
    <x:row r="7" ht="15" hidden="0" customHeight="1">
      <x:c r="A7" t="n">
        <x:v>6</x:v>
      </x:c>
      <x:c r="B7" t="str">
        <x:v>Alex</x:v>
      </x:c>
      <x:c r="C7" t="n">
        <x:v>49</x:v>
      </x:c>
      <x:c r="D7" t="n">
        <x:f>SUMIFS('Detalle_Formulas'!$Z$2:$Z$353,'Detalle_Formulas'!$C$2:$C$353,$B7,'Detalle_Formulas'!$A$2:$A$353,"8vos")</x:f>
        <x:v>44</x:v>
      </x:c>
      <x:c r="E7" t="n">
        <x:f>D7-C7</x:f>
        <x:v>-5</x:v>
      </x:c>
      <x:c r="F7" t="n">
        <x:f>SUMIFS('Detalle_Formulas'!$Z$2:$Z$353,'Detalle_Formulas'!$C$2:$C$353,$B7,'Detalle_Formulas'!$A$2:$A$353,"4tos")</x:f>
        <x:v>29</x:v>
      </x:c>
      <x:c r="G7" t="n">
        <x:f>SUMIFS('Detalle_Formulas'!$Z$2:$Z$353,'Detalle_Formulas'!$C$2:$C$353,$B7,'Detalle_Formulas'!$A$2:$A$353,"Semifinal")</x:f>
        <x:v>3</x:v>
      </x:c>
      <x:c r="H7" t="n">
        <x:f>SUMIFS('Detalle_Formulas'!$Z$2:$Z$353,'Detalle_Formulas'!$C$2:$C$353,$B7,'Detalle_Formulas'!$A$2:$A$353,"Tercer puesto")+SUMIFS('Detalle_Formulas'!$Z$2:$Z$353,'Detalle_Formulas'!$C$2:$C$353,$B7,'Detalle_Formulas'!$A$2:$A$353,"Final")</x:f>
        <x:v>12</x:v>
      </x:c>
      <x:c r="I7" t="n">
        <x:f>C7+F7+G7+H7</x:f>
        <x:v>93</x:v>
      </x:c>
      <x:c r="J7" t="n">
        <x:f>D7+F7+G7+H7</x:f>
        <x:v>88</x:v>
      </x:c>
      <x:c r="K7" t="n">
        <x:f>0+COUNTIFS('Detalle_Formulas'!$C$2:$C$353,$B7,'Detalle_Formulas'!$A$2:$A$353,"&lt;&gt;8vos",'Detalle_Formulas'!$V$2:$V$353,"&gt;0")</x:f>
        <x:v>0</x:v>
      </x:c>
      <x:c r="L7" t="n">
        <x:f>7+COUNTIFS('Detalle_Formulas'!$C$2:$C$353,$B7,'Detalle_Formulas'!$A$2:$A$353,"&lt;&gt;8vos",'Detalle_Formulas'!$T$2:$T$353,"&gt;0")</x:f>
        <x:v>13</x:v>
      </x:c>
      <x:c r="M7" t="n">
        <x:f>3+COUNTIFS('Detalle_Formulas'!$C$2:$C$353,$B7,'Detalle_Formulas'!$A$2:$A$353,"&lt;&gt;8vos",'Detalle_Formulas'!$U$2:$U$353,"&gt;0")</x:f>
        <x:v>6</x:v>
      </x:c>
      <x:c r="N7" t="n">
        <x:f>COUNTIFS('Detalle_Formulas'!$C$2:$C$353,$B7,'Detalle_Formulas'!$H$2:$H$353,"Sin envio")</x:f>
        <x:v>0</x:v>
      </x:c>
      <x:c r="O7" t="str">
        <x:f>IF(E7=0,"OK","Diferencia en 8vos: revisar fuente original")</x:f>
        <x:v>Diferencia en 8vos: revisar fuente original</x:v>
      </x:c>
    </x:row>
    <x:row r="8" ht="15" hidden="0" customHeight="1">
      <x:c r="A8" t="n">
        <x:v>7</x:v>
      </x:c>
      <x:c r="B8" t="str">
        <x:v>Diego</x:v>
      </x:c>
      <x:c r="C8" t="n">
        <x:v>56</x:v>
      </x:c>
      <x:c r="D8" t="n">
        <x:f>SUMIFS('Detalle_Formulas'!$Z$2:$Z$353,'Detalle_Formulas'!$C$2:$C$353,$B8,'Detalle_Formulas'!$A$2:$A$353,"8vos")</x:f>
        <x:v>47</x:v>
      </x:c>
      <x:c r="E8" t="n">
        <x:f>D8-C8</x:f>
        <x:v>-9</x:v>
      </x:c>
      <x:c r="F8" t="n">
        <x:f>SUMIFS('Detalle_Formulas'!$Z$2:$Z$353,'Detalle_Formulas'!$C$2:$C$353,$B8,'Detalle_Formulas'!$A$2:$A$353,"4tos")</x:f>
        <x:v>32</x:v>
      </x:c>
      <x:c r="G8" t="n">
        <x:f>SUMIFS('Detalle_Formulas'!$Z$2:$Z$353,'Detalle_Formulas'!$C$2:$C$353,$B8,'Detalle_Formulas'!$A$2:$A$353,"Semifinal")</x:f>
        <x:v>3</x:v>
      </x:c>
      <x:c r="H8" t="n">
        <x:f>SUMIFS('Detalle_Formulas'!$Z$2:$Z$353,'Detalle_Formulas'!$C$2:$C$353,$B8,'Detalle_Formulas'!$A$2:$A$353,"Tercer puesto")+SUMIFS('Detalle_Formulas'!$Z$2:$Z$353,'Detalle_Formulas'!$C$2:$C$353,$B8,'Detalle_Formulas'!$A$2:$A$353,"Final")</x:f>
        <x:v>0</x:v>
      </x:c>
      <x:c r="I8" t="n">
        <x:f>C8+F8+G8+H8</x:f>
        <x:v>91</x:v>
      </x:c>
      <x:c r="J8" t="n">
        <x:f>D8+F8+G8+H8</x:f>
        <x:v>82</x:v>
      </x:c>
      <x:c r="K8" t="n">
        <x:f>0+COUNTIFS('Detalle_Formulas'!$C$2:$C$353,$B8,'Detalle_Formulas'!$A$2:$A$353,"&lt;&gt;8vos",'Detalle_Formulas'!$V$2:$V$353,"&gt;0")</x:f>
        <x:v>1</x:v>
      </x:c>
      <x:c r="L8" t="n">
        <x:f>6+COUNTIFS('Detalle_Formulas'!$C$2:$C$353,$B8,'Detalle_Formulas'!$A$2:$A$353,"&lt;&gt;8vos",'Detalle_Formulas'!$T$2:$T$353,"&gt;0")</x:f>
        <x:v>10</x:v>
      </x:c>
      <x:c r="M8" t="n">
        <x:f>5+COUNTIFS('Detalle_Formulas'!$C$2:$C$353,$B8,'Detalle_Formulas'!$A$2:$A$353,"&lt;&gt;8vos",'Detalle_Formulas'!$U$2:$U$353,"&gt;0")</x:f>
        <x:v>7</x:v>
      </x:c>
      <x:c r="N8" t="n">
        <x:f>COUNTIFS('Detalle_Formulas'!$C$2:$C$353,$B8,'Detalle_Formulas'!$H$2:$H$353,"Sin envio")</x:f>
        <x:v>0</x:v>
      </x:c>
      <x:c r="O8" t="str">
        <x:f>IF(E8=0,"OK","Diferencia en 8vos: revisar fuente original")</x:f>
        <x:v>Diferencia en 8vos: revisar fuente original</x:v>
      </x:c>
    </x:row>
    <x:row r="9" ht="15" hidden="0" customHeight="1">
      <x:c r="A9" t="n">
        <x:v>8</x:v>
      </x:c>
      <x:c r="B9" t="str">
        <x:v>Anny</x:v>
      </x:c>
      <x:c r="C9" t="n">
        <x:v>59</x:v>
      </x:c>
      <x:c r="D9" t="n">
        <x:f>SUMIFS('Detalle_Formulas'!$Z$2:$Z$353,'Detalle_Formulas'!$C$2:$C$353,$B9,'Detalle_Formulas'!$A$2:$A$353,"8vos")</x:f>
        <x:v>48</x:v>
      </x:c>
      <x:c r="E9" t="n">
        <x:f>D9-C9</x:f>
        <x:v>-11</x:v>
      </x:c>
      <x:c r="F9" t="n">
        <x:f>SUMIFS('Detalle_Formulas'!$Z$2:$Z$353,'Detalle_Formulas'!$C$2:$C$353,$B9,'Detalle_Formulas'!$A$2:$A$353,"4tos")</x:f>
        <x:v>17</x:v>
      </x:c>
      <x:c r="G9" t="n">
        <x:f>SUMIFS('Detalle_Formulas'!$Z$2:$Z$353,'Detalle_Formulas'!$C$2:$C$353,$B9,'Detalle_Formulas'!$A$2:$A$353,"Semifinal")</x:f>
        <x:v>3</x:v>
      </x:c>
      <x:c r="H9" t="n">
        <x:f>SUMIFS('Detalle_Formulas'!$Z$2:$Z$353,'Detalle_Formulas'!$C$2:$C$353,$B9,'Detalle_Formulas'!$A$2:$A$353,"Tercer puesto")+SUMIFS('Detalle_Formulas'!$Z$2:$Z$353,'Detalle_Formulas'!$C$2:$C$353,$B9,'Detalle_Formulas'!$A$2:$A$353,"Final")</x:f>
        <x:v>10</x:v>
      </x:c>
      <x:c r="I9" t="n">
        <x:f>C9+F9+G9+H9</x:f>
        <x:v>89</x:v>
      </x:c>
      <x:c r="J9" t="n">
        <x:f>D9+F9+G9+H9</x:f>
        <x:v>78</x:v>
      </x:c>
      <x:c r="K9" t="n">
        <x:f>0+COUNTIFS('Detalle_Formulas'!$C$2:$C$353,$B9,'Detalle_Formulas'!$A$2:$A$353,"&lt;&gt;8vos",'Detalle_Formulas'!$V$2:$V$353,"&gt;0")</x:f>
        <x:v>0</x:v>
      </x:c>
      <x:c r="L9" t="n">
        <x:f>5+COUNTIFS('Detalle_Formulas'!$C$2:$C$353,$B9,'Detalle_Formulas'!$A$2:$A$353,"&lt;&gt;8vos",'Detalle_Formulas'!$T$2:$T$353,"&gt;0")</x:f>
        <x:v>10</x:v>
      </x:c>
      <x:c r="M9" t="n">
        <x:f>6+COUNTIFS('Detalle_Formulas'!$C$2:$C$353,$B9,'Detalle_Formulas'!$A$2:$A$353,"&lt;&gt;8vos",'Detalle_Formulas'!$U$2:$U$353,"&gt;0")</x:f>
        <x:v>8</x:v>
      </x:c>
      <x:c r="N9" t="n">
        <x:f>COUNTIFS('Detalle_Formulas'!$C$2:$C$353,$B9,'Detalle_Formulas'!$H$2:$H$353,"Sin envio")</x:f>
        <x:v>0</x:v>
      </x:c>
      <x:c r="O9" t="str">
        <x:f>IF(E9=0,"OK","Diferencia en 8vos: revisar fuente original")</x:f>
        <x:v>Diferencia en 8vos: revisar fuente original</x:v>
      </x:c>
    </x:row>
    <x:row r="10" ht="15" hidden="0" customHeight="1">
      <x:c r="A10" t="n">
        <x:v>9</x:v>
      </x:c>
      <x:c r="B10" t="str">
        <x:v>Aldo</x:v>
      </x:c>
      <x:c r="C10" t="n">
        <x:v>50</x:v>
      </x:c>
      <x:c r="D10" t="n">
        <x:f>SUMIFS('Detalle_Formulas'!$Z$2:$Z$353,'Detalle_Formulas'!$C$2:$C$353,$B10,'Detalle_Formulas'!$A$2:$A$353,"8vos")</x:f>
        <x:v>45</x:v>
      </x:c>
      <x:c r="E10" t="n">
        <x:f>D10-C10</x:f>
        <x:v>-5</x:v>
      </x:c>
      <x:c r="F10" t="n">
        <x:f>SUMIFS('Detalle_Formulas'!$Z$2:$Z$353,'Detalle_Formulas'!$C$2:$C$353,$B10,'Detalle_Formulas'!$A$2:$A$353,"4tos")</x:f>
        <x:v>17</x:v>
      </x:c>
      <x:c r="G10" t="n">
        <x:f>SUMIFS('Detalle_Formulas'!$Z$2:$Z$353,'Detalle_Formulas'!$C$2:$C$353,$B10,'Detalle_Formulas'!$A$2:$A$353,"Semifinal")</x:f>
        <x:v>6</x:v>
      </x:c>
      <x:c r="H10" t="n">
        <x:f>SUMIFS('Detalle_Formulas'!$Z$2:$Z$353,'Detalle_Formulas'!$C$2:$C$353,$B10,'Detalle_Formulas'!$A$2:$A$353,"Tercer puesto")+SUMIFS('Detalle_Formulas'!$Z$2:$Z$353,'Detalle_Formulas'!$C$2:$C$353,$B10,'Detalle_Formulas'!$A$2:$A$353,"Final")</x:f>
        <x:v>15</x:v>
      </x:c>
      <x:c r="I10" t="n">
        <x:f>C10+F10+G10+H10</x:f>
        <x:v>88</x:v>
      </x:c>
      <x:c r="J10" t="n">
        <x:f>D10+F10+G10+H10</x:f>
        <x:v>83</x:v>
      </x:c>
      <x:c r="K10" t="n">
        <x:f>0+COUNTIFS('Detalle_Formulas'!$C$2:$C$353,$B10,'Detalle_Formulas'!$A$2:$A$353,"&lt;&gt;8vos",'Detalle_Formulas'!$V$2:$V$353,"&gt;0")</x:f>
        <x:v>0</x:v>
      </x:c>
      <x:c r="L10" t="n">
        <x:f>4+COUNTIFS('Detalle_Formulas'!$C$2:$C$353,$B10,'Detalle_Formulas'!$A$2:$A$353,"&lt;&gt;8vos",'Detalle_Formulas'!$T$2:$T$353,"&gt;0")</x:f>
        <x:v>11</x:v>
      </x:c>
      <x:c r="M10" t="n">
        <x:f>6+COUNTIFS('Detalle_Formulas'!$C$2:$C$353,$B10,'Detalle_Formulas'!$A$2:$A$353,"&lt;&gt;8vos",'Detalle_Formulas'!$U$2:$U$353,"&gt;0")</x:f>
        <x:v>8</x:v>
      </x:c>
      <x:c r="N10" t="n">
        <x:f>COUNTIFS('Detalle_Formulas'!$C$2:$C$353,$B10,'Detalle_Formulas'!$H$2:$H$353,"Sin envio")</x:f>
        <x:v>0</x:v>
      </x:c>
      <x:c r="O10" t="str">
        <x:f>IF(E10=0,"OK","Diferencia en 8vos: revisar fuente original")</x:f>
        <x:v>Diferencia en 8vos: revisar fuente original</x:v>
      </x:c>
    </x:row>
    <x:row r="11" ht="15" hidden="0" customHeight="1">
      <x:c r="A11" t="n">
        <x:v>10</x:v>
      </x:c>
      <x:c r="B11" t="str">
        <x:v>Arthur</x:v>
      </x:c>
      <x:c r="C11" t="n">
        <x:v>35</x:v>
      </x:c>
      <x:c r="D11" t="n">
        <x:f>SUMIFS('Detalle_Formulas'!$Z$2:$Z$353,'Detalle_Formulas'!$C$2:$C$353,$B11,'Detalle_Formulas'!$A$2:$A$353,"8vos")</x:f>
        <x:v>30</x:v>
      </x:c>
      <x:c r="E11" t="n">
        <x:f>D11-C11</x:f>
        <x:v>-5</x:v>
      </x:c>
      <x:c r="F11" t="n">
        <x:f>SUMIFS('Detalle_Formulas'!$Z$2:$Z$353,'Detalle_Formulas'!$C$2:$C$353,$B11,'Detalle_Formulas'!$A$2:$A$353,"4tos")</x:f>
        <x:v>39</x:v>
      </x:c>
      <x:c r="G11" t="n">
        <x:f>SUMIFS('Detalle_Formulas'!$Z$2:$Z$353,'Detalle_Formulas'!$C$2:$C$353,$B11,'Detalle_Formulas'!$A$2:$A$353,"Semifinal")</x:f>
        <x:v>0</x:v>
      </x:c>
      <x:c r="H11" t="n">
        <x:f>SUMIFS('Detalle_Formulas'!$Z$2:$Z$353,'Detalle_Formulas'!$C$2:$C$353,$B11,'Detalle_Formulas'!$A$2:$A$353,"Tercer puesto")+SUMIFS('Detalle_Formulas'!$Z$2:$Z$353,'Detalle_Formulas'!$C$2:$C$353,$B11,'Detalle_Formulas'!$A$2:$A$353,"Final")</x:f>
        <x:v>12</x:v>
      </x:c>
      <x:c r="I11" t="n">
        <x:f>C11+F11+G11+H11</x:f>
        <x:v>86</x:v>
      </x:c>
      <x:c r="J11" t="n">
        <x:f>D11+F11+G11+H11</x:f>
        <x:v>81</x:v>
      </x:c>
      <x:c r="K11" t="n">
        <x:f>0+COUNTIFS('Detalle_Formulas'!$C$2:$C$353,$B11,'Detalle_Formulas'!$A$2:$A$353,"&lt;&gt;8vos",'Detalle_Formulas'!$V$2:$V$353,"&gt;0")</x:f>
        <x:v>2</x:v>
      </x:c>
      <x:c r="L11" t="n">
        <x:f>5+COUNTIFS('Detalle_Formulas'!$C$2:$C$353,$B11,'Detalle_Formulas'!$A$2:$A$353,"&lt;&gt;8vos",'Detalle_Formulas'!$T$2:$T$353,"&gt;0")</x:f>
        <x:v>9</x:v>
      </x:c>
      <x:c r="M11" t="n">
        <x:f>4+COUNTIFS('Detalle_Formulas'!$C$2:$C$353,$B11,'Detalle_Formulas'!$A$2:$A$353,"&lt;&gt;8vos",'Detalle_Formulas'!$U$2:$U$353,"&gt;0")</x:f>
        <x:v>7</x:v>
      </x:c>
      <x:c r="N11" t="n">
        <x:f>COUNTIFS('Detalle_Formulas'!$C$2:$C$353,$B11,'Detalle_Formulas'!$H$2:$H$353,"Sin envio")</x:f>
        <x:v>0</x:v>
      </x:c>
      <x:c r="O11" t="str">
        <x:f>IF(E11=0,"OK","Diferencia en 8vos: revisar fuente original")</x:f>
        <x:v>Diferencia en 8vos: revisar fuente original</x:v>
      </x:c>
    </x:row>
    <x:row r="12" ht="15" hidden="0" customHeight="1">
      <x:c r="A12" t="n">
        <x:v>11</x:v>
      </x:c>
      <x:c r="B12" t="str">
        <x:v>Manuel</x:v>
      </x:c>
      <x:c r="C12" t="n">
        <x:v>39</x:v>
      </x:c>
      <x:c r="D12" t="n">
        <x:f>SUMIFS('Detalle_Formulas'!$Z$2:$Z$353,'Detalle_Formulas'!$C$2:$C$353,$B12,'Detalle_Formulas'!$A$2:$A$353,"8vos")</x:f>
        <x:v>30</x:v>
      </x:c>
      <x:c r="E12" t="n">
        <x:f>D12-C12</x:f>
        <x:v>-9</x:v>
      </x:c>
      <x:c r="F12" t="n">
        <x:f>SUMIFS('Detalle_Formulas'!$Z$2:$Z$353,'Detalle_Formulas'!$C$2:$C$353,$B12,'Detalle_Formulas'!$A$2:$A$353,"4tos")</x:f>
        <x:v>29</x:v>
      </x:c>
      <x:c r="G12" t="n">
        <x:f>SUMIFS('Detalle_Formulas'!$Z$2:$Z$353,'Detalle_Formulas'!$C$2:$C$353,$B12,'Detalle_Formulas'!$A$2:$A$353,"Semifinal")</x:f>
        <x:v>0</x:v>
      </x:c>
      <x:c r="H12" t="n">
        <x:f>SUMIFS('Detalle_Formulas'!$Z$2:$Z$353,'Detalle_Formulas'!$C$2:$C$353,$B12,'Detalle_Formulas'!$A$2:$A$353,"Tercer puesto")+SUMIFS('Detalle_Formulas'!$Z$2:$Z$353,'Detalle_Formulas'!$C$2:$C$353,$B12,'Detalle_Formulas'!$A$2:$A$353,"Final")</x:f>
        <x:v>0</x:v>
      </x:c>
      <x:c r="I12" t="n">
        <x:f>C12+F12+G12+H12</x:f>
        <x:v>68</x:v>
      </x:c>
      <x:c r="J12" t="n">
        <x:f>D12+F12+G12+H12</x:f>
        <x:v>59</x:v>
      </x:c>
      <x:c r="K12" t="n">
        <x:f>1+COUNTIFS('Detalle_Formulas'!$C$2:$C$353,$B12,'Detalle_Formulas'!$A$2:$A$353,"&lt;&gt;8vos",'Detalle_Formulas'!$V$2:$V$353,"&gt;0")</x:f>
        <x:v>2</x:v>
      </x:c>
      <x:c r="L12" t="n">
        <x:f>5+COUNTIFS('Detalle_Formulas'!$C$2:$C$353,$B12,'Detalle_Formulas'!$A$2:$A$353,"&lt;&gt;8vos",'Detalle_Formulas'!$T$2:$T$353,"&gt;0")</x:f>
        <x:v>7</x:v>
      </x:c>
      <x:c r="M12" t="n">
        <x:f>2+COUNTIFS('Detalle_Formulas'!$C$2:$C$353,$B12,'Detalle_Formulas'!$A$2:$A$353,"&lt;&gt;8vos",'Detalle_Formulas'!$U$2:$U$353,"&gt;0")</x:f>
        <x:v>4</x:v>
      </x:c>
      <x:c r="N12" t="n">
        <x:f>COUNTIFS('Detalle_Formulas'!$C$2:$C$353,$B12,'Detalle_Formulas'!$H$2:$H$353,"Sin envio")</x:f>
        <x:v>2</x:v>
      </x:c>
      <x:c r="O12" t="str">
        <x:f>IF(E12=0,"OK","Diferencia en 8vos: revisar fuente original")</x:f>
        <x:v>Diferencia en 8vos: revisar fuente original</x:v>
      </x:c>
    </x:row>
    <x:row r="13" ht="15" hidden="0" customHeight="1">
      <x:c r="A13" t="n">
        <x:v>12</x:v>
      </x:c>
      <x:c r="B13" t="str">
        <x:v>Daniel</x:v>
      </x:c>
      <x:c r="C13" t="n">
        <x:v>32</x:v>
      </x:c>
      <x:c r="D13" t="n">
        <x:f>SUMIFS('Detalle_Formulas'!$Z$2:$Z$353,'Detalle_Formulas'!$C$2:$C$353,$B13,'Detalle_Formulas'!$A$2:$A$353,"8vos")</x:f>
        <x:v>24</x:v>
      </x:c>
      <x:c r="E13" t="n">
        <x:f>D13-C13</x:f>
        <x:v>-8</x:v>
      </x:c>
      <x:c r="F13" t="n">
        <x:f>SUMIFS('Detalle_Formulas'!$Z$2:$Z$353,'Detalle_Formulas'!$C$2:$C$353,$B13,'Detalle_Formulas'!$A$2:$A$353,"4tos")</x:f>
        <x:v>29</x:v>
      </x:c>
      <x:c r="G13" t="n">
        <x:f>SUMIFS('Detalle_Formulas'!$Z$2:$Z$353,'Detalle_Formulas'!$C$2:$C$353,$B13,'Detalle_Formulas'!$A$2:$A$353,"Semifinal")</x:f>
        <x:v>0</x:v>
      </x:c>
      <x:c r="H13" t="n">
        <x:f>SUMIFS('Detalle_Formulas'!$Z$2:$Z$353,'Detalle_Formulas'!$C$2:$C$353,$B13,'Detalle_Formulas'!$A$2:$A$353,"Tercer puesto")+SUMIFS('Detalle_Formulas'!$Z$2:$Z$353,'Detalle_Formulas'!$C$2:$C$353,$B13,'Detalle_Formulas'!$A$2:$A$353,"Final")</x:f>
        <x:v>0</x:v>
      </x:c>
      <x:c r="I13" t="n">
        <x:f>C13+F13+G13+H13</x:f>
        <x:v>61</x:v>
      </x:c>
      <x:c r="J13" t="n">
        <x:f>D13+F13+G13+H13</x:f>
        <x:v>53</x:v>
      </x:c>
      <x:c r="K13" t="n">
        <x:f>0+COUNTIFS('Detalle_Formulas'!$C$2:$C$353,$B13,'Detalle_Formulas'!$A$2:$A$353,"&lt;&gt;8vos",'Detalle_Formulas'!$V$2:$V$353,"&gt;0")</x:f>
        <x:v>1</x:v>
      </x:c>
      <x:c r="L13" t="n">
        <x:f>2+COUNTIFS('Detalle_Formulas'!$C$2:$C$353,$B13,'Detalle_Formulas'!$A$2:$A$353,"&lt;&gt;8vos",'Detalle_Formulas'!$T$2:$T$353,"&gt;0")</x:f>
        <x:v>5</x:v>
      </x:c>
      <x:c r="M13" t="n">
        <x:f>3+COUNTIFS('Detalle_Formulas'!$C$2:$C$353,$B13,'Detalle_Formulas'!$A$2:$A$353,"&lt;&gt;8vos",'Detalle_Formulas'!$U$2:$U$353,"&gt;0")</x:f>
        <x:v>4</x:v>
      </x:c>
      <x:c r="N13" t="n">
        <x:f>COUNTIFS('Detalle_Formulas'!$C$2:$C$353,$B13,'Detalle_Formulas'!$H$2:$H$353,"Sin envio")</x:f>
        <x:v>4</x:v>
      </x:c>
      <x:c r="O13" t="str">
        <x:f>IF(E13=0,"OK","Diferencia en 8vos: revisar fuente original")</x:f>
        <x:v>Diferencia en 8vos: revisar fuente original</x:v>
      </x:c>
    </x:row>
    <x:row r="14" ht="15" hidden="0" customHeight="1">
      <x:c r="A14" t="n">
        <x:v>13</x:v>
      </x:c>
      <x:c r="B14" t="str">
        <x:v>Óscar</x:v>
      </x:c>
      <x:c r="C14" t="n">
        <x:v>32</x:v>
      </x:c>
      <x:c r="D14" t="n">
        <x:f>SUMIFS('Detalle_Formulas'!$Z$2:$Z$353,'Detalle_Formulas'!$C$2:$C$353,$B14,'Detalle_Formulas'!$A$2:$A$353,"8vos")</x:f>
        <x:v>23</x:v>
      </x:c>
      <x:c r="E14" t="n">
        <x:f>D14-C14</x:f>
        <x:v>-9</x:v>
      </x:c>
      <x:c r="F14" t="n">
        <x:f>SUMIFS('Detalle_Formulas'!$Z$2:$Z$353,'Detalle_Formulas'!$C$2:$C$353,$B14,'Detalle_Formulas'!$A$2:$A$353,"4tos")</x:f>
        <x:v>26</x:v>
      </x:c>
      <x:c r="G14" t="n">
        <x:f>SUMIFS('Detalle_Formulas'!$Z$2:$Z$353,'Detalle_Formulas'!$C$2:$C$353,$B14,'Detalle_Formulas'!$A$2:$A$353,"Semifinal")</x:f>
        <x:v>3</x:v>
      </x:c>
      <x:c r="H14" t="n">
        <x:f>SUMIFS('Detalle_Formulas'!$Z$2:$Z$353,'Detalle_Formulas'!$C$2:$C$353,$B14,'Detalle_Formulas'!$A$2:$A$353,"Tercer puesto")+SUMIFS('Detalle_Formulas'!$Z$2:$Z$353,'Detalle_Formulas'!$C$2:$C$353,$B14,'Detalle_Formulas'!$A$2:$A$353,"Final")</x:f>
        <x:v>0</x:v>
      </x:c>
      <x:c r="I14" t="n">
        <x:f>C14+F14+G14+H14</x:f>
        <x:v>61</x:v>
      </x:c>
      <x:c r="J14" t="n">
        <x:f>D14+F14+G14+H14</x:f>
        <x:v>52</x:v>
      </x:c>
      <x:c r="K14" t="n">
        <x:f>0+COUNTIFS('Detalle_Formulas'!$C$2:$C$353,$B14,'Detalle_Formulas'!$A$2:$A$353,"&lt;&gt;8vos",'Detalle_Formulas'!$V$2:$V$353,"&gt;0")</x:f>
        <x:v>0</x:v>
      </x:c>
      <x:c r="L14" t="n">
        <x:f>5+COUNTIFS('Detalle_Formulas'!$C$2:$C$353,$B14,'Detalle_Formulas'!$A$2:$A$353,"&lt;&gt;8vos",'Detalle_Formulas'!$T$2:$T$353,"&gt;0")</x:f>
        <x:v>10</x:v>
      </x:c>
      <x:c r="M14" t="n">
        <x:f>2+COUNTIFS('Detalle_Formulas'!$C$2:$C$353,$B14,'Detalle_Formulas'!$A$2:$A$353,"&lt;&gt;8vos",'Detalle_Formulas'!$U$2:$U$353,"&gt;0")</x:f>
        <x:v>3</x:v>
      </x:c>
      <x:c r="N14" t="n">
        <x:f>COUNTIFS('Detalle_Formulas'!$C$2:$C$353,$B14,'Detalle_Formulas'!$H$2:$H$353,"Sin envio")</x:f>
        <x:v>0</x:v>
      </x:c>
      <x:c r="O14" t="str">
        <x:f>IF(E14=0,"OK","Diferencia en 8vos: revisar fuente original")</x:f>
        <x:v>Diferencia en 8vos: revisar fuente original</x:v>
      </x:c>
    </x:row>
    <x:row r="15" ht="15" hidden="0" customHeight="1">
      <x:c r="A15" t="n">
        <x:v>14</x:v>
      </x:c>
      <x:c r="B15" t="str">
        <x:v>Fernando</x:v>
      </x:c>
      <x:c r="C15" t="n">
        <x:v>25</x:v>
      </x:c>
      <x:c r="D15" t="n">
        <x:f>SUMIFS('Detalle_Formulas'!$Z$2:$Z$353,'Detalle_Formulas'!$C$2:$C$353,$B15,'Detalle_Formulas'!$A$2:$A$353,"8vos")</x:f>
        <x:v>16</x:v>
      </x:c>
      <x:c r="E15" t="n">
        <x:f>D15-C15</x:f>
        <x:v>-9</x:v>
      </x:c>
      <x:c r="F15" t="n">
        <x:f>SUMIFS('Detalle_Formulas'!$Z$2:$Z$353,'Detalle_Formulas'!$C$2:$C$353,$B15,'Detalle_Formulas'!$A$2:$A$353,"4tos")</x:f>
        <x:v>26</x:v>
      </x:c>
      <x:c r="G15" t="n">
        <x:f>SUMIFS('Detalle_Formulas'!$Z$2:$Z$353,'Detalle_Formulas'!$C$2:$C$353,$B15,'Detalle_Formulas'!$A$2:$A$353,"Semifinal")</x:f>
        <x:v>3</x:v>
      </x:c>
      <x:c r="H15" t="n">
        <x:f>SUMIFS('Detalle_Formulas'!$Z$2:$Z$353,'Detalle_Formulas'!$C$2:$C$353,$B15,'Detalle_Formulas'!$A$2:$A$353,"Tercer puesto")+SUMIFS('Detalle_Formulas'!$Z$2:$Z$353,'Detalle_Formulas'!$C$2:$C$353,$B15,'Detalle_Formulas'!$A$2:$A$353,"Final")</x:f>
        <x:v>5</x:v>
      </x:c>
      <x:c r="I15" t="n">
        <x:f>C15+F15+G15+H15</x:f>
        <x:v>59</x:v>
      </x:c>
      <x:c r="J15" t="n">
        <x:f>D15+F15+G15+H15</x:f>
        <x:v>50</x:v>
      </x:c>
      <x:c r="K15" t="n">
        <x:f>0+COUNTIFS('Detalle_Formulas'!$C$2:$C$353,$B15,'Detalle_Formulas'!$A$2:$A$353,"&lt;&gt;8vos",'Detalle_Formulas'!$V$2:$V$353,"&gt;0")</x:f>
        <x:v>0</x:v>
      </x:c>
      <x:c r="L15" t="n">
        <x:f>3+COUNTIFS('Detalle_Formulas'!$C$2:$C$353,$B15,'Detalle_Formulas'!$A$2:$A$353,"&lt;&gt;8vos",'Detalle_Formulas'!$T$2:$T$353,"&gt;0")</x:f>
        <x:v>8</x:v>
      </x:c>
      <x:c r="M15" t="n">
        <x:f>3+COUNTIFS('Detalle_Formulas'!$C$2:$C$353,$B15,'Detalle_Formulas'!$A$2:$A$353,"&lt;&gt;8vos",'Detalle_Formulas'!$U$2:$U$353,"&gt;0")</x:f>
        <x:v>6</x:v>
      </x:c>
      <x:c r="N15" t="n">
        <x:f>COUNTIFS('Detalle_Formulas'!$C$2:$C$353,$B15,'Detalle_Formulas'!$H$2:$H$353,"Sin envio")</x:f>
        <x:v>0</x:v>
      </x:c>
      <x:c r="O15" t="str">
        <x:f>IF(E15=0,"OK","Diferencia en 8vos: revisar fuente original")</x:f>
        <x:v>Diferencia en 8vos: revisar fuente original</x:v>
      </x:c>
    </x:row>
    <x:row r="16" ht="15" hidden="0" customHeight="1">
      <x:c r="A16" t="n">
        <x:v>15</x:v>
      </x:c>
      <x:c r="B16" t="str">
        <x:v>Moisés</x:v>
      </x:c>
      <x:c r="C16" t="n">
        <x:v>27</x:v>
      </x:c>
      <x:c r="D16" t="n">
        <x:f>SUMIFS('Detalle_Formulas'!$Z$2:$Z$353,'Detalle_Formulas'!$C$2:$C$353,$B16,'Detalle_Formulas'!$A$2:$A$353,"8vos")</x:f>
        <x:v>22</x:v>
      </x:c>
      <x:c r="E16" t="n">
        <x:f>D16-C16</x:f>
        <x:v>-5</x:v>
      </x:c>
      <x:c r="F16" t="n">
        <x:f>SUMIFS('Detalle_Formulas'!$Z$2:$Z$353,'Detalle_Formulas'!$C$2:$C$353,$B16,'Detalle_Formulas'!$A$2:$A$353,"4tos")</x:f>
        <x:v>29</x:v>
      </x:c>
      <x:c r="G16" t="n">
        <x:f>SUMIFS('Detalle_Formulas'!$Z$2:$Z$353,'Detalle_Formulas'!$C$2:$C$353,$B16,'Detalle_Formulas'!$A$2:$A$353,"Semifinal")</x:f>
        <x:v>0</x:v>
      </x:c>
      <x:c r="H16" t="n">
        <x:f>SUMIFS('Detalle_Formulas'!$Z$2:$Z$353,'Detalle_Formulas'!$C$2:$C$353,$B16,'Detalle_Formulas'!$A$2:$A$353,"Tercer puesto")+SUMIFS('Detalle_Formulas'!$Z$2:$Z$353,'Detalle_Formulas'!$C$2:$C$353,$B16,'Detalle_Formulas'!$A$2:$A$353,"Final")</x:f>
        <x:v>0</x:v>
      </x:c>
      <x:c r="I16" t="n">
        <x:f>C16+F16+G16+H16</x:f>
        <x:v>56</x:v>
      </x:c>
      <x:c r="J16" t="n">
        <x:f>D16+F16+G16+H16</x:f>
        <x:v>51</x:v>
      </x:c>
      <x:c r="K16" t="n">
        <x:f>0+COUNTIFS('Detalle_Formulas'!$C$2:$C$353,$B16,'Detalle_Formulas'!$A$2:$A$353,"&lt;&gt;8vos",'Detalle_Formulas'!$V$2:$V$353,"&gt;0")</x:f>
        <x:v>1</x:v>
      </x:c>
      <x:c r="L16" t="n">
        <x:f>5+COUNTIFS('Detalle_Formulas'!$C$2:$C$353,$B16,'Detalle_Formulas'!$A$2:$A$353,"&lt;&gt;8vos",'Detalle_Formulas'!$T$2:$T$353,"&gt;0")</x:f>
        <x:v>7</x:v>
      </x:c>
      <x:c r="M16" t="n">
        <x:f>1+COUNTIFS('Detalle_Formulas'!$C$2:$C$353,$B16,'Detalle_Formulas'!$A$2:$A$353,"&lt;&gt;8vos",'Detalle_Formulas'!$U$2:$U$353,"&gt;0")</x:f>
        <x:v>3</x:v>
      </x:c>
      <x:c r="N16" t="n">
        <x:f>COUNTIFS('Detalle_Formulas'!$C$2:$C$353,$B16,'Detalle_Formulas'!$H$2:$H$353,"Sin envio")</x:f>
        <x:v>2</x:v>
      </x:c>
      <x:c r="O16" t="str">
        <x:f>IF(E16=0,"OK","Diferencia en 8vos: revisar fuente original")</x:f>
        <x:v>Diferencia en 8vos: revisar fuente original</x:v>
      </x:c>
    </x:row>
    <x:row r="17" ht="15" hidden="0" customHeight="1">
      <x:c r="A17" t="n">
        <x:v>16</x:v>
      </x:c>
      <x:c r="B17" t="str">
        <x:v>Gino</x:v>
      </x:c>
      <x:c r="C17" t="n">
        <x:v>42</x:v>
      </x:c>
      <x:c r="D17" t="n">
        <x:f>SUMIFS('Detalle_Formulas'!$Z$2:$Z$353,'Detalle_Formulas'!$C$2:$C$353,$B17,'Detalle_Formulas'!$A$2:$A$353,"8vos")</x:f>
        <x:v>40</x:v>
      </x:c>
      <x:c r="E17" t="n">
        <x:f>D17-C17</x:f>
        <x:v>-2</x:v>
      </x:c>
      <x:c r="F17" t="n">
        <x:f>SUMIFS('Detalle_Formulas'!$Z$2:$Z$353,'Detalle_Formulas'!$C$2:$C$353,$B17,'Detalle_Formulas'!$A$2:$A$353,"4tos")</x:f>
        <x:v>14</x:v>
      </x:c>
      <x:c r="G17" t="n">
        <x:f>SUMIFS('Detalle_Formulas'!$Z$2:$Z$353,'Detalle_Formulas'!$C$2:$C$353,$B17,'Detalle_Formulas'!$A$2:$A$353,"Semifinal")</x:f>
        <x:v>0</x:v>
      </x:c>
      <x:c r="H17" t="n">
        <x:f>SUMIFS('Detalle_Formulas'!$Z$2:$Z$353,'Detalle_Formulas'!$C$2:$C$353,$B17,'Detalle_Formulas'!$A$2:$A$353,"Tercer puesto")+SUMIFS('Detalle_Formulas'!$Z$2:$Z$353,'Detalle_Formulas'!$C$2:$C$353,$B17,'Detalle_Formulas'!$A$2:$A$353,"Final")</x:f>
        <x:v>0</x:v>
      </x:c>
      <x:c r="I17" t="n">
        <x:f>C17+F17+G17+H17</x:f>
        <x:v>56</x:v>
      </x:c>
      <x:c r="J17" t="n">
        <x:f>D17+F17+G17+H17</x:f>
        <x:v>54</x:v>
      </x:c>
      <x:c r="K17" t="n">
        <x:f>0+COUNTIFS('Detalle_Formulas'!$C$2:$C$353,$B17,'Detalle_Formulas'!$A$2:$A$353,"&lt;&gt;8vos",'Detalle_Formulas'!$V$2:$V$353,"&gt;0")</x:f>
        <x:v>0</x:v>
      </x:c>
      <x:c r="L17" t="n">
        <x:f>6+COUNTIFS('Detalle_Formulas'!$C$2:$C$353,$B17,'Detalle_Formulas'!$A$2:$A$353,"&lt;&gt;8vos",'Detalle_Formulas'!$T$2:$T$353,"&gt;0")</x:f>
        <x:v>8</x:v>
      </x:c>
      <x:c r="M17" t="n">
        <x:f>4+COUNTIFS('Detalle_Formulas'!$C$2:$C$353,$B17,'Detalle_Formulas'!$A$2:$A$353,"&lt;&gt;8vos",'Detalle_Formulas'!$U$2:$U$353,"&gt;0")</x:f>
        <x:v>5</x:v>
      </x:c>
      <x:c r="N17" t="n">
        <x:f>COUNTIFS('Detalle_Formulas'!$C$2:$C$353,$B17,'Detalle_Formulas'!$H$2:$H$353,"Sin envio")</x:f>
        <x:v>0</x:v>
      </x:c>
      <x:c r="O17" t="str">
        <x:f>IF(E17=0,"OK","Diferencia en 8vos: revisar fuente original")</x:f>
        <x:v>Diferencia en 8vos: revisar fuente original</x:v>
      </x:c>
    </x:row>
    <x:row r="18" ht="15" hidden="0" customHeight="1">
      <x:c r="A18" t="n">
        <x:v>17</x:v>
      </x:c>
      <x:c r="B18" t="str">
        <x:v>Javier</x:v>
      </x:c>
      <x:c r="C18" t="n">
        <x:v>44</x:v>
      </x:c>
      <x:c r="D18" t="n">
        <x:f>SUMIFS('Detalle_Formulas'!$Z$2:$Z$353,'Detalle_Formulas'!$C$2:$C$353,$B18,'Detalle_Formulas'!$A$2:$A$353,"8vos")</x:f>
        <x:v>34</x:v>
      </x:c>
      <x:c r="E18" t="n">
        <x:f>D18-C18</x:f>
        <x:v>-10</x:v>
      </x:c>
      <x:c r="F18" t="n">
        <x:f>SUMIFS('Detalle_Formulas'!$Z$2:$Z$353,'Detalle_Formulas'!$C$2:$C$353,$B18,'Detalle_Formulas'!$A$2:$A$353,"4tos")</x:f>
        <x:v>6</x:v>
      </x:c>
      <x:c r="G18" t="n">
        <x:f>SUMIFS('Detalle_Formulas'!$Z$2:$Z$353,'Detalle_Formulas'!$C$2:$C$353,$B18,'Detalle_Formulas'!$A$2:$A$353,"Semifinal")</x:f>
        <x:v>0</x:v>
      </x:c>
      <x:c r="H18" t="n">
        <x:f>SUMIFS('Detalle_Formulas'!$Z$2:$Z$353,'Detalle_Formulas'!$C$2:$C$353,$B18,'Detalle_Formulas'!$A$2:$A$353,"Tercer puesto")+SUMIFS('Detalle_Formulas'!$Z$2:$Z$353,'Detalle_Formulas'!$C$2:$C$353,$B18,'Detalle_Formulas'!$A$2:$A$353,"Final")</x:f>
        <x:v>0</x:v>
      </x:c>
      <x:c r="I18" t="n">
        <x:f>C18+F18+G18+H18</x:f>
        <x:v>50</x:v>
      </x:c>
      <x:c r="J18" t="n">
        <x:f>D18+F18+G18+H18</x:f>
        <x:v>40</x:v>
      </x:c>
      <x:c r="K18" t="n">
        <x:f>0+COUNTIFS('Detalle_Formulas'!$C$2:$C$353,$B18,'Detalle_Formulas'!$A$2:$A$353,"&lt;&gt;8vos",'Detalle_Formulas'!$V$2:$V$353,"&gt;0")</x:f>
        <x:v>0</x:v>
      </x:c>
      <x:c r="L18" t="n">
        <x:f>4+COUNTIFS('Detalle_Formulas'!$C$2:$C$353,$B18,'Detalle_Formulas'!$A$2:$A$353,"&lt;&gt;8vos",'Detalle_Formulas'!$T$2:$T$353,"&gt;0")</x:f>
        <x:v>6</x:v>
      </x:c>
      <x:c r="M18" t="n">
        <x:f>5+COUNTIFS('Detalle_Formulas'!$C$2:$C$353,$B18,'Detalle_Formulas'!$A$2:$A$353,"&lt;&gt;8vos",'Detalle_Formulas'!$U$2:$U$353,"&gt;0")</x:f>
        <x:v>5</x:v>
      </x:c>
      <x:c r="N18" t="n">
        <x:f>COUNTIFS('Detalle_Formulas'!$C$2:$C$353,$B18,'Detalle_Formulas'!$H$2:$H$353,"Sin envio")</x:f>
        <x:v>4</x:v>
      </x:c>
      <x:c r="O18" t="str">
        <x:f>IF(E18=0,"OK","Diferencia en 8vos: revisar fuente original")</x:f>
        <x:v>Diferencia en 8vos: revisar fuente original</x:v>
      </x:c>
    </x:row>
    <x:row r="19" ht="15" hidden="0" customHeight="1">
      <x:c r="A19" t="n">
        <x:v>18</x:v>
      </x:c>
      <x:c r="B19" t="str">
        <x:v>Juan</x:v>
      </x:c>
      <x:c r="C19" t="n">
        <x:v>36</x:v>
      </x:c>
      <x:c r="D19" t="n">
        <x:f>SUMIFS('Detalle_Formulas'!$Z$2:$Z$353,'Detalle_Formulas'!$C$2:$C$353,$B19,'Detalle_Formulas'!$A$2:$A$353,"8vos")</x:f>
        <x:v>36</x:v>
      </x:c>
      <x:c r="E19" t="n">
        <x:f>D19-C19</x:f>
        <x:v>0</x:v>
      </x:c>
      <x:c r="F19" t="n">
        <x:f>SUMIFS('Detalle_Formulas'!$Z$2:$Z$353,'Detalle_Formulas'!$C$2:$C$353,$B19,'Detalle_Formulas'!$A$2:$A$353,"4tos")</x:f>
        <x:v>0</x:v>
      </x:c>
      <x:c r="G19" t="n">
        <x:f>SUMIFS('Detalle_Formulas'!$Z$2:$Z$353,'Detalle_Formulas'!$C$2:$C$353,$B19,'Detalle_Formulas'!$A$2:$A$353,"Semifinal")</x:f>
        <x:v>6</x:v>
      </x:c>
      <x:c r="H19" t="n">
        <x:f>SUMIFS('Detalle_Formulas'!$Z$2:$Z$353,'Detalle_Formulas'!$C$2:$C$353,$B19,'Detalle_Formulas'!$A$2:$A$353,"Tercer puesto")+SUMIFS('Detalle_Formulas'!$Z$2:$Z$353,'Detalle_Formulas'!$C$2:$C$353,$B19,'Detalle_Formulas'!$A$2:$A$353,"Final")</x:f>
        <x:v>0</x:v>
      </x:c>
      <x:c r="I19" t="n">
        <x:f>C19+F19+G19+H19</x:f>
        <x:v>42</x:v>
      </x:c>
      <x:c r="J19" t="n">
        <x:f>D19+F19+G19+H19</x:f>
        <x:v>42</x:v>
      </x:c>
      <x:c r="K19" t="n">
        <x:f>0+COUNTIFS('Detalle_Formulas'!$C$2:$C$353,$B19,'Detalle_Formulas'!$A$2:$A$353,"&lt;&gt;8vos",'Detalle_Formulas'!$V$2:$V$353,"&gt;0")</x:f>
        <x:v>0</x:v>
      </x:c>
      <x:c r="L19" t="n">
        <x:f>5+COUNTIFS('Detalle_Formulas'!$C$2:$C$353,$B19,'Detalle_Formulas'!$A$2:$A$353,"&lt;&gt;8vos",'Detalle_Formulas'!$T$2:$T$353,"&gt;0")</x:f>
        <x:v>7</x:v>
      </x:c>
      <x:c r="M19" t="n">
        <x:f>3+COUNTIFS('Detalle_Formulas'!$C$2:$C$353,$B19,'Detalle_Formulas'!$A$2:$A$353,"&lt;&gt;8vos",'Detalle_Formulas'!$U$2:$U$353,"&gt;0")</x:f>
        <x:v>3</x:v>
      </x:c>
      <x:c r="N19" t="n">
        <x:f>COUNTIFS('Detalle_Formulas'!$C$2:$C$353,$B19,'Detalle_Formulas'!$H$2:$H$353,"Sin envio")</x:f>
        <x:v>4</x:v>
      </x:c>
      <x:c r="O19" t="str">
        <x:f>IF(E19=0,"OK","Diferencia en 8vos: revisar fuente original")</x:f>
        <x:v>OK</x:v>
      </x:c>
    </x:row>
    <x:row r="20" ht="15" hidden="0" customHeight="1">
      <x:c r="A20" t="n">
        <x:v>19</x:v>
      </x:c>
      <x:c r="B20" t="str">
        <x:v>Diana</x:v>
      </x:c>
      <x:c r="C20" t="n">
        <x:v>25</x:v>
      </x:c>
      <x:c r="D20" t="n">
        <x:f>SUMIFS('Detalle_Formulas'!$Z$2:$Z$353,'Detalle_Formulas'!$C$2:$C$353,$B20,'Detalle_Formulas'!$A$2:$A$353,"8vos")</x:f>
        <x:v>25</x:v>
      </x:c>
      <x:c r="E20" t="n">
        <x:f>D20-C20</x:f>
        <x:v>0</x:v>
      </x:c>
      <x:c r="F20" t="n">
        <x:f>SUMIFS('Detalle_Formulas'!$Z$2:$Z$353,'Detalle_Formulas'!$C$2:$C$353,$B20,'Detalle_Formulas'!$A$2:$A$353,"4tos")</x:f>
        <x:v>0</x:v>
      </x:c>
      <x:c r="G20" t="n">
        <x:f>SUMIFS('Detalle_Formulas'!$Z$2:$Z$353,'Detalle_Formulas'!$C$2:$C$353,$B20,'Detalle_Formulas'!$A$2:$A$353,"Semifinal")</x:f>
        <x:v>0</x:v>
      </x:c>
      <x:c r="H20" t="n">
        <x:f>SUMIFS('Detalle_Formulas'!$Z$2:$Z$353,'Detalle_Formulas'!$C$2:$C$353,$B20,'Detalle_Formulas'!$A$2:$A$353,"Tercer puesto")+SUMIFS('Detalle_Formulas'!$Z$2:$Z$353,'Detalle_Formulas'!$C$2:$C$353,$B20,'Detalle_Formulas'!$A$2:$A$353,"Final")</x:f>
        <x:v>0</x:v>
      </x:c>
      <x:c r="I20" t="n">
        <x:f>C20+F20+G20+H20</x:f>
        <x:v>25</x:v>
      </x:c>
      <x:c r="J20" t="n">
        <x:f>D20+F20+G20+H20</x:f>
        <x:v>25</x:v>
      </x:c>
      <x:c r="K20" t="n">
        <x:f>0+COUNTIFS('Detalle_Formulas'!$C$2:$C$353,$B20,'Detalle_Formulas'!$A$2:$A$353,"&lt;&gt;8vos",'Detalle_Formulas'!$V$2:$V$353,"&gt;0")</x:f>
        <x:v>0</x:v>
      </x:c>
      <x:c r="L20" t="n">
        <x:f>3+COUNTIFS('Detalle_Formulas'!$C$2:$C$353,$B20,'Detalle_Formulas'!$A$2:$A$353,"&lt;&gt;8vos",'Detalle_Formulas'!$T$2:$T$353,"&gt;0")</x:f>
        <x:v>3</x:v>
      </x:c>
      <x:c r="M20" t="n">
        <x:f>2+COUNTIFS('Detalle_Formulas'!$C$2:$C$353,$B20,'Detalle_Formulas'!$A$2:$A$353,"&lt;&gt;8vos",'Detalle_Formulas'!$U$2:$U$353,"&gt;0")</x:f>
        <x:v>2</x:v>
      </x:c>
      <x:c r="N20" t="n">
        <x:f>COUNTIFS('Detalle_Formulas'!$C$2:$C$353,$B20,'Detalle_Formulas'!$H$2:$H$353,"Sin envio")</x:f>
        <x:v>8</x:v>
      </x:c>
      <x:c r="O20" t="str">
        <x:f>IF(E20=0,"OK","Diferencia en 8vos: revisar fuente original")</x:f>
        <x:v>OK</x:v>
      </x:c>
    </x:row>
    <x:row r="21" ht="15" hidden="0" customHeight="1">
      <x:c r="A21" t="n">
        <x:v>20</x:v>
      </x:c>
      <x:c r="B21" t="str">
        <x:v>José Luis</x:v>
      </x:c>
      <x:c r="C21" t="n">
        <x:v>0</x:v>
      </x:c>
      <x:c r="D21" t="n">
        <x:f>SUMIFS('Detalle_Formulas'!$Z$2:$Z$353,'Detalle_Formulas'!$C$2:$C$353,$B21,'Detalle_Formulas'!$A$2:$A$353,"8vos")</x:f>
        <x:v>0</x:v>
      </x:c>
      <x:c r="E21" t="n">
        <x:f>D21-C21</x:f>
        <x:v>0</x:v>
      </x:c>
      <x:c r="F21" t="n">
        <x:f>SUMIFS('Detalle_Formulas'!$Z$2:$Z$353,'Detalle_Formulas'!$C$2:$C$353,$B21,'Detalle_Formulas'!$A$2:$A$353,"4tos")</x:f>
        <x:v>0</x:v>
      </x:c>
      <x:c r="G21" t="n">
        <x:f>SUMIFS('Detalle_Formulas'!$Z$2:$Z$353,'Detalle_Formulas'!$C$2:$C$353,$B21,'Detalle_Formulas'!$A$2:$A$353,"Semifinal")</x:f>
        <x:v>0</x:v>
      </x:c>
      <x:c r="H21" t="n">
        <x:f>SUMIFS('Detalle_Formulas'!$Z$2:$Z$353,'Detalle_Formulas'!$C$2:$C$353,$B21,'Detalle_Formulas'!$A$2:$A$353,"Tercer puesto")+SUMIFS('Detalle_Formulas'!$Z$2:$Z$353,'Detalle_Formulas'!$C$2:$C$353,$B21,'Detalle_Formulas'!$A$2:$A$353,"Final")</x:f>
        <x:v>0</x:v>
      </x:c>
      <x:c r="I21" t="n">
        <x:f>C21+F21+G21+H21</x:f>
        <x:v>0</x:v>
      </x:c>
      <x:c r="J21" t="n">
        <x:f>D21+F21+G21+H21</x:f>
        <x:v>0</x:v>
      </x:c>
      <x:c r="K21" t="n">
        <x:f>0+COUNTIFS('Detalle_Formulas'!$C$2:$C$353,$B21,'Detalle_Formulas'!$A$2:$A$353,"&lt;&gt;8vos",'Detalle_Formulas'!$V$2:$V$353,"&gt;0")</x:f>
        <x:v>0</x:v>
      </x:c>
      <x:c r="L21" t="n">
        <x:f>0+COUNTIFS('Detalle_Formulas'!$C$2:$C$353,$B21,'Detalle_Formulas'!$A$2:$A$353,"&lt;&gt;8vos",'Detalle_Formulas'!$T$2:$T$353,"&gt;0")</x:f>
        <x:v>0</x:v>
      </x:c>
      <x:c r="M21" t="n">
        <x:f>0+COUNTIFS('Detalle_Formulas'!$C$2:$C$353,$B21,'Detalle_Formulas'!$A$2:$A$353,"&lt;&gt;8vos",'Detalle_Formulas'!$U$2:$U$353,"&gt;0")</x:f>
        <x:v>0</x:v>
      </x:c>
      <x:c r="N21" t="n">
        <x:f>COUNTIFS('Detalle_Formulas'!$C$2:$C$353,$B21,'Detalle_Formulas'!$H$2:$H$353,"Sin envio")</x:f>
        <x:v>16</x:v>
      </x:c>
      <x:c r="O21" t="str">
        <x:f>IF(E21=0,"OK","Diferencia en 8vos: revisar fuente original")</x:f>
        <x:v>OK</x:v>
      </x:c>
    </x:row>
    <x:row r="22" ht="15" hidden="0" customHeight="1">
      <x:c r="A22" t="n">
        <x:v>21</x:v>
      </x:c>
      <x:c r="B22" t="str">
        <x:v>Marcelo</x:v>
      </x:c>
      <x:c r="C22" t="n">
        <x:v>0</x:v>
      </x:c>
      <x:c r="D22" t="n">
        <x:f>SUMIFS('Detalle_Formulas'!$Z$2:$Z$353,'Detalle_Formulas'!$C$2:$C$353,$B22,'Detalle_Formulas'!$A$2:$A$353,"8vos")</x:f>
        <x:v>0</x:v>
      </x:c>
      <x:c r="E22" t="n">
        <x:f>D22-C22</x:f>
        <x:v>0</x:v>
      </x:c>
      <x:c r="F22" t="n">
        <x:f>SUMIFS('Detalle_Formulas'!$Z$2:$Z$353,'Detalle_Formulas'!$C$2:$C$353,$B22,'Detalle_Formulas'!$A$2:$A$353,"4tos")</x:f>
        <x:v>0</x:v>
      </x:c>
      <x:c r="G22" t="n">
        <x:f>SUMIFS('Detalle_Formulas'!$Z$2:$Z$353,'Detalle_Formulas'!$C$2:$C$353,$B22,'Detalle_Formulas'!$A$2:$A$353,"Semifinal")</x:f>
        <x:v>0</x:v>
      </x:c>
      <x:c r="H22" t="n">
        <x:f>SUMIFS('Detalle_Formulas'!$Z$2:$Z$353,'Detalle_Formulas'!$C$2:$C$353,$B22,'Detalle_Formulas'!$A$2:$A$353,"Tercer puesto")+SUMIFS('Detalle_Formulas'!$Z$2:$Z$353,'Detalle_Formulas'!$C$2:$C$353,$B22,'Detalle_Formulas'!$A$2:$A$353,"Final")</x:f>
        <x:v>0</x:v>
      </x:c>
      <x:c r="I22" t="n">
        <x:f>C22+F22+G22+H22</x:f>
        <x:v>0</x:v>
      </x:c>
      <x:c r="J22" t="n">
        <x:f>D22+F22+G22+H22</x:f>
        <x:v>0</x:v>
      </x:c>
      <x:c r="K22" t="n">
        <x:f>0+COUNTIFS('Detalle_Formulas'!$C$2:$C$353,$B22,'Detalle_Formulas'!$A$2:$A$353,"&lt;&gt;8vos",'Detalle_Formulas'!$V$2:$V$353,"&gt;0")</x:f>
        <x:v>0</x:v>
      </x:c>
      <x:c r="L22" t="n">
        <x:f>0+COUNTIFS('Detalle_Formulas'!$C$2:$C$353,$B22,'Detalle_Formulas'!$A$2:$A$353,"&lt;&gt;8vos",'Detalle_Formulas'!$T$2:$T$353,"&gt;0")</x:f>
        <x:v>0</x:v>
      </x:c>
      <x:c r="M22" t="n">
        <x:f>0+COUNTIFS('Detalle_Formulas'!$C$2:$C$353,$B22,'Detalle_Formulas'!$A$2:$A$353,"&lt;&gt;8vos",'Detalle_Formulas'!$U$2:$U$353,"&gt;0")</x:f>
        <x:v>0</x:v>
      </x:c>
      <x:c r="N22" t="n">
        <x:f>COUNTIFS('Detalle_Formulas'!$C$2:$C$353,$B22,'Detalle_Formulas'!$H$2:$H$353,"Sin envio")</x:f>
        <x:v>16</x:v>
      </x:c>
      <x:c r="O22" t="str">
        <x:f>IF(E22=0,"OK","Diferencia en 8vos: revisar fuente original")</x:f>
        <x:v>OK</x:v>
      </x:c>
    </x:row>
    <x:row r="23" ht="15" hidden="0" customHeight="1">
      <x:c r="A23" t="n">
        <x:v>22</x:v>
      </x:c>
      <x:c r="B23" t="str">
        <x:v>Omar</x:v>
      </x:c>
      <x:c r="C23" t="n">
        <x:v>0</x:v>
      </x:c>
      <x:c r="D23" t="n">
        <x:f>SUMIFS('Detalle_Formulas'!$Z$2:$Z$353,'Detalle_Formulas'!$C$2:$C$353,$B23,'Detalle_Formulas'!$A$2:$A$353,"8vos")</x:f>
        <x:v>0</x:v>
      </x:c>
      <x:c r="E23" t="n">
        <x:f>D23-C23</x:f>
        <x:v>0</x:v>
      </x:c>
      <x:c r="F23" t="n">
        <x:f>SUMIFS('Detalle_Formulas'!$Z$2:$Z$353,'Detalle_Formulas'!$C$2:$C$353,$B23,'Detalle_Formulas'!$A$2:$A$353,"4tos")</x:f>
        <x:v>0</x:v>
      </x:c>
      <x:c r="G23" t="n">
        <x:f>SUMIFS('Detalle_Formulas'!$Z$2:$Z$353,'Detalle_Formulas'!$C$2:$C$353,$B23,'Detalle_Formulas'!$A$2:$A$353,"Semifinal")</x:f>
        <x:v>0</x:v>
      </x:c>
      <x:c r="H23" t="n">
        <x:f>SUMIFS('Detalle_Formulas'!$Z$2:$Z$353,'Detalle_Formulas'!$C$2:$C$353,$B23,'Detalle_Formulas'!$A$2:$A$353,"Tercer puesto")+SUMIFS('Detalle_Formulas'!$Z$2:$Z$353,'Detalle_Formulas'!$C$2:$C$353,$B23,'Detalle_Formulas'!$A$2:$A$353,"Final")</x:f>
        <x:v>0</x:v>
      </x:c>
      <x:c r="I23" t="n">
        <x:f>C23+F23+G23+H23</x:f>
        <x:v>0</x:v>
      </x:c>
      <x:c r="J23" t="n">
        <x:f>D23+F23+G23+H23</x:f>
        <x:v>0</x:v>
      </x:c>
      <x:c r="K23" t="n">
        <x:f>0+COUNTIFS('Detalle_Formulas'!$C$2:$C$353,$B23,'Detalle_Formulas'!$A$2:$A$353,"&lt;&gt;8vos",'Detalle_Formulas'!$V$2:$V$353,"&gt;0")</x:f>
        <x:v>0</x:v>
      </x:c>
      <x:c r="L23" t="n">
        <x:f>0+COUNTIFS('Detalle_Formulas'!$C$2:$C$353,$B23,'Detalle_Formulas'!$A$2:$A$353,"&lt;&gt;8vos",'Detalle_Formulas'!$T$2:$T$353,"&gt;0")</x:f>
        <x:v>0</x:v>
      </x:c>
      <x:c r="M23" t="n">
        <x:f>0+COUNTIFS('Detalle_Formulas'!$C$2:$C$353,$B23,'Detalle_Formulas'!$A$2:$A$353,"&lt;&gt;8vos",'Detalle_Formulas'!$U$2:$U$353,"&gt;0")</x:f>
        <x:v>0</x:v>
      </x:c>
      <x:c r="N23" t="n">
        <x:f>COUNTIFS('Detalle_Formulas'!$C$2:$C$353,$B23,'Detalle_Formulas'!$H$2:$H$353,"Sin envio")</x:f>
        <x:v>16</x:v>
      </x:c>
      <x:c r="O23" t="str">
        <x:f>IF(E23=0,"OK","Diferencia en 8vos: revisar fuente original")</x:f>
        <x:v>OK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6.130000114440918" hidden="0" customWidth="1"/>
    <x:col min="3" max="3" width="9.75" hidden="0" customWidth="1"/>
    <x:col min="4" max="4" width="11.880000114440918" hidden="0" customWidth="1"/>
    <x:col min="5" max="5" width="8.630000114440918" hidden="0" customWidth="1"/>
    <x:col min="6" max="6" width="8.380000114440918" hidden="0" customWidth="1"/>
    <x:col min="7" max="7" width="8.25" hidden="0" customWidth="1"/>
    <x:col min="8" max="8" width="11.130000114440918" hidden="0" customWidth="1"/>
    <x:col min="9" max="9" width="11.5" hidden="0" customWidth="1"/>
    <x:col min="10" max="10" width="6.880000114440918" hidden="0" customWidth="1"/>
    <x:col min="11" max="11" width="6.880000114440918" hidden="0" customWidth="1"/>
    <x:col min="12" max="12" width="9.630000114440918" hidden="0" customWidth="1"/>
    <x:col min="13" max="13" width="11.5" hidden="0" customWidth="1"/>
    <x:col min="14" max="14" width="8" hidden="0" customWidth="1"/>
    <x:col min="15" max="15" width="16.8799991607666" hidden="0" customWidth="1"/>
    <x:col min="16" max="16" width="15.380000114440918" hidden="0" customWidth="1"/>
    <x:col min="17" max="17" width="7.25" hidden="0" customWidth="1"/>
    <x:col min="18" max="18" width="13.25" hidden="0" customWidth="1"/>
    <x:col min="19" max="19" width="6.130000114440918" hidden="0" customWidth="1"/>
    <x:col min="20" max="20" width="7.380000114440918" hidden="0" customWidth="1"/>
    <x:col min="21" max="21" width="5.75" hidden="0" customWidth="1"/>
    <x:col min="22" max="22" width="10.75" hidden="0" customWidth="1"/>
    <x:col min="23" max="23" width="5.5" hidden="0" customWidth="1"/>
    <x:col min="24" max="24" width="7.5" hidden="0" customWidth="1"/>
    <x:col min="25" max="25" width="7.380000114440918" hidden="0" customWidth="1"/>
    <x:col min="26" max="26" width="10.75" hidden="0" customWidth="1"/>
    <x:col min="27" max="27" width="16" hidden="0" customWidth="1"/>
    <x:col min="28" max="28" width="23.6299991607666" hidden="0" customWidth="1"/>
    <x:col min="29" max="29" width="6.130000114440918" hidden="0" customWidth="1"/>
    <x:col min="30" max="30" width="13.130000114440918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Participante</x:v>
      </x:c>
      <x:c r="D1" s="3" t="str">
        <x:v>Equipo A</x:v>
      </x:c>
      <x:c r="E1" s="3" t="str">
        <x:v>Equipo B</x:v>
      </x:c>
      <x:c r="F1" s="3" t="str">
        <x:v>Apuesta A</x:v>
      </x:c>
      <x:c r="G1" s="3" t="str">
        <x:v>Apuesta B</x:v>
      </x:c>
      <x:c r="H1" s="3" t="str">
        <x:v>Clasif apuesta</x:v>
      </x:c>
      <x:c r="I1" s="3" t="str">
        <x:v>Via apuesta</x:v>
      </x:c>
      <x:c r="J1" s="3" t="str">
        <x:v>Oficial A</x:v>
      </x:c>
      <x:c r="K1" s="3" t="str">
        <x:v>Oficial B</x:v>
      </x:c>
      <x:c r="L1" s="3" t="str">
        <x:v>Clasif oficial</x:v>
      </x:c>
      <x:c r="M1" s="3" t="str">
        <x:v>Via oficial</x:v>
      </x:c>
      <x:c r="N1" s="3" t="str">
        <x:v>Estado</x:v>
      </x:c>
      <x:c r="O1" s="3" t="str">
        <x:v>Resultado 90 apuesta</x:v>
      </x:c>
      <x:c r="P1" s="3" t="str">
        <x:v>Resultado 90 oficial</x:v>
      </x:c>
      <x:c r="Q1" s="3" t="str">
        <x:v>Clasif OK</x:v>
      </x:c>
      <x:c r="R1" s="3" t="str">
        <x:v>Criterio goles OK</x:v>
      </x:c>
      <x:c r="S1" s="3" t="str">
        <x:v>Pts P90</x:v>
      </x:c>
      <x:c r="T1" s="3" t="str">
        <x:v>Pts Clasif</x:v>
      </x:c>
      <x:c r="U1" s="3" t="str">
        <x:v>Pts Via</x:v>
      </x:c>
      <x:c r="V1" s="3" t="str">
        <x:v>Pts Marcador</x:v>
      </x:c>
      <x:c r="W1" s="3" t="str">
        <x:v>Pts Dif</x:v>
      </x:c>
      <x:c r="X1" s="3" t="str">
        <x:v>Pts Gol A</x:v>
      </x:c>
      <x:c r="Y1" s="3" t="str">
        <x:v>Pts Gol B</x:v>
      </x:c>
      <x:c r="Z1" s="3" t="str">
        <x:v>Total formula</x:v>
      </x:c>
      <x:c r="AA1" s="3" t="str">
        <x:v>Nota formula</x:v>
      </x:c>
      <x:c r="AB1" s="3" t="str">
        <x:v>Fuente</x:v>
      </x:c>
      <x:c r="AC1" s="3" t="str">
        <x:v>Total JS</x:v>
      </x:c>
      <x:c r="AD1" s="3" t="str">
        <x:v>Delta formula-JS</x:v>
      </x:c>
    </x:row>
    <x:row r="2" ht="15" hidden="0" customHeight="1">
      <x:c r="A2" t="str">
        <x:v>8vos</x:v>
      </x:c>
      <x:c r="B2" t="str">
        <x:v>O1</x:v>
      </x:c>
      <x:c r="C2" t="str">
        <x:v>Freddy</x:v>
      </x:c>
      <x:c r="D2" t="str">
        <x:v>Canada</x:v>
      </x:c>
      <x:c r="E2" t="str">
        <x:v>Marruecos</x:v>
      </x:c>
      <x:c r="F2" t="n">
        <x:v>0</x:v>
      </x:c>
      <x:c r="G2" t="n">
        <x:v>1</x:v>
      </x:c>
      <x:c r="H2" t="str">
        <x:v>Marruecos</x:v>
      </x:c>
      <x:c r="I2" t="str">
        <x:v>90 minutos</x:v>
      </x:c>
      <x:c r="J2" t="n">
        <x:v>0</x:v>
      </x:c>
      <x:c r="K2" t="n">
        <x:v>3</x:v>
      </x:c>
      <x:c r="L2" t="str">
        <x:v>Marruecos</x:v>
      </x:c>
      <x:c r="M2" t="str">
        <x:v>90 minutos</x:v>
      </x:c>
      <x:c r="N2" t="str">
        <x:v>Finalizado</x:v>
      </x:c>
      <x:c r="O2" t="str">
        <x:f>IF($H2="Sin envio","Sin envio",IF($I2="90 minutos",IF($F2&gt;$G2,"A",IF($G2&gt;$F2,"B","E")),"E"))</x:f>
        <x:v>B</x:v>
      </x:c>
      <x:c r="P2" t="str">
        <x:f>IF($M2="90 minutos",IF($J2&gt;$K2,"A",IF($K2&gt;$J2,"B","E")),"E")</x:f>
        <x:v>B</x:v>
      </x:c>
      <x:c r="Q2" t="str">
        <x:f>IF($H2="Sin envio","No",IF($H2=$L2,"Si","No"))</x:f>
        <x:v>Si</x:v>
      </x:c>
      <x:c r="R2" t="str">
        <x:f>IF(AND($I2=$M2,NOT(AND($I2="Penales",$F2&lt;&gt;$G2))),"Si","No")</x:f>
        <x:v>Si</x:v>
      </x:c>
      <x:c r="S2" t="n">
        <x:f>IF(OR($N2&lt;&gt;"Finalizado",$Q2&lt;&gt;"Si"),0,IF($O2=$P2,Reglas!$B$2,0))</x:f>
        <x:v>5</x:v>
      </x:c>
      <x:c r="T2" t="n">
        <x:f>IF(OR($N2&lt;&gt;"Finalizado",$Q2&lt;&gt;"Si"),0,Reglas!$B$3)</x:f>
        <x:v>3</x:v>
      </x:c>
      <x:c r="U2" t="n">
        <x:f>IF(OR($N2&lt;&gt;"Finalizado",$Q2&lt;&gt;"Si"),0,IF($I2=$M2,Reglas!$B$4,0))</x:f>
        <x:v>2</x:v>
      </x:c>
      <x:c r="V2" t="n">
        <x:f>IF(OR($N2&lt;&gt;"Finalizado",$Q2&lt;&gt;"Si",$R2&lt;&gt;"Si"),0,IF(AND($F2=$J2,$G2=$K2),Reglas!$B$5,0))</x:f>
        <x:v>0</x:v>
      </x:c>
      <x:c r="W2" t="n">
        <x:f>IF(OR($N2&lt;&gt;"Finalizado",$Q2&lt;&gt;"Si",$R2&lt;&gt;"Si"),0,IF($F2-$G2=$J2-$K2,Reglas!$B$6,0))</x:f>
        <x:v>0</x:v>
      </x:c>
      <x:c r="X2" t="n">
        <x:f>IF(OR($N2&lt;&gt;"Finalizado",$Q2&lt;&gt;"Si",$R2&lt;&gt;"Si"),0,IF($F2=$J2,Reglas!$B$7,0))</x:f>
        <x:v>1</x:v>
      </x:c>
      <x:c r="Y2" t="n">
        <x:f>IF(OR($N2&lt;&gt;"Finalizado",$Q2&lt;&gt;"Si",$R2&lt;&gt;"Si"),0,IF($G2=$K2,Reglas!$B$8,0))</x:f>
        <x:v>0</x:v>
      </x:c>
      <x:c r="Z2" t="n">
        <x:f>SUM($S2:$Y2)</x:f>
        <x:v>11</x:v>
      </x:c>
      <x:c r="AA2" t="str">
        <x:f>IF($N2&lt;&gt;"Finalizado","Resultado pendiente",IF($H2="Sin envio","Sin respuesta",IF($Q2&lt;&gt;"Si","No acerto clasificado","OK")))</x:f>
        <x:v>OK</x:v>
      </x:c>
      <x:c r="AB2" t="str">
        <x:v>8vos detalle reconstruido</x:v>
      </x:c>
      <x:c r="AC2" t="n">
        <x:v>11</x:v>
      </x:c>
      <x:c r="AD2" t="n">
        <x:f>$Z2-$AC2</x:f>
        <x:v>0</x:v>
      </x:c>
    </x:row>
    <x:row r="3" ht="15" hidden="0" customHeight="1">
      <x:c r="A3" t="str">
        <x:v>8vos</x:v>
      </x:c>
      <x:c r="B3" t="str">
        <x:v>O1</x:v>
      </x:c>
      <x:c r="C3" t="str">
        <x:v>Gabriela</x:v>
      </x:c>
      <x:c r="D3" t="str">
        <x:v>Canada</x:v>
      </x:c>
      <x:c r="E3" t="str">
        <x:v>Marruecos</x:v>
      </x:c>
      <x:c r="F3" t="n">
        <x:v>0</x:v>
      </x:c>
      <x:c r="G3" t="n">
        <x:v>1</x:v>
      </x:c>
      <x:c r="H3" t="str">
        <x:v>Marruecos</x:v>
      </x:c>
      <x:c r="I3" t="str">
        <x:v>90 minutos</x:v>
      </x:c>
      <x:c r="J3" t="n">
        <x:v>0</x:v>
      </x:c>
      <x:c r="K3" t="n">
        <x:v>3</x:v>
      </x:c>
      <x:c r="L3" t="str">
        <x:v>Marruecos</x:v>
      </x:c>
      <x:c r="M3" t="str">
        <x:v>90 minutos</x:v>
      </x:c>
      <x:c r="N3" t="str">
        <x:v>Finalizado</x:v>
      </x:c>
      <x:c r="O3" t="str">
        <x:f>IF($H3="Sin envio","Sin envio",IF($I3="90 minutos",IF($F3&gt;$G3,"A",IF($G3&gt;$F3,"B","E")),"E"))</x:f>
        <x:v>B</x:v>
      </x:c>
      <x:c r="P3" t="str">
        <x:f>IF($M3="90 minutos",IF($J3&gt;$K3,"A",IF($K3&gt;$J3,"B","E")),"E")</x:f>
        <x:v>B</x:v>
      </x:c>
      <x:c r="Q3" t="str">
        <x:f>IF($H3="Sin envio","No",IF($H3=$L3,"Si","No"))</x:f>
        <x:v>Si</x:v>
      </x:c>
      <x:c r="R3" t="str">
        <x:f>IF(AND($I3=$M3,NOT(AND($I3="Penales",$F3&lt;&gt;$G3))),"Si","No")</x:f>
        <x:v>Si</x:v>
      </x:c>
      <x:c r="S3" t="n">
        <x:f>IF(OR($N3&lt;&gt;"Finalizado",$Q3&lt;&gt;"Si"),0,IF($O3=$P3,Reglas!$B$2,0))</x:f>
        <x:v>5</x:v>
      </x:c>
      <x:c r="T3" t="n">
        <x:f>IF(OR($N3&lt;&gt;"Finalizado",$Q3&lt;&gt;"Si"),0,Reglas!$B$3)</x:f>
        <x:v>3</x:v>
      </x:c>
      <x:c r="U3" t="n">
        <x:f>IF(OR($N3&lt;&gt;"Finalizado",$Q3&lt;&gt;"Si"),0,IF($I3=$M3,Reglas!$B$4,0))</x:f>
        <x:v>2</x:v>
      </x:c>
      <x:c r="V3" t="n">
        <x:f>IF(OR($N3&lt;&gt;"Finalizado",$Q3&lt;&gt;"Si",$R3&lt;&gt;"Si"),0,IF(AND($F3=$J3,$G3=$K3),Reglas!$B$5,0))</x:f>
        <x:v>0</x:v>
      </x:c>
      <x:c r="W3" t="n">
        <x:f>IF(OR($N3&lt;&gt;"Finalizado",$Q3&lt;&gt;"Si",$R3&lt;&gt;"Si"),0,IF($F3-$G3=$J3-$K3,Reglas!$B$6,0))</x:f>
        <x:v>0</x:v>
      </x:c>
      <x:c r="X3" t="n">
        <x:f>IF(OR($N3&lt;&gt;"Finalizado",$Q3&lt;&gt;"Si",$R3&lt;&gt;"Si"),0,IF($F3=$J3,Reglas!$B$7,0))</x:f>
        <x:v>1</x:v>
      </x:c>
      <x:c r="Y3" t="n">
        <x:f>IF(OR($N3&lt;&gt;"Finalizado",$Q3&lt;&gt;"Si",$R3&lt;&gt;"Si"),0,IF($G3=$K3,Reglas!$B$8,0))</x:f>
        <x:v>0</x:v>
      </x:c>
      <x:c r="Z3" t="n">
        <x:f>SUM($S3:$Y3)</x:f>
        <x:v>11</x:v>
      </x:c>
      <x:c r="AA3" t="str">
        <x:f>IF($N3&lt;&gt;"Finalizado","Resultado pendiente",IF($H3="Sin envio","Sin respuesta",IF($Q3&lt;&gt;"Si","No acerto clasificado","OK")))</x:f>
        <x:v>OK</x:v>
      </x:c>
      <x:c r="AB3" t="str">
        <x:v>8vos detalle reconstruido</x:v>
      </x:c>
      <x:c r="AC3" t="n">
        <x:v>11</x:v>
      </x:c>
      <x:c r="AD3" t="n">
        <x:f>$Z3-$AC3</x:f>
        <x:v>0</x:v>
      </x:c>
    </x:row>
    <x:row r="4" ht="15" hidden="0" customHeight="1">
      <x:c r="A4" t="str">
        <x:v>8vos</x:v>
      </x:c>
      <x:c r="B4" t="str">
        <x:v>O1</x:v>
      </x:c>
      <x:c r="C4" t="str">
        <x:v>Jean</x:v>
      </x:c>
      <x:c r="D4" t="str">
        <x:v>Canada</x:v>
      </x:c>
      <x:c r="E4" t="str">
        <x:v>Marruecos</x:v>
      </x:c>
      <x:c r="F4" t="n">
        <x:v>0</x:v>
      </x:c>
      <x:c r="G4" t="n">
        <x:v>1</x:v>
      </x:c>
      <x:c r="H4" t="str">
        <x:v>Marruecos</x:v>
      </x:c>
      <x:c r="I4" t="str">
        <x:v>90 minutos</x:v>
      </x:c>
      <x:c r="J4" t="n">
        <x:v>0</x:v>
      </x:c>
      <x:c r="K4" t="n">
        <x:v>3</x:v>
      </x:c>
      <x:c r="L4" t="str">
        <x:v>Marruecos</x:v>
      </x:c>
      <x:c r="M4" t="str">
        <x:v>90 minutos</x:v>
      </x:c>
      <x:c r="N4" t="str">
        <x:v>Finalizado</x:v>
      </x:c>
      <x:c r="O4" t="str">
        <x:f>IF($H4="Sin envio","Sin envio",IF($I4="90 minutos",IF($F4&gt;$G4,"A",IF($G4&gt;$F4,"B","E")),"E"))</x:f>
        <x:v>B</x:v>
      </x:c>
      <x:c r="P4" t="str">
        <x:f>IF($M4="90 minutos",IF($J4&gt;$K4,"A",IF($K4&gt;$J4,"B","E")),"E")</x:f>
        <x:v>B</x:v>
      </x:c>
      <x:c r="Q4" t="str">
        <x:f>IF($H4="Sin envio","No",IF($H4=$L4,"Si","No"))</x:f>
        <x:v>Si</x:v>
      </x:c>
      <x:c r="R4" t="str">
        <x:f>IF(AND($I4=$M4,NOT(AND($I4="Penales",$F4&lt;&gt;$G4))),"Si","No")</x:f>
        <x:v>Si</x:v>
      </x:c>
      <x:c r="S4" t="n">
        <x:f>IF(OR($N4&lt;&gt;"Finalizado",$Q4&lt;&gt;"Si"),0,IF($O4=$P4,Reglas!$B$2,0))</x:f>
        <x:v>5</x:v>
      </x:c>
      <x:c r="T4" t="n">
        <x:f>IF(OR($N4&lt;&gt;"Finalizado",$Q4&lt;&gt;"Si"),0,Reglas!$B$3)</x:f>
        <x:v>3</x:v>
      </x:c>
      <x:c r="U4" t="n">
        <x:f>IF(OR($N4&lt;&gt;"Finalizado",$Q4&lt;&gt;"Si"),0,IF($I4=$M4,Reglas!$B$4,0))</x:f>
        <x:v>2</x:v>
      </x:c>
      <x:c r="V4" t="n">
        <x:f>IF(OR($N4&lt;&gt;"Finalizado",$Q4&lt;&gt;"Si",$R4&lt;&gt;"Si"),0,IF(AND($F4=$J4,$G4=$K4),Reglas!$B$5,0))</x:f>
        <x:v>0</x:v>
      </x:c>
      <x:c r="W4" t="n">
        <x:f>IF(OR($N4&lt;&gt;"Finalizado",$Q4&lt;&gt;"Si",$R4&lt;&gt;"Si"),0,IF($F4-$G4=$J4-$K4,Reglas!$B$6,0))</x:f>
        <x:v>0</x:v>
      </x:c>
      <x:c r="X4" t="n">
        <x:f>IF(OR($N4&lt;&gt;"Finalizado",$Q4&lt;&gt;"Si",$R4&lt;&gt;"Si"),0,IF($F4=$J4,Reglas!$B$7,0))</x:f>
        <x:v>1</x:v>
      </x:c>
      <x:c r="Y4" t="n">
        <x:f>IF(OR($N4&lt;&gt;"Finalizado",$Q4&lt;&gt;"Si",$R4&lt;&gt;"Si"),0,IF($G4=$K4,Reglas!$B$8,0))</x:f>
        <x:v>0</x:v>
      </x:c>
      <x:c r="Z4" t="n">
        <x:f>SUM($S4:$Y4)</x:f>
        <x:v>11</x:v>
      </x:c>
      <x:c r="AA4" t="str">
        <x:f>IF($N4&lt;&gt;"Finalizado","Resultado pendiente",IF($H4="Sin envio","Sin respuesta",IF($Q4&lt;&gt;"Si","No acerto clasificado","OK")))</x:f>
        <x:v>OK</x:v>
      </x:c>
      <x:c r="AB4" t="str">
        <x:v>8vos detalle reconstruido</x:v>
      </x:c>
      <x:c r="AC4" t="n">
        <x:v>11</x:v>
      </x:c>
      <x:c r="AD4" t="n">
        <x:f>$Z4-$AC4</x:f>
        <x:v>0</x:v>
      </x:c>
    </x:row>
    <x:row r="5" ht="15" hidden="0" customHeight="1">
      <x:c r="A5" t="str">
        <x:v>8vos</x:v>
      </x:c>
      <x:c r="B5" t="str">
        <x:v>O1</x:v>
      </x:c>
      <x:c r="C5" t="str">
        <x:v>Juan</x:v>
      </x:c>
      <x:c r="D5" t="str">
        <x:v>Canada</x:v>
      </x:c>
      <x:c r="E5" t="str">
        <x:v>Marruecos</x:v>
      </x:c>
      <x:c r="F5" t="n">
        <x:v>1</x:v>
      </x:c>
      <x:c r="G5" t="n">
        <x:v>2</x:v>
      </x:c>
      <x:c r="H5" t="str">
        <x:v>Marruecos</x:v>
      </x:c>
      <x:c r="I5" t="str">
        <x:v>90 minutos</x:v>
      </x:c>
      <x:c r="J5" t="n">
        <x:v>0</x:v>
      </x:c>
      <x:c r="K5" t="n">
        <x:v>3</x:v>
      </x:c>
      <x:c r="L5" t="str">
        <x:v>Marruecos</x:v>
      </x:c>
      <x:c r="M5" t="str">
        <x:v>90 minutos</x:v>
      </x:c>
      <x:c r="N5" t="str">
        <x:v>Finalizado</x:v>
      </x:c>
      <x:c r="O5" t="str">
        <x:f>IF($H5="Sin envio","Sin envio",IF($I5="90 minutos",IF($F5&gt;$G5,"A",IF($G5&gt;$F5,"B","E")),"E"))</x:f>
        <x:v>B</x:v>
      </x:c>
      <x:c r="P5" t="str">
        <x:f>IF($M5="90 minutos",IF($J5&gt;$K5,"A",IF($K5&gt;$J5,"B","E")),"E")</x:f>
        <x:v>B</x:v>
      </x:c>
      <x:c r="Q5" t="str">
        <x:f>IF($H5="Sin envio","No",IF($H5=$L5,"Si","No"))</x:f>
        <x:v>Si</x:v>
      </x:c>
      <x:c r="R5" t="str">
        <x:f>IF(AND($I5=$M5,NOT(AND($I5="Penales",$F5&lt;&gt;$G5))),"Si","No")</x:f>
        <x:v>Si</x:v>
      </x:c>
      <x:c r="S5" t="n">
        <x:f>IF(OR($N5&lt;&gt;"Finalizado",$Q5&lt;&gt;"Si"),0,IF($O5=$P5,Reglas!$B$2,0))</x:f>
        <x:v>5</x:v>
      </x:c>
      <x:c r="T5" t="n">
        <x:f>IF(OR($N5&lt;&gt;"Finalizado",$Q5&lt;&gt;"Si"),0,Reglas!$B$3)</x:f>
        <x:v>3</x:v>
      </x:c>
      <x:c r="U5" t="n">
        <x:f>IF(OR($N5&lt;&gt;"Finalizado",$Q5&lt;&gt;"Si"),0,IF($I5=$M5,Reglas!$B$4,0))</x:f>
        <x:v>2</x:v>
      </x:c>
      <x:c r="V5" t="n">
        <x:f>IF(OR($N5&lt;&gt;"Finalizado",$Q5&lt;&gt;"Si",$R5&lt;&gt;"Si"),0,IF(AND($F5=$J5,$G5=$K5),Reglas!$B$5,0))</x:f>
        <x:v>0</x:v>
      </x:c>
      <x:c r="W5" t="n">
        <x:f>IF(OR($N5&lt;&gt;"Finalizado",$Q5&lt;&gt;"Si",$R5&lt;&gt;"Si"),0,IF($F5-$G5=$J5-$K5,Reglas!$B$6,0))</x:f>
        <x:v>0</x:v>
      </x:c>
      <x:c r="X5" t="n">
        <x:f>IF(OR($N5&lt;&gt;"Finalizado",$Q5&lt;&gt;"Si",$R5&lt;&gt;"Si"),0,IF($F5=$J5,Reglas!$B$7,0))</x:f>
        <x:v>0</x:v>
      </x:c>
      <x:c r="Y5" t="n">
        <x:f>IF(OR($N5&lt;&gt;"Finalizado",$Q5&lt;&gt;"Si",$R5&lt;&gt;"Si"),0,IF($G5=$K5,Reglas!$B$8,0))</x:f>
        <x:v>0</x:v>
      </x:c>
      <x:c r="Z5" t="n">
        <x:f>SUM($S5:$Y5)</x:f>
        <x:v>10</x:v>
      </x:c>
      <x:c r="AA5" t="str">
        <x:f>IF($N5&lt;&gt;"Finalizado","Resultado pendiente",IF($H5="Sin envio","Sin respuesta",IF($Q5&lt;&gt;"Si","No acerto clasificado","OK")))</x:f>
        <x:v>OK</x:v>
      </x:c>
      <x:c r="AB5" t="str">
        <x:v>8vos detalle reconstruido</x:v>
      </x:c>
      <x:c r="AC5" t="n">
        <x:v>10</x:v>
      </x:c>
      <x:c r="AD5" t="n">
        <x:f>$Z5-$AC5</x:f>
        <x:v>0</x:v>
      </x:c>
    </x:row>
    <x:row r="6" ht="15" hidden="0" customHeight="1">
      <x:c r="A6" t="str">
        <x:v>8vos</x:v>
      </x:c>
      <x:c r="B6" t="str">
        <x:v>O1</x:v>
      </x:c>
      <x:c r="C6" t="str">
        <x:v>Jesús</x:v>
      </x:c>
      <x:c r="D6" t="str">
        <x:v>Canada</x:v>
      </x:c>
      <x:c r="E6" t="str">
        <x:v>Marruecos</x:v>
      </x:c>
      <x:c r="F6" t="n">
        <x:v>2</x:v>
      </x:c>
      <x:c r="G6" t="n">
        <x:v>3</x:v>
      </x:c>
      <x:c r="H6" t="str">
        <x:v>Marruecos</x:v>
      </x:c>
      <x:c r="I6" t="str">
        <x:v>Suplementario</x:v>
      </x:c>
      <x:c r="J6" t="n">
        <x:v>0</x:v>
      </x:c>
      <x:c r="K6" t="n">
        <x:v>3</x:v>
      </x:c>
      <x:c r="L6" t="str">
        <x:v>Marruecos</x:v>
      </x:c>
      <x:c r="M6" t="str">
        <x:v>90 minutos</x:v>
      </x:c>
      <x:c r="N6" t="str">
        <x:v>Finalizado</x:v>
      </x:c>
      <x:c r="O6" t="str">
        <x:f>IF($H6="Sin envio","Sin envio",IF($I6="90 minutos",IF($F6&gt;$G6,"A",IF($G6&gt;$F6,"B","E")),"E"))</x:f>
        <x:v>E</x:v>
      </x:c>
      <x:c r="P6" t="str">
        <x:f>IF($M6="90 minutos",IF($J6&gt;$K6,"A",IF($K6&gt;$J6,"B","E")),"E")</x:f>
        <x:v>B</x:v>
      </x:c>
      <x:c r="Q6" t="str">
        <x:f>IF($H6="Sin envio","No",IF($H6=$L6,"Si","No"))</x:f>
        <x:v>Si</x:v>
      </x:c>
      <x:c r="R6" t="str">
        <x:f>IF(AND($I6=$M6,NOT(AND($I6="Penales",$F6&lt;&gt;$G6))),"Si","No")</x:f>
        <x:v>No</x:v>
      </x:c>
      <x:c r="S6" t="n">
        <x:f>IF(OR($N6&lt;&gt;"Finalizado",$Q6&lt;&gt;"Si"),0,IF($O6=$P6,Reglas!$B$2,0))</x:f>
        <x:v>0</x:v>
      </x:c>
      <x:c r="T6" t="n">
        <x:f>IF(OR($N6&lt;&gt;"Finalizado",$Q6&lt;&gt;"Si"),0,Reglas!$B$3)</x:f>
        <x:v>3</x:v>
      </x:c>
      <x:c r="U6" t="n">
        <x:f>IF(OR($N6&lt;&gt;"Finalizado",$Q6&lt;&gt;"Si"),0,IF($I6=$M6,Reglas!$B$4,0))</x:f>
        <x:v>0</x:v>
      </x:c>
      <x:c r="V6" t="n">
        <x:f>IF(OR($N6&lt;&gt;"Finalizado",$Q6&lt;&gt;"Si",$R6&lt;&gt;"Si"),0,IF(AND($F6=$J6,$G6=$K6),Reglas!$B$5,0))</x:f>
        <x:v>0</x:v>
      </x:c>
      <x:c r="W6" t="n">
        <x:f>IF(OR($N6&lt;&gt;"Finalizado",$Q6&lt;&gt;"Si",$R6&lt;&gt;"Si"),0,IF($F6-$G6=$J6-$K6,Reglas!$B$6,0))</x:f>
        <x:v>0</x:v>
      </x:c>
      <x:c r="X6" t="n">
        <x:f>IF(OR($N6&lt;&gt;"Finalizado",$Q6&lt;&gt;"Si",$R6&lt;&gt;"Si"),0,IF($F6=$J6,Reglas!$B$7,0))</x:f>
        <x:v>0</x:v>
      </x:c>
      <x:c r="Y6" t="n">
        <x:f>IF(OR($N6&lt;&gt;"Finalizado",$Q6&lt;&gt;"Si",$R6&lt;&gt;"Si"),0,IF($G6=$K6,Reglas!$B$8,0))</x:f>
        <x:v>0</x:v>
      </x:c>
      <x:c r="Z6" t="n">
        <x:f>SUM($S6:$Y6)</x:f>
        <x:v>3</x:v>
      </x:c>
      <x:c r="AA6" t="str">
        <x:f>IF($N6&lt;&gt;"Finalizado","Resultado pendiente",IF($H6="Sin envio","Sin respuesta",IF($Q6&lt;&gt;"Si","No acerto clasificado","OK")))</x:f>
        <x:v>OK</x:v>
      </x:c>
      <x:c r="AB6" t="str">
        <x:v>8vos detalle reconstruido</x:v>
      </x:c>
      <x:c r="AC6" t="n">
        <x:v>3</x:v>
      </x:c>
      <x:c r="AD6" t="n">
        <x:f>$Z6-$AC6</x:f>
        <x:v>0</x:v>
      </x:c>
    </x:row>
    <x:row r="7" ht="15" hidden="0" customHeight="1">
      <x:c r="A7" t="str">
        <x:v>8vos</x:v>
      </x:c>
      <x:c r="B7" t="str">
        <x:v>O1</x:v>
      </x:c>
      <x:c r="C7" t="str">
        <x:v>Diego</x:v>
      </x:c>
      <x:c r="D7" t="str">
        <x:v>Canada</x:v>
      </x:c>
      <x:c r="E7" t="str">
        <x:v>Marruecos</x:v>
      </x:c>
      <x:c r="F7" t="n">
        <x:v>1</x:v>
      </x:c>
      <x:c r="G7" t="n">
        <x:v>2</x:v>
      </x:c>
      <x:c r="H7" t="str">
        <x:v>Marruecos</x:v>
      </x:c>
      <x:c r="I7" t="str">
        <x:v>90 minutos</x:v>
      </x:c>
      <x:c r="J7" t="n">
        <x:v>0</x:v>
      </x:c>
      <x:c r="K7" t="n">
        <x:v>3</x:v>
      </x:c>
      <x:c r="L7" t="str">
        <x:v>Marruecos</x:v>
      </x:c>
      <x:c r="M7" t="str">
        <x:v>90 minutos</x:v>
      </x:c>
      <x:c r="N7" t="str">
        <x:v>Finalizado</x:v>
      </x:c>
      <x:c r="O7" t="str">
        <x:f>IF($H7="Sin envio","Sin envio",IF($I7="90 minutos",IF($F7&gt;$G7,"A",IF($G7&gt;$F7,"B","E")),"E"))</x:f>
        <x:v>B</x:v>
      </x:c>
      <x:c r="P7" t="str">
        <x:f>IF($M7="90 minutos",IF($J7&gt;$K7,"A",IF($K7&gt;$J7,"B","E")),"E")</x:f>
        <x:v>B</x:v>
      </x:c>
      <x:c r="Q7" t="str">
        <x:f>IF($H7="Sin envio","No",IF($H7=$L7,"Si","No"))</x:f>
        <x:v>Si</x:v>
      </x:c>
      <x:c r="R7" t="str">
        <x:f>IF(AND($I7=$M7,NOT(AND($I7="Penales",$F7&lt;&gt;$G7))),"Si","No")</x:f>
        <x:v>Si</x:v>
      </x:c>
      <x:c r="S7" t="n">
        <x:f>IF(OR($N7&lt;&gt;"Finalizado",$Q7&lt;&gt;"Si"),0,IF($O7=$P7,Reglas!$B$2,0))</x:f>
        <x:v>5</x:v>
      </x:c>
      <x:c r="T7" t="n">
        <x:f>IF(OR($N7&lt;&gt;"Finalizado",$Q7&lt;&gt;"Si"),0,Reglas!$B$3)</x:f>
        <x:v>3</x:v>
      </x:c>
      <x:c r="U7" t="n">
        <x:f>IF(OR($N7&lt;&gt;"Finalizado",$Q7&lt;&gt;"Si"),0,IF($I7=$M7,Reglas!$B$4,0))</x:f>
        <x:v>2</x:v>
      </x:c>
      <x:c r="V7" t="n">
        <x:f>IF(OR($N7&lt;&gt;"Finalizado",$Q7&lt;&gt;"Si",$R7&lt;&gt;"Si"),0,IF(AND($F7=$J7,$G7=$K7),Reglas!$B$5,0))</x:f>
        <x:v>0</x:v>
      </x:c>
      <x:c r="W7" t="n">
        <x:f>IF(OR($N7&lt;&gt;"Finalizado",$Q7&lt;&gt;"Si",$R7&lt;&gt;"Si"),0,IF($F7-$G7=$J7-$K7,Reglas!$B$6,0))</x:f>
        <x:v>0</x:v>
      </x:c>
      <x:c r="X7" t="n">
        <x:f>IF(OR($N7&lt;&gt;"Finalizado",$Q7&lt;&gt;"Si",$R7&lt;&gt;"Si"),0,IF($F7=$J7,Reglas!$B$7,0))</x:f>
        <x:v>0</x:v>
      </x:c>
      <x:c r="Y7" t="n">
        <x:f>IF(OR($N7&lt;&gt;"Finalizado",$Q7&lt;&gt;"Si",$R7&lt;&gt;"Si"),0,IF($G7=$K7,Reglas!$B$8,0))</x:f>
        <x:v>0</x:v>
      </x:c>
      <x:c r="Z7" t="n">
        <x:f>SUM($S7:$Y7)</x:f>
        <x:v>10</x:v>
      </x:c>
      <x:c r="AA7" t="str">
        <x:f>IF($N7&lt;&gt;"Finalizado","Resultado pendiente",IF($H7="Sin envio","Sin respuesta",IF($Q7&lt;&gt;"Si","No acerto clasificado","OK")))</x:f>
        <x:v>OK</x:v>
      </x:c>
      <x:c r="AB7" t="str">
        <x:v>8vos detalle reconstruido</x:v>
      </x:c>
      <x:c r="AC7" t="n">
        <x:v>10</x:v>
      </x:c>
      <x:c r="AD7" t="n">
        <x:f>$Z7-$AC7</x:f>
        <x:v>0</x:v>
      </x:c>
    </x:row>
    <x:row r="8" ht="15" hidden="0" customHeight="1">
      <x:c r="A8" t="str">
        <x:v>8vos</x:v>
      </x:c>
      <x:c r="B8" t="str">
        <x:v>O1</x:v>
      </x:c>
      <x:c r="C8" t="str">
        <x:v>Aldo</x:v>
      </x:c>
      <x:c r="D8" t="str">
        <x:v>Canada</x:v>
      </x:c>
      <x:c r="E8" t="str">
        <x:v>Marruecos</x:v>
      </x:c>
      <x:c r="F8" t="n">
        <x:v>1</x:v>
      </x:c>
      <x:c r="G8" t="n">
        <x:v>2</x:v>
      </x:c>
      <x:c r="H8" t="str">
        <x:v>Marruecos</x:v>
      </x:c>
      <x:c r="I8" t="str">
        <x:v>90 minutos</x:v>
      </x:c>
      <x:c r="J8" t="n">
        <x:v>0</x:v>
      </x:c>
      <x:c r="K8" t="n">
        <x:v>3</x:v>
      </x:c>
      <x:c r="L8" t="str">
        <x:v>Marruecos</x:v>
      </x:c>
      <x:c r="M8" t="str">
        <x:v>90 minutos</x:v>
      </x:c>
      <x:c r="N8" t="str">
        <x:v>Finalizado</x:v>
      </x:c>
      <x:c r="O8" t="str">
        <x:f>IF($H8="Sin envio","Sin envio",IF($I8="90 minutos",IF($F8&gt;$G8,"A",IF($G8&gt;$F8,"B","E")),"E"))</x:f>
        <x:v>B</x:v>
      </x:c>
      <x:c r="P8" t="str">
        <x:f>IF($M8="90 minutos",IF($J8&gt;$K8,"A",IF($K8&gt;$J8,"B","E")),"E")</x:f>
        <x:v>B</x:v>
      </x:c>
      <x:c r="Q8" t="str">
        <x:f>IF($H8="Sin envio","No",IF($H8=$L8,"Si","No"))</x:f>
        <x:v>Si</x:v>
      </x:c>
      <x:c r="R8" t="str">
        <x:f>IF(AND($I8=$M8,NOT(AND($I8="Penales",$F8&lt;&gt;$G8))),"Si","No")</x:f>
        <x:v>Si</x:v>
      </x:c>
      <x:c r="S8" t="n">
        <x:f>IF(OR($N8&lt;&gt;"Finalizado",$Q8&lt;&gt;"Si"),0,IF($O8=$P8,Reglas!$B$2,0))</x:f>
        <x:v>5</x:v>
      </x:c>
      <x:c r="T8" t="n">
        <x:f>IF(OR($N8&lt;&gt;"Finalizado",$Q8&lt;&gt;"Si"),0,Reglas!$B$3)</x:f>
        <x:v>3</x:v>
      </x:c>
      <x:c r="U8" t="n">
        <x:f>IF(OR($N8&lt;&gt;"Finalizado",$Q8&lt;&gt;"Si"),0,IF($I8=$M8,Reglas!$B$4,0))</x:f>
        <x:v>2</x:v>
      </x:c>
      <x:c r="V8" t="n">
        <x:f>IF(OR($N8&lt;&gt;"Finalizado",$Q8&lt;&gt;"Si",$R8&lt;&gt;"Si"),0,IF(AND($F8=$J8,$G8=$K8),Reglas!$B$5,0))</x:f>
        <x:v>0</x:v>
      </x:c>
      <x:c r="W8" t="n">
        <x:f>IF(OR($N8&lt;&gt;"Finalizado",$Q8&lt;&gt;"Si",$R8&lt;&gt;"Si"),0,IF($F8-$G8=$J8-$K8,Reglas!$B$6,0))</x:f>
        <x:v>0</x:v>
      </x:c>
      <x:c r="X8" t="n">
        <x:f>IF(OR($N8&lt;&gt;"Finalizado",$Q8&lt;&gt;"Si",$R8&lt;&gt;"Si"),0,IF($F8=$J8,Reglas!$B$7,0))</x:f>
        <x:v>0</x:v>
      </x:c>
      <x:c r="Y8" t="n">
        <x:f>IF(OR($N8&lt;&gt;"Finalizado",$Q8&lt;&gt;"Si",$R8&lt;&gt;"Si"),0,IF($G8=$K8,Reglas!$B$8,0))</x:f>
        <x:v>0</x:v>
      </x:c>
      <x:c r="Z8" t="n">
        <x:f>SUM($S8:$Y8)</x:f>
        <x:v>10</x:v>
      </x:c>
      <x:c r="AA8" t="str">
        <x:f>IF($N8&lt;&gt;"Finalizado","Resultado pendiente",IF($H8="Sin envio","Sin respuesta",IF($Q8&lt;&gt;"Si","No acerto clasificado","OK")))</x:f>
        <x:v>OK</x:v>
      </x:c>
      <x:c r="AB8" t="str">
        <x:v>8vos detalle reconstruido</x:v>
      </x:c>
      <x:c r="AC8" t="n">
        <x:v>10</x:v>
      </x:c>
      <x:c r="AD8" t="n">
        <x:f>$Z8-$AC8</x:f>
        <x:v>0</x:v>
      </x:c>
    </x:row>
    <x:row r="9" ht="15" hidden="0" customHeight="1">
      <x:c r="A9" t="str">
        <x:v>8vos</x:v>
      </x:c>
      <x:c r="B9" t="str">
        <x:v>O1</x:v>
      </x:c>
      <x:c r="C9" t="str">
        <x:v>Javier</x:v>
      </x:c>
      <x:c r="D9" t="str">
        <x:v>Canada</x:v>
      </x:c>
      <x:c r="E9" t="str">
        <x:v>Marruecos</x:v>
      </x:c>
      <x:c r="F9" t="n">
        <x:v>1</x:v>
      </x:c>
      <x:c r="G9" t="n">
        <x:v>2</x:v>
      </x:c>
      <x:c r="H9" t="str">
        <x:v>Marruecos</x:v>
      </x:c>
      <x:c r="I9" t="str">
        <x:v>90 minutos</x:v>
      </x:c>
      <x:c r="J9" t="n">
        <x:v>0</x:v>
      </x:c>
      <x:c r="K9" t="n">
        <x:v>3</x:v>
      </x:c>
      <x:c r="L9" t="str">
        <x:v>Marruecos</x:v>
      </x:c>
      <x:c r="M9" t="str">
        <x:v>90 minutos</x:v>
      </x:c>
      <x:c r="N9" t="str">
        <x:v>Finalizado</x:v>
      </x:c>
      <x:c r="O9" t="str">
        <x:f>IF($H9="Sin envio","Sin envio",IF($I9="90 minutos",IF($F9&gt;$G9,"A",IF($G9&gt;$F9,"B","E")),"E"))</x:f>
        <x:v>B</x:v>
      </x:c>
      <x:c r="P9" t="str">
        <x:f>IF($M9="90 minutos",IF($J9&gt;$K9,"A",IF($K9&gt;$J9,"B","E")),"E")</x:f>
        <x:v>B</x:v>
      </x:c>
      <x:c r="Q9" t="str">
        <x:f>IF($H9="Sin envio","No",IF($H9=$L9,"Si","No"))</x:f>
        <x:v>Si</x:v>
      </x:c>
      <x:c r="R9" t="str">
        <x:f>IF(AND($I9=$M9,NOT(AND($I9="Penales",$F9&lt;&gt;$G9))),"Si","No")</x:f>
        <x:v>Si</x:v>
      </x:c>
      <x:c r="S9" t="n">
        <x:f>IF(OR($N9&lt;&gt;"Finalizado",$Q9&lt;&gt;"Si"),0,IF($O9=$P9,Reglas!$B$2,0))</x:f>
        <x:v>5</x:v>
      </x:c>
      <x:c r="T9" t="n">
        <x:f>IF(OR($N9&lt;&gt;"Finalizado",$Q9&lt;&gt;"Si"),0,Reglas!$B$3)</x:f>
        <x:v>3</x:v>
      </x:c>
      <x:c r="U9" t="n">
        <x:f>IF(OR($N9&lt;&gt;"Finalizado",$Q9&lt;&gt;"Si"),0,IF($I9=$M9,Reglas!$B$4,0))</x:f>
        <x:v>2</x:v>
      </x:c>
      <x:c r="V9" t="n">
        <x:f>IF(OR($N9&lt;&gt;"Finalizado",$Q9&lt;&gt;"Si",$R9&lt;&gt;"Si"),0,IF(AND($F9=$J9,$G9=$K9),Reglas!$B$5,0))</x:f>
        <x:v>0</x:v>
      </x:c>
      <x:c r="W9" t="n">
        <x:f>IF(OR($N9&lt;&gt;"Finalizado",$Q9&lt;&gt;"Si",$R9&lt;&gt;"Si"),0,IF($F9-$G9=$J9-$K9,Reglas!$B$6,0))</x:f>
        <x:v>0</x:v>
      </x:c>
      <x:c r="X9" t="n">
        <x:f>IF(OR($N9&lt;&gt;"Finalizado",$Q9&lt;&gt;"Si",$R9&lt;&gt;"Si"),0,IF($F9=$J9,Reglas!$B$7,0))</x:f>
        <x:v>0</x:v>
      </x:c>
      <x:c r="Y9" t="n">
        <x:f>IF(OR($N9&lt;&gt;"Finalizado",$Q9&lt;&gt;"Si",$R9&lt;&gt;"Si"),0,IF($G9=$K9,Reglas!$B$8,0))</x:f>
        <x:v>0</x:v>
      </x:c>
      <x:c r="Z9" t="n">
        <x:f>SUM($S9:$Y9)</x:f>
        <x:v>10</x:v>
      </x:c>
      <x:c r="AA9" t="str">
        <x:f>IF($N9&lt;&gt;"Finalizado","Resultado pendiente",IF($H9="Sin envio","Sin respuesta",IF($Q9&lt;&gt;"Si","No acerto clasificado","OK")))</x:f>
        <x:v>OK</x:v>
      </x:c>
      <x:c r="AB9" t="str">
        <x:v>8vos detalle reconstruido</x:v>
      </x:c>
      <x:c r="AC9" t="n">
        <x:v>10</x:v>
      </x:c>
      <x:c r="AD9" t="n">
        <x:f>$Z9-$AC9</x:f>
        <x:v>0</x:v>
      </x:c>
    </x:row>
    <x:row r="10" ht="15" hidden="0" customHeight="1">
      <x:c r="A10" t="str">
        <x:v>8vos</x:v>
      </x:c>
      <x:c r="B10" t="str">
        <x:v>O1</x:v>
      </x:c>
      <x:c r="C10" t="str">
        <x:v>Gino</x:v>
      </x:c>
      <x:c r="D10" t="str">
        <x:v>Canada</x:v>
      </x:c>
      <x:c r="E10" t="str">
        <x:v>Marruecos</x:v>
      </x:c>
      <x:c r="F10" t="n">
        <x:v>1</x:v>
      </x:c>
      <x:c r="G10" t="n">
        <x:v>2</x:v>
      </x:c>
      <x:c r="H10" t="str">
        <x:v>Marruecos</x:v>
      </x:c>
      <x:c r="I10" t="str">
        <x:v>Suplementario</x:v>
      </x:c>
      <x:c r="J10" t="n">
        <x:v>0</x:v>
      </x:c>
      <x:c r="K10" t="n">
        <x:v>3</x:v>
      </x:c>
      <x:c r="L10" t="str">
        <x:v>Marruecos</x:v>
      </x:c>
      <x:c r="M10" t="str">
        <x:v>90 minutos</x:v>
      </x:c>
      <x:c r="N10" t="str">
        <x:v>Finalizado</x:v>
      </x:c>
      <x:c r="O10" t="str">
        <x:f>IF($H10="Sin envio","Sin envio",IF($I10="90 minutos",IF($F10&gt;$G10,"A",IF($G10&gt;$F10,"B","E")),"E"))</x:f>
        <x:v>E</x:v>
      </x:c>
      <x:c r="P10" t="str">
        <x:f>IF($M10="90 minutos",IF($J10&gt;$K10,"A",IF($K10&gt;$J10,"B","E")),"E")</x:f>
        <x:v>B</x:v>
      </x:c>
      <x:c r="Q10" t="str">
        <x:f>IF($H10="Sin envio","No",IF($H10=$L10,"Si","No"))</x:f>
        <x:v>Si</x:v>
      </x:c>
      <x:c r="R10" t="str">
        <x:f>IF(AND($I10=$M10,NOT(AND($I10="Penales",$F10&lt;&gt;$G10))),"Si","No")</x:f>
        <x:v>No</x:v>
      </x:c>
      <x:c r="S10" t="n">
        <x:f>IF(OR($N10&lt;&gt;"Finalizado",$Q10&lt;&gt;"Si"),0,IF($O10=$P10,Reglas!$B$2,0))</x:f>
        <x:v>0</x:v>
      </x:c>
      <x:c r="T10" t="n">
        <x:f>IF(OR($N10&lt;&gt;"Finalizado",$Q10&lt;&gt;"Si"),0,Reglas!$B$3)</x:f>
        <x:v>3</x:v>
      </x:c>
      <x:c r="U10" t="n">
        <x:f>IF(OR($N10&lt;&gt;"Finalizado",$Q10&lt;&gt;"Si"),0,IF($I10=$M10,Reglas!$B$4,0))</x:f>
        <x:v>0</x:v>
      </x:c>
      <x:c r="V10" t="n">
        <x:f>IF(OR($N10&lt;&gt;"Finalizado",$Q10&lt;&gt;"Si",$R10&lt;&gt;"Si"),0,IF(AND($F10=$J10,$G10=$K10),Reglas!$B$5,0))</x:f>
        <x:v>0</x:v>
      </x:c>
      <x:c r="W10" t="n">
        <x:f>IF(OR($N10&lt;&gt;"Finalizado",$Q10&lt;&gt;"Si",$R10&lt;&gt;"Si"),0,IF($F10-$G10=$J10-$K10,Reglas!$B$6,0))</x:f>
        <x:v>0</x:v>
      </x:c>
      <x:c r="X10" t="n">
        <x:f>IF(OR($N10&lt;&gt;"Finalizado",$Q10&lt;&gt;"Si",$R10&lt;&gt;"Si"),0,IF($F10=$J10,Reglas!$B$7,0))</x:f>
        <x:v>0</x:v>
      </x:c>
      <x:c r="Y10" t="n">
        <x:f>IF(OR($N10&lt;&gt;"Finalizado",$Q10&lt;&gt;"Si",$R10&lt;&gt;"Si"),0,IF($G10=$K10,Reglas!$B$8,0))</x:f>
        <x:v>0</x:v>
      </x:c>
      <x:c r="Z10" t="n">
        <x:f>SUM($S10:$Y10)</x:f>
        <x:v>3</x:v>
      </x:c>
      <x:c r="AA10" t="str">
        <x:f>IF($N10&lt;&gt;"Finalizado","Resultado pendiente",IF($H10="Sin envio","Sin respuesta",IF($Q10&lt;&gt;"Si","No acerto clasificado","OK")))</x:f>
        <x:v>OK</x:v>
      </x:c>
      <x:c r="AB10" t="str">
        <x:v>8vos detalle reconstruido</x:v>
      </x:c>
      <x:c r="AC10" t="n">
        <x:v>3</x:v>
      </x:c>
      <x:c r="AD10" t="n">
        <x:f>$Z10-$AC10</x:f>
        <x:v>0</x:v>
      </x:c>
    </x:row>
    <x:row r="11" ht="15" hidden="0" customHeight="1">
      <x:c r="A11" t="str">
        <x:v>8vos</x:v>
      </x:c>
      <x:c r="B11" t="str">
        <x:v>O1</x:v>
      </x:c>
      <x:c r="C11" t="str">
        <x:v>Manuel</x:v>
      </x:c>
      <x:c r="D11" t="str">
        <x:v>Canada</x:v>
      </x:c>
      <x:c r="E11" t="str">
        <x:v>Marruecos</x:v>
      </x:c>
      <x:c r="F11" t="n">
        <x:v>2</x:v>
      </x:c>
      <x:c r="G11" t="n">
        <x:v>2</x:v>
      </x:c>
      <x:c r="H11" t="str">
        <x:v>Marruecos</x:v>
      </x:c>
      <x:c r="I11" t="str">
        <x:v>Suplementario</x:v>
      </x:c>
      <x:c r="J11" t="n">
        <x:v>0</x:v>
      </x:c>
      <x:c r="K11" t="n">
        <x:v>3</x:v>
      </x:c>
      <x:c r="L11" t="str">
        <x:v>Marruecos</x:v>
      </x:c>
      <x:c r="M11" t="str">
        <x:v>90 minutos</x:v>
      </x:c>
      <x:c r="N11" t="str">
        <x:v>Finalizado</x:v>
      </x:c>
      <x:c r="O11" t="str">
        <x:f>IF($H11="Sin envio","Sin envio",IF($I11="90 minutos",IF($F11&gt;$G11,"A",IF($G11&gt;$F11,"B","E")),"E"))</x:f>
        <x:v>E</x:v>
      </x:c>
      <x:c r="P11" t="str">
        <x:f>IF($M11="90 minutos",IF($J11&gt;$K11,"A",IF($K11&gt;$J11,"B","E")),"E")</x:f>
        <x:v>B</x:v>
      </x:c>
      <x:c r="Q11" t="str">
        <x:f>IF($H11="Sin envio","No",IF($H11=$L11,"Si","No"))</x:f>
        <x:v>Si</x:v>
      </x:c>
      <x:c r="R11" t="str">
        <x:f>IF(AND($I11=$M11,NOT(AND($I11="Penales",$F11&lt;&gt;$G11))),"Si","No")</x:f>
        <x:v>No</x:v>
      </x:c>
      <x:c r="S11" t="n">
        <x:f>IF(OR($N11&lt;&gt;"Finalizado",$Q11&lt;&gt;"Si"),0,IF($O11=$P11,Reglas!$B$2,0))</x:f>
        <x:v>0</x:v>
      </x:c>
      <x:c r="T11" t="n">
        <x:f>IF(OR($N11&lt;&gt;"Finalizado",$Q11&lt;&gt;"Si"),0,Reglas!$B$3)</x:f>
        <x:v>3</x:v>
      </x:c>
      <x:c r="U11" t="n">
        <x:f>IF(OR($N11&lt;&gt;"Finalizado",$Q11&lt;&gt;"Si"),0,IF($I11=$M11,Reglas!$B$4,0))</x:f>
        <x:v>0</x:v>
      </x:c>
      <x:c r="V11" t="n">
        <x:f>IF(OR($N11&lt;&gt;"Finalizado",$Q11&lt;&gt;"Si",$R11&lt;&gt;"Si"),0,IF(AND($F11=$J11,$G11=$K11),Reglas!$B$5,0))</x:f>
        <x:v>0</x:v>
      </x:c>
      <x:c r="W11" t="n">
        <x:f>IF(OR($N11&lt;&gt;"Finalizado",$Q11&lt;&gt;"Si",$R11&lt;&gt;"Si"),0,IF($F11-$G11=$J11-$K11,Reglas!$B$6,0))</x:f>
        <x:v>0</x:v>
      </x:c>
      <x:c r="X11" t="n">
        <x:f>IF(OR($N11&lt;&gt;"Finalizado",$Q11&lt;&gt;"Si",$R11&lt;&gt;"Si"),0,IF($F11=$J11,Reglas!$B$7,0))</x:f>
        <x:v>0</x:v>
      </x:c>
      <x:c r="Y11" t="n">
        <x:f>IF(OR($N11&lt;&gt;"Finalizado",$Q11&lt;&gt;"Si",$R11&lt;&gt;"Si"),0,IF($G11=$K11,Reglas!$B$8,0))</x:f>
        <x:v>0</x:v>
      </x:c>
      <x:c r="Z11" t="n">
        <x:f>SUM($S11:$Y11)</x:f>
        <x:v>3</x:v>
      </x:c>
      <x:c r="AA11" t="str">
        <x:f>IF($N11&lt;&gt;"Finalizado","Resultado pendiente",IF($H11="Sin envio","Sin respuesta",IF($Q11&lt;&gt;"Si","No acerto clasificado","OK")))</x:f>
        <x:v>OK</x:v>
      </x:c>
      <x:c r="AB11" t="str">
        <x:v>8vos detalle reconstruido</x:v>
      </x:c>
      <x:c r="AC11" t="n">
        <x:v>3</x:v>
      </x:c>
      <x:c r="AD11" t="n">
        <x:f>$Z11-$AC11</x:f>
        <x:v>0</x:v>
      </x:c>
    </x:row>
    <x:row r="12" ht="15" hidden="0" customHeight="1">
      <x:c r="A12" t="str">
        <x:v>8vos</x:v>
      </x:c>
      <x:c r="B12" t="str">
        <x:v>O1</x:v>
      </x:c>
      <x:c r="C12" t="str">
        <x:v>Jorge</x:v>
      </x:c>
      <x:c r="D12" t="str">
        <x:v>Canada</x:v>
      </x:c>
      <x:c r="E12" t="str">
        <x:v>Marruecos</x:v>
      </x:c>
      <x:c r="F12" t="n">
        <x:v>0</x:v>
      </x:c>
      <x:c r="G12" t="n">
        <x:v>3</x:v>
      </x:c>
      <x:c r="H12" t="str">
        <x:v>Marruecos</x:v>
      </x:c>
      <x:c r="I12" t="str">
        <x:v>90 minutos</x:v>
      </x:c>
      <x:c r="J12" t="n">
        <x:v>0</x:v>
      </x:c>
      <x:c r="K12" t="n">
        <x:v>3</x:v>
      </x:c>
      <x:c r="L12" t="str">
        <x:v>Marruecos</x:v>
      </x:c>
      <x:c r="M12" t="str">
        <x:v>90 minutos</x:v>
      </x:c>
      <x:c r="N12" t="str">
        <x:v>Finalizado</x:v>
      </x:c>
      <x:c r="O12" t="str">
        <x:f>IF($H12="Sin envio","Sin envio",IF($I12="90 minutos",IF($F12&gt;$G12,"A",IF($G12&gt;$F12,"B","E")),"E"))</x:f>
        <x:v>B</x:v>
      </x:c>
      <x:c r="P12" t="str">
        <x:f>IF($M12="90 minutos",IF($J12&gt;$K12,"A",IF($K12&gt;$J12,"B","E")),"E")</x:f>
        <x:v>B</x:v>
      </x:c>
      <x:c r="Q12" t="str">
        <x:f>IF($H12="Sin envio","No",IF($H12=$L12,"Si","No"))</x:f>
        <x:v>Si</x:v>
      </x:c>
      <x:c r="R12" t="str">
        <x:f>IF(AND($I12=$M12,NOT(AND($I12="Penales",$F12&lt;&gt;$G12))),"Si","No")</x:f>
        <x:v>Si</x:v>
      </x:c>
      <x:c r="S12" t="n">
        <x:f>IF(OR($N12&lt;&gt;"Finalizado",$Q12&lt;&gt;"Si"),0,IF($O12=$P12,Reglas!$B$2,0))</x:f>
        <x:v>5</x:v>
      </x:c>
      <x:c r="T12" t="n">
        <x:f>IF(OR($N12&lt;&gt;"Finalizado",$Q12&lt;&gt;"Si"),0,Reglas!$B$3)</x:f>
        <x:v>3</x:v>
      </x:c>
      <x:c r="U12" t="n">
        <x:f>IF(OR($N12&lt;&gt;"Finalizado",$Q12&lt;&gt;"Si"),0,IF($I12=$M12,Reglas!$B$4,0))</x:f>
        <x:v>2</x:v>
      </x:c>
      <x:c r="V12" t="n">
        <x:f>IF(OR($N12&lt;&gt;"Finalizado",$Q12&lt;&gt;"Si",$R12&lt;&gt;"Si"),0,IF(AND($F12=$J12,$G12=$K12),Reglas!$B$5,0))</x:f>
        <x:v>4</x:v>
      </x:c>
      <x:c r="W12" t="n">
        <x:f>IF(OR($N12&lt;&gt;"Finalizado",$Q12&lt;&gt;"Si",$R12&lt;&gt;"Si"),0,IF($F12-$G12=$J12-$K12,Reglas!$B$6,0))</x:f>
        <x:v>2</x:v>
      </x:c>
      <x:c r="X12" t="n">
        <x:f>IF(OR($N12&lt;&gt;"Finalizado",$Q12&lt;&gt;"Si",$R12&lt;&gt;"Si"),0,IF($F12=$J12,Reglas!$B$7,0))</x:f>
        <x:v>1</x:v>
      </x:c>
      <x:c r="Y12" t="n">
        <x:f>IF(OR($N12&lt;&gt;"Finalizado",$Q12&lt;&gt;"Si",$R12&lt;&gt;"Si"),0,IF($G12=$K12,Reglas!$B$8,0))</x:f>
        <x:v>1</x:v>
      </x:c>
      <x:c r="Z12" t="n">
        <x:f>SUM($S12:$Y12)</x:f>
        <x:v>18</x:v>
      </x:c>
      <x:c r="AA12" t="str">
        <x:f>IF($N12&lt;&gt;"Finalizado","Resultado pendiente",IF($H12="Sin envio","Sin respuesta",IF($Q12&lt;&gt;"Si","No acerto clasificado","OK")))</x:f>
        <x:v>OK</x:v>
      </x:c>
      <x:c r="AB12" t="str">
        <x:v>8vos detalle reconstruido</x:v>
      </x:c>
      <x:c r="AC12" t="n">
        <x:v>18</x:v>
      </x:c>
      <x:c r="AD12" t="n">
        <x:f>$Z12-$AC12</x:f>
        <x:v>0</x:v>
      </x:c>
    </x:row>
    <x:row r="13" ht="15" hidden="0" customHeight="1">
      <x:c r="A13" t="str">
        <x:v>8vos</x:v>
      </x:c>
      <x:c r="B13" t="str">
        <x:v>O1</x:v>
      </x:c>
      <x:c r="C13" t="str">
        <x:v>Daniel</x:v>
      </x:c>
      <x:c r="D13" t="str">
        <x:v>Canada</x:v>
      </x:c>
      <x:c r="E13" t="str">
        <x:v>Marruecos</x:v>
      </x:c>
      <x:c r="F13" t="n">
        <x:v>1</x:v>
      </x:c>
      <x:c r="G13" t="n">
        <x:v>1</x:v>
      </x:c>
      <x:c r="H13" t="str">
        <x:v>Canada</x:v>
      </x:c>
      <x:c r="I13" t="str">
        <x:v>Penales</x:v>
      </x:c>
      <x:c r="J13" t="n">
        <x:v>0</x:v>
      </x:c>
      <x:c r="K13" t="n">
        <x:v>3</x:v>
      </x:c>
      <x:c r="L13" t="str">
        <x:v>Marruecos</x:v>
      </x:c>
      <x:c r="M13" t="str">
        <x:v>90 minutos</x:v>
      </x:c>
      <x:c r="N13" t="str">
        <x:v>Finalizado</x:v>
      </x:c>
      <x:c r="O13" t="str">
        <x:f>IF($H13="Sin envio","Sin envio",IF($I13="90 minutos",IF($F13&gt;$G13,"A",IF($G13&gt;$F13,"B","E")),"E"))</x:f>
        <x:v>E</x:v>
      </x:c>
      <x:c r="P13" t="str">
        <x:f>IF($M13="90 minutos",IF($J13&gt;$K13,"A",IF($K13&gt;$J13,"B","E")),"E")</x:f>
        <x:v>B</x:v>
      </x:c>
      <x:c r="Q13" t="str">
        <x:f>IF($H13="Sin envio","No",IF($H13=$L13,"Si","No"))</x:f>
        <x:v>No</x:v>
      </x:c>
      <x:c r="R13" t="str">
        <x:f>IF(AND($I13=$M13,NOT(AND($I13="Penales",$F13&lt;&gt;$G13))),"Si","No")</x:f>
        <x:v>No</x:v>
      </x:c>
      <x:c r="S13" t="n">
        <x:f>IF(OR($N13&lt;&gt;"Finalizado",$Q13&lt;&gt;"Si"),0,IF($O13=$P13,Reglas!$B$2,0))</x:f>
        <x:v>0</x:v>
      </x:c>
      <x:c r="T13" t="n">
        <x:f>IF(OR($N13&lt;&gt;"Finalizado",$Q13&lt;&gt;"Si"),0,Reglas!$B$3)</x:f>
        <x:v>0</x:v>
      </x:c>
      <x:c r="U13" t="n">
        <x:f>IF(OR($N13&lt;&gt;"Finalizado",$Q13&lt;&gt;"Si"),0,IF($I13=$M13,Reglas!$B$4,0))</x:f>
        <x:v>0</x:v>
      </x:c>
      <x:c r="V13" t="n">
        <x:f>IF(OR($N13&lt;&gt;"Finalizado",$Q13&lt;&gt;"Si",$R13&lt;&gt;"Si"),0,IF(AND($F13=$J13,$G13=$K13),Reglas!$B$5,0))</x:f>
        <x:v>0</x:v>
      </x:c>
      <x:c r="W13" t="n">
        <x:f>IF(OR($N13&lt;&gt;"Finalizado",$Q13&lt;&gt;"Si",$R13&lt;&gt;"Si"),0,IF($F13-$G13=$J13-$K13,Reglas!$B$6,0))</x:f>
        <x:v>0</x:v>
      </x:c>
      <x:c r="X13" t="n">
        <x:f>IF(OR($N13&lt;&gt;"Finalizado",$Q13&lt;&gt;"Si",$R13&lt;&gt;"Si"),0,IF($F13=$J13,Reglas!$B$7,0))</x:f>
        <x:v>0</x:v>
      </x:c>
      <x:c r="Y13" t="n">
        <x:f>IF(OR($N13&lt;&gt;"Finalizado",$Q13&lt;&gt;"Si",$R13&lt;&gt;"Si"),0,IF($G13=$K13,Reglas!$B$8,0))</x:f>
        <x:v>0</x:v>
      </x:c>
      <x:c r="Z13" t="n">
        <x:f>SUM($S13:$Y13)</x:f>
        <x:v>0</x:v>
      </x:c>
      <x:c r="AA13" t="str">
        <x:f>IF($N13&lt;&gt;"Finalizado","Resultado pendiente",IF($H13="Sin envio","Sin respuesta",IF($Q13&lt;&gt;"Si","No acerto clasificado","OK")))</x:f>
        <x:v>No acerto clasificado</x:v>
      </x:c>
      <x:c r="AB13" t="str">
        <x:v>8vos detalle reconstruido</x:v>
      </x:c>
      <x:c r="AC13" t="n">
        <x:v>0</x:v>
      </x:c>
      <x:c r="AD13" t="n">
        <x:f>$Z13-$AC13</x:f>
        <x:v>0</x:v>
      </x:c>
    </x:row>
    <x:row r="14" ht="15" hidden="0" customHeight="1">
      <x:c r="A14" t="str">
        <x:v>8vos</x:v>
      </x:c>
      <x:c r="B14" t="str">
        <x:v>O1</x:v>
      </x:c>
      <x:c r="C14" t="str">
        <x:v>Arthur</x:v>
      </x:c>
      <x:c r="D14" t="str">
        <x:v>Canada</x:v>
      </x:c>
      <x:c r="E14" t="str">
        <x:v>Marruecos</x:v>
      </x:c>
      <x:c r="F14" t="n">
        <x:v>4</x:v>
      </x:c>
      <x:c r="G14" t="n">
        <x:v>5</x:v>
      </x:c>
      <x:c r="H14" t="str">
        <x:v>Marruecos</x:v>
      </x:c>
      <x:c r="I14" t="str">
        <x:v>Penales</x:v>
      </x:c>
      <x:c r="J14" t="n">
        <x:v>0</x:v>
      </x:c>
      <x:c r="K14" t="n">
        <x:v>3</x:v>
      </x:c>
      <x:c r="L14" t="str">
        <x:v>Marruecos</x:v>
      </x:c>
      <x:c r="M14" t="str">
        <x:v>90 minutos</x:v>
      </x:c>
      <x:c r="N14" t="str">
        <x:v>Finalizado</x:v>
      </x:c>
      <x:c r="O14" t="str">
        <x:f>IF($H14="Sin envio","Sin envio",IF($I14="90 minutos",IF($F14&gt;$G14,"A",IF($G14&gt;$F14,"B","E")),"E"))</x:f>
        <x:v>E</x:v>
      </x:c>
      <x:c r="P14" t="str">
        <x:f>IF($M14="90 minutos",IF($J14&gt;$K14,"A",IF($K14&gt;$J14,"B","E")),"E")</x:f>
        <x:v>B</x:v>
      </x:c>
      <x:c r="Q14" t="str">
        <x:f>IF($H14="Sin envio","No",IF($H14=$L14,"Si","No"))</x:f>
        <x:v>Si</x:v>
      </x:c>
      <x:c r="R14" t="str">
        <x:f>IF(AND($I14=$M14,NOT(AND($I14="Penales",$F14&lt;&gt;$G14))),"Si","No")</x:f>
        <x:v>No</x:v>
      </x:c>
      <x:c r="S14" t="n">
        <x:f>IF(OR($N14&lt;&gt;"Finalizado",$Q14&lt;&gt;"Si"),0,IF($O14=$P14,Reglas!$B$2,0))</x:f>
        <x:v>0</x:v>
      </x:c>
      <x:c r="T14" t="n">
        <x:f>IF(OR($N14&lt;&gt;"Finalizado",$Q14&lt;&gt;"Si"),0,Reglas!$B$3)</x:f>
        <x:v>3</x:v>
      </x:c>
      <x:c r="U14" t="n">
        <x:f>IF(OR($N14&lt;&gt;"Finalizado",$Q14&lt;&gt;"Si"),0,IF($I14=$M14,Reglas!$B$4,0))</x:f>
        <x:v>0</x:v>
      </x:c>
      <x:c r="V14" t="n">
        <x:f>IF(OR($N14&lt;&gt;"Finalizado",$Q14&lt;&gt;"Si",$R14&lt;&gt;"Si"),0,IF(AND($F14=$J14,$G14=$K14),Reglas!$B$5,0))</x:f>
        <x:v>0</x:v>
      </x:c>
      <x:c r="W14" t="n">
        <x:f>IF(OR($N14&lt;&gt;"Finalizado",$Q14&lt;&gt;"Si",$R14&lt;&gt;"Si"),0,IF($F14-$G14=$J14-$K14,Reglas!$B$6,0))</x:f>
        <x:v>0</x:v>
      </x:c>
      <x:c r="X14" t="n">
        <x:f>IF(OR($N14&lt;&gt;"Finalizado",$Q14&lt;&gt;"Si",$R14&lt;&gt;"Si"),0,IF($F14=$J14,Reglas!$B$7,0))</x:f>
        <x:v>0</x:v>
      </x:c>
      <x:c r="Y14" t="n">
        <x:f>IF(OR($N14&lt;&gt;"Finalizado",$Q14&lt;&gt;"Si",$R14&lt;&gt;"Si"),0,IF($G14=$K14,Reglas!$B$8,0))</x:f>
        <x:v>0</x:v>
      </x:c>
      <x:c r="Z14" t="n">
        <x:f>SUM($S14:$Y14)</x:f>
        <x:v>3</x:v>
      </x:c>
      <x:c r="AA14" t="str">
        <x:f>IF($N14&lt;&gt;"Finalizado","Resultado pendiente",IF($H14="Sin envio","Sin respuesta",IF($Q14&lt;&gt;"Si","No acerto clasificado","OK")))</x:f>
        <x:v>OK</x:v>
      </x:c>
      <x:c r="AB14" t="str">
        <x:v>8vos detalle reconstruido</x:v>
      </x:c>
      <x:c r="AC14" t="n">
        <x:v>3</x:v>
      </x:c>
      <x:c r="AD14" t="n">
        <x:f>$Z14-$AC14</x:f>
        <x:v>0</x:v>
      </x:c>
    </x:row>
    <x:row r="15" ht="15" hidden="0" customHeight="1">
      <x:c r="A15" t="str">
        <x:v>8vos</x:v>
      </x:c>
      <x:c r="B15" t="str">
        <x:v>O1</x:v>
      </x:c>
      <x:c r="C15" t="str">
        <x:v>José Luis</x:v>
      </x:c>
      <x:c r="D15" t="str">
        <x:v>Canada</x:v>
      </x:c>
      <x:c r="E15" t="str">
        <x:v>Marruecos</x:v>
      </x:c>
      <x:c r="F15"/>
      <x:c r="G15"/>
      <x:c r="H15" t="str">
        <x:v>Sin envio</x:v>
      </x:c>
      <x:c r="I15" t="str">
        <x:v>Sin envio</x:v>
      </x:c>
      <x:c r="J15" t="n">
        <x:v>0</x:v>
      </x:c>
      <x:c r="K15" t="n">
        <x:v>3</x:v>
      </x:c>
      <x:c r="L15" t="str">
        <x:v>Marruecos</x:v>
      </x:c>
      <x:c r="M15" t="str">
        <x:v>90 minutos</x:v>
      </x:c>
      <x:c r="N15" t="str">
        <x:v>Finalizado</x:v>
      </x:c>
      <x:c r="O15" t="str">
        <x:f>IF($H15="Sin envio","Sin envio",IF($I15="90 minutos",IF($F15&gt;$G15,"A",IF($G15&gt;$F15,"B","E")),"E"))</x:f>
        <x:v>Sin envio</x:v>
      </x:c>
      <x:c r="P15" t="str">
        <x:f>IF($M15="90 minutos",IF($J15&gt;$K15,"A",IF($K15&gt;$J15,"B","E")),"E")</x:f>
        <x:v>B</x:v>
      </x:c>
      <x:c r="Q15" t="str">
        <x:f>IF($H15="Sin envio","No",IF($H15=$L15,"Si","No"))</x:f>
        <x:v>No</x:v>
      </x:c>
      <x:c r="R15" t="str">
        <x:f>IF(AND($I15=$M15,NOT(AND($I15="Penales",$F15&lt;&gt;$G15))),"Si","No")</x:f>
        <x:v>No</x:v>
      </x:c>
      <x:c r="S15" t="n">
        <x:f>IF(OR($N15&lt;&gt;"Finalizado",$Q15&lt;&gt;"Si"),0,IF($O15=$P15,Reglas!$B$2,0))</x:f>
        <x:v>0</x:v>
      </x:c>
      <x:c r="T15" t="n">
        <x:f>IF(OR($N15&lt;&gt;"Finalizado",$Q15&lt;&gt;"Si"),0,Reglas!$B$3)</x:f>
        <x:v>0</x:v>
      </x:c>
      <x:c r="U15" t="n">
        <x:f>IF(OR($N15&lt;&gt;"Finalizado",$Q15&lt;&gt;"Si"),0,IF($I15=$M15,Reglas!$B$4,0))</x:f>
        <x:v>0</x:v>
      </x:c>
      <x:c r="V15" t="n">
        <x:f>IF(OR($N15&lt;&gt;"Finalizado",$Q15&lt;&gt;"Si",$R15&lt;&gt;"Si"),0,IF(AND($F15=$J15,$G15=$K15),Reglas!$B$5,0))</x:f>
        <x:v>0</x:v>
      </x:c>
      <x:c r="W15" t="n">
        <x:f>IF(OR($N15&lt;&gt;"Finalizado",$Q15&lt;&gt;"Si",$R15&lt;&gt;"Si"),0,IF($F15-$G15=$J15-$K15,Reglas!$B$6,0))</x:f>
        <x:v>0</x:v>
      </x:c>
      <x:c r="X15" t="n">
        <x:f>IF(OR($N15&lt;&gt;"Finalizado",$Q15&lt;&gt;"Si",$R15&lt;&gt;"Si"),0,IF($F15=$J15,Reglas!$B$7,0))</x:f>
        <x:v>0</x:v>
      </x:c>
      <x:c r="Y15" t="n">
        <x:f>IF(OR($N15&lt;&gt;"Finalizado",$Q15&lt;&gt;"Si",$R15&lt;&gt;"Si"),0,IF($G15=$K15,Reglas!$B$8,0))</x:f>
        <x:v>0</x:v>
      </x:c>
      <x:c r="Z15" t="n">
        <x:f>SUM($S15:$Y15)</x:f>
        <x:v>0</x:v>
      </x:c>
      <x:c r="AA15" t="str">
        <x:f>IF($N15&lt;&gt;"Finalizado","Resultado pendiente",IF($H15="Sin envio","Sin respuesta",IF($Q15&lt;&gt;"Si","No acerto clasificado","OK")))</x:f>
        <x:v>Sin respuesta</x:v>
      </x:c>
      <x:c r="AB15" t="str">
        <x:v>8vos detalle reconstruido</x:v>
      </x:c>
      <x:c r="AC15" t="n">
        <x:v>0</x:v>
      </x:c>
      <x:c r="AD15" t="n">
        <x:f>$Z15-$AC15</x:f>
        <x:v>0</x:v>
      </x:c>
    </x:row>
    <x:row r="16" ht="15" hidden="0" customHeight="1">
      <x:c r="A16" t="str">
        <x:v>8vos</x:v>
      </x:c>
      <x:c r="B16" t="str">
        <x:v>O1</x:v>
      </x:c>
      <x:c r="C16" t="str">
        <x:v>Marcelo</x:v>
      </x:c>
      <x:c r="D16" t="str">
        <x:v>Canada</x:v>
      </x:c>
      <x:c r="E16" t="str">
        <x:v>Marruecos</x:v>
      </x:c>
      <x:c r="F16"/>
      <x:c r="G16"/>
      <x:c r="H16" t="str">
        <x:v>Sin envio</x:v>
      </x:c>
      <x:c r="I16" t="str">
        <x:v>Sin envio</x:v>
      </x:c>
      <x:c r="J16" t="n">
        <x:v>0</x:v>
      </x:c>
      <x:c r="K16" t="n">
        <x:v>3</x:v>
      </x:c>
      <x:c r="L16" t="str">
        <x:v>Marruecos</x:v>
      </x:c>
      <x:c r="M16" t="str">
        <x:v>90 minutos</x:v>
      </x:c>
      <x:c r="N16" t="str">
        <x:v>Finalizado</x:v>
      </x:c>
      <x:c r="O16" t="str">
        <x:f>IF($H16="Sin envio","Sin envio",IF($I16="90 minutos",IF($F16&gt;$G16,"A",IF($G16&gt;$F16,"B","E")),"E"))</x:f>
        <x:v>Sin envio</x:v>
      </x:c>
      <x:c r="P16" t="str">
        <x:f>IF($M16="90 minutos",IF($J16&gt;$K16,"A",IF($K16&gt;$J16,"B","E")),"E")</x:f>
        <x:v>B</x:v>
      </x:c>
      <x:c r="Q16" t="str">
        <x:f>IF($H16="Sin envio","No",IF($H16=$L16,"Si","No"))</x:f>
        <x:v>No</x:v>
      </x:c>
      <x:c r="R16" t="str">
        <x:f>IF(AND($I16=$M16,NOT(AND($I16="Penales",$F16&lt;&gt;$G16))),"Si","No")</x:f>
        <x:v>No</x:v>
      </x:c>
      <x:c r="S16" t="n">
        <x:f>IF(OR($N16&lt;&gt;"Finalizado",$Q16&lt;&gt;"Si"),0,IF($O16=$P16,Reglas!$B$2,0))</x:f>
        <x:v>0</x:v>
      </x:c>
      <x:c r="T16" t="n">
        <x:f>IF(OR($N16&lt;&gt;"Finalizado",$Q16&lt;&gt;"Si"),0,Reglas!$B$3)</x:f>
        <x:v>0</x:v>
      </x:c>
      <x:c r="U16" t="n">
        <x:f>IF(OR($N16&lt;&gt;"Finalizado",$Q16&lt;&gt;"Si"),0,IF($I16=$M16,Reglas!$B$4,0))</x:f>
        <x:v>0</x:v>
      </x:c>
      <x:c r="V16" t="n">
        <x:f>IF(OR($N16&lt;&gt;"Finalizado",$Q16&lt;&gt;"Si",$R16&lt;&gt;"Si"),0,IF(AND($F16=$J16,$G16=$K16),Reglas!$B$5,0))</x:f>
        <x:v>0</x:v>
      </x:c>
      <x:c r="W16" t="n">
        <x:f>IF(OR($N16&lt;&gt;"Finalizado",$Q16&lt;&gt;"Si",$R16&lt;&gt;"Si"),0,IF($F16-$G16=$J16-$K16,Reglas!$B$6,0))</x:f>
        <x:v>0</x:v>
      </x:c>
      <x:c r="X16" t="n">
        <x:f>IF(OR($N16&lt;&gt;"Finalizado",$Q16&lt;&gt;"Si",$R16&lt;&gt;"Si"),0,IF($F16=$J16,Reglas!$B$7,0))</x:f>
        <x:v>0</x:v>
      </x:c>
      <x:c r="Y16" t="n">
        <x:f>IF(OR($N16&lt;&gt;"Finalizado",$Q16&lt;&gt;"Si",$R16&lt;&gt;"Si"),0,IF($G16=$K16,Reglas!$B$8,0))</x:f>
        <x:v>0</x:v>
      </x:c>
      <x:c r="Z16" t="n">
        <x:f>SUM($S16:$Y16)</x:f>
        <x:v>0</x:v>
      </x:c>
      <x:c r="AA16" t="str">
        <x:f>IF($N16&lt;&gt;"Finalizado","Resultado pendiente",IF($H16="Sin envio","Sin respuesta",IF($Q16&lt;&gt;"Si","No acerto clasificado","OK")))</x:f>
        <x:v>Sin respuesta</x:v>
      </x:c>
      <x:c r="AB16" t="str">
        <x:v>8vos detalle reconstruido</x:v>
      </x:c>
      <x:c r="AC16" t="n">
        <x:v>0</x:v>
      </x:c>
      <x:c r="AD16" t="n">
        <x:f>$Z16-$AC16</x:f>
        <x:v>0</x:v>
      </x:c>
    </x:row>
    <x:row r="17" ht="15" hidden="0" customHeight="1">
      <x:c r="A17" t="str">
        <x:v>8vos</x:v>
      </x:c>
      <x:c r="B17" t="str">
        <x:v>O1</x:v>
      </x:c>
      <x:c r="C17" t="str">
        <x:v>Anny</x:v>
      </x:c>
      <x:c r="D17" t="str">
        <x:v>Canada</x:v>
      </x:c>
      <x:c r="E17" t="str">
        <x:v>Marruecos</x:v>
      </x:c>
      <x:c r="F17" t="n">
        <x:v>1</x:v>
      </x:c>
      <x:c r="G17" t="n">
        <x:v>2</x:v>
      </x:c>
      <x:c r="H17" t="str">
        <x:v>Marruecos</x:v>
      </x:c>
      <x:c r="I17" t="str">
        <x:v>90 minutos</x:v>
      </x:c>
      <x:c r="J17" t="n">
        <x:v>0</x:v>
      </x:c>
      <x:c r="K17" t="n">
        <x:v>3</x:v>
      </x:c>
      <x:c r="L17" t="str">
        <x:v>Marruecos</x:v>
      </x:c>
      <x:c r="M17" t="str">
        <x:v>90 minutos</x:v>
      </x:c>
      <x:c r="N17" t="str">
        <x:v>Finalizado</x:v>
      </x:c>
      <x:c r="O17" t="str">
        <x:f>IF($H17="Sin envio","Sin envio",IF($I17="90 minutos",IF($F17&gt;$G17,"A",IF($G17&gt;$F17,"B","E")),"E"))</x:f>
        <x:v>B</x:v>
      </x:c>
      <x:c r="P17" t="str">
        <x:f>IF($M17="90 minutos",IF($J17&gt;$K17,"A",IF($K17&gt;$J17,"B","E")),"E")</x:f>
        <x:v>B</x:v>
      </x:c>
      <x:c r="Q17" t="str">
        <x:f>IF($H17="Sin envio","No",IF($H17=$L17,"Si","No"))</x:f>
        <x:v>Si</x:v>
      </x:c>
      <x:c r="R17" t="str">
        <x:f>IF(AND($I17=$M17,NOT(AND($I17="Penales",$F17&lt;&gt;$G17))),"Si","No")</x:f>
        <x:v>Si</x:v>
      </x:c>
      <x:c r="S17" t="n">
        <x:f>IF(OR($N17&lt;&gt;"Finalizado",$Q17&lt;&gt;"Si"),0,IF($O17=$P17,Reglas!$B$2,0))</x:f>
        <x:v>5</x:v>
      </x:c>
      <x:c r="T17" t="n">
        <x:f>IF(OR($N17&lt;&gt;"Finalizado",$Q17&lt;&gt;"Si"),0,Reglas!$B$3)</x:f>
        <x:v>3</x:v>
      </x:c>
      <x:c r="U17" t="n">
        <x:f>IF(OR($N17&lt;&gt;"Finalizado",$Q17&lt;&gt;"Si"),0,IF($I17=$M17,Reglas!$B$4,0))</x:f>
        <x:v>2</x:v>
      </x:c>
      <x:c r="V17" t="n">
        <x:f>IF(OR($N17&lt;&gt;"Finalizado",$Q17&lt;&gt;"Si",$R17&lt;&gt;"Si"),0,IF(AND($F17=$J17,$G17=$K17),Reglas!$B$5,0))</x:f>
        <x:v>0</x:v>
      </x:c>
      <x:c r="W17" t="n">
        <x:f>IF(OR($N17&lt;&gt;"Finalizado",$Q17&lt;&gt;"Si",$R17&lt;&gt;"Si"),0,IF($F17-$G17=$J17-$K17,Reglas!$B$6,0))</x:f>
        <x:v>0</x:v>
      </x:c>
      <x:c r="X17" t="n">
        <x:f>IF(OR($N17&lt;&gt;"Finalizado",$Q17&lt;&gt;"Si",$R17&lt;&gt;"Si"),0,IF($F17=$J17,Reglas!$B$7,0))</x:f>
        <x:v>0</x:v>
      </x:c>
      <x:c r="Y17" t="n">
        <x:f>IF(OR($N17&lt;&gt;"Finalizado",$Q17&lt;&gt;"Si",$R17&lt;&gt;"Si"),0,IF($G17=$K17,Reglas!$B$8,0))</x:f>
        <x:v>0</x:v>
      </x:c>
      <x:c r="Z17" t="n">
        <x:f>SUM($S17:$Y17)</x:f>
        <x:v>10</x:v>
      </x:c>
      <x:c r="AA17" t="str">
        <x:f>IF($N17&lt;&gt;"Finalizado","Resultado pendiente",IF($H17="Sin envio","Sin respuesta",IF($Q17&lt;&gt;"Si","No acerto clasificado","OK")))</x:f>
        <x:v>OK</x:v>
      </x:c>
      <x:c r="AB17" t="str">
        <x:v>8vos detalle reconstruido</x:v>
      </x:c>
      <x:c r="AC17" t="n">
        <x:v>10</x:v>
      </x:c>
      <x:c r="AD17" t="n">
        <x:f>$Z17-$AC17</x:f>
        <x:v>0</x:v>
      </x:c>
    </x:row>
    <x:row r="18" ht="15" hidden="0" customHeight="1">
      <x:c r="A18" t="str">
        <x:v>8vos</x:v>
      </x:c>
      <x:c r="B18" t="str">
        <x:v>O1</x:v>
      </x:c>
      <x:c r="C18" t="str">
        <x:v>Moisés</x:v>
      </x:c>
      <x:c r="D18" t="str">
        <x:v>Canada</x:v>
      </x:c>
      <x:c r="E18" t="str">
        <x:v>Marruecos</x:v>
      </x:c>
      <x:c r="F18" t="n">
        <x:v>1</x:v>
      </x:c>
      <x:c r="G18" t="n">
        <x:v>2</x:v>
      </x:c>
      <x:c r="H18" t="str">
        <x:v>Marruecos</x:v>
      </x:c>
      <x:c r="I18" t="str">
        <x:v>Suplementario</x:v>
      </x:c>
      <x:c r="J18" t="n">
        <x:v>0</x:v>
      </x:c>
      <x:c r="K18" t="n">
        <x:v>3</x:v>
      </x:c>
      <x:c r="L18" t="str">
        <x:v>Marruecos</x:v>
      </x:c>
      <x:c r="M18" t="str">
        <x:v>90 minutos</x:v>
      </x:c>
      <x:c r="N18" t="str">
        <x:v>Finalizado</x:v>
      </x:c>
      <x:c r="O18" t="str">
        <x:f>IF($H18="Sin envio","Sin envio",IF($I18="90 minutos",IF($F18&gt;$G18,"A",IF($G18&gt;$F18,"B","E")),"E"))</x:f>
        <x:v>E</x:v>
      </x:c>
      <x:c r="P18" t="str">
        <x:f>IF($M18="90 minutos",IF($J18&gt;$K18,"A",IF($K18&gt;$J18,"B","E")),"E")</x:f>
        <x:v>B</x:v>
      </x:c>
      <x:c r="Q18" t="str">
        <x:f>IF($H18="Sin envio","No",IF($H18=$L18,"Si","No"))</x:f>
        <x:v>Si</x:v>
      </x:c>
      <x:c r="R18" t="str">
        <x:f>IF(AND($I18=$M18,NOT(AND($I18="Penales",$F18&lt;&gt;$G18))),"Si","No")</x:f>
        <x:v>No</x:v>
      </x:c>
      <x:c r="S18" t="n">
        <x:f>IF(OR($N18&lt;&gt;"Finalizado",$Q18&lt;&gt;"Si"),0,IF($O18=$P18,Reglas!$B$2,0))</x:f>
        <x:v>0</x:v>
      </x:c>
      <x:c r="T18" t="n">
        <x:f>IF(OR($N18&lt;&gt;"Finalizado",$Q18&lt;&gt;"Si"),0,Reglas!$B$3)</x:f>
        <x:v>3</x:v>
      </x:c>
      <x:c r="U18" t="n">
        <x:f>IF(OR($N18&lt;&gt;"Finalizado",$Q18&lt;&gt;"Si"),0,IF($I18=$M18,Reglas!$B$4,0))</x:f>
        <x:v>0</x:v>
      </x:c>
      <x:c r="V18" t="n">
        <x:f>IF(OR($N18&lt;&gt;"Finalizado",$Q18&lt;&gt;"Si",$R18&lt;&gt;"Si"),0,IF(AND($F18=$J18,$G18=$K18),Reglas!$B$5,0))</x:f>
        <x:v>0</x:v>
      </x:c>
      <x:c r="W18" t="n">
        <x:f>IF(OR($N18&lt;&gt;"Finalizado",$Q18&lt;&gt;"Si",$R18&lt;&gt;"Si"),0,IF($F18-$G18=$J18-$K18,Reglas!$B$6,0))</x:f>
        <x:v>0</x:v>
      </x:c>
      <x:c r="X18" t="n">
        <x:f>IF(OR($N18&lt;&gt;"Finalizado",$Q18&lt;&gt;"Si",$R18&lt;&gt;"Si"),0,IF($F18=$J18,Reglas!$B$7,0))</x:f>
        <x:v>0</x:v>
      </x:c>
      <x:c r="Y18" t="n">
        <x:f>IF(OR($N18&lt;&gt;"Finalizado",$Q18&lt;&gt;"Si",$R18&lt;&gt;"Si"),0,IF($G18=$K18,Reglas!$B$8,0))</x:f>
        <x:v>0</x:v>
      </x:c>
      <x:c r="Z18" t="n">
        <x:f>SUM($S18:$Y18)</x:f>
        <x:v>3</x:v>
      </x:c>
      <x:c r="AA18" t="str">
        <x:f>IF($N18&lt;&gt;"Finalizado","Resultado pendiente",IF($H18="Sin envio","Sin respuesta",IF($Q18&lt;&gt;"Si","No acerto clasificado","OK")))</x:f>
        <x:v>OK</x:v>
      </x:c>
      <x:c r="AB18" t="str">
        <x:v>8vos detalle reconstruido</x:v>
      </x:c>
      <x:c r="AC18" t="n">
        <x:v>3</x:v>
      </x:c>
      <x:c r="AD18" t="n">
        <x:f>$Z18-$AC18</x:f>
        <x:v>0</x:v>
      </x:c>
    </x:row>
    <x:row r="19" ht="15" hidden="0" customHeight="1">
      <x:c r="A19" t="str">
        <x:v>8vos</x:v>
      </x:c>
      <x:c r="B19" t="str">
        <x:v>O1</x:v>
      </x:c>
      <x:c r="C19" t="str">
        <x:v>Alex</x:v>
      </x:c>
      <x:c r="D19" t="str">
        <x:v>Canada</x:v>
      </x:c>
      <x:c r="E19" t="str">
        <x:v>Marruecos</x:v>
      </x:c>
      <x:c r="F19" t="n">
        <x:v>2</x:v>
      </x:c>
      <x:c r="G19" t="n">
        <x:v>3</x:v>
      </x:c>
      <x:c r="H19" t="str">
        <x:v>Marruecos</x:v>
      </x:c>
      <x:c r="I19" t="str">
        <x:v>Suplementario</x:v>
      </x:c>
      <x:c r="J19" t="n">
        <x:v>0</x:v>
      </x:c>
      <x:c r="K19" t="n">
        <x:v>3</x:v>
      </x:c>
      <x:c r="L19" t="str">
        <x:v>Marruecos</x:v>
      </x:c>
      <x:c r="M19" t="str">
        <x:v>90 minutos</x:v>
      </x:c>
      <x:c r="N19" t="str">
        <x:v>Finalizado</x:v>
      </x:c>
      <x:c r="O19" t="str">
        <x:f>IF($H19="Sin envio","Sin envio",IF($I19="90 minutos",IF($F19&gt;$G19,"A",IF($G19&gt;$F19,"B","E")),"E"))</x:f>
        <x:v>E</x:v>
      </x:c>
      <x:c r="P19" t="str">
        <x:f>IF($M19="90 minutos",IF($J19&gt;$K19,"A",IF($K19&gt;$J19,"B","E")),"E")</x:f>
        <x:v>B</x:v>
      </x:c>
      <x:c r="Q19" t="str">
        <x:f>IF($H19="Sin envio","No",IF($H19=$L19,"Si","No"))</x:f>
        <x:v>Si</x:v>
      </x:c>
      <x:c r="R19" t="str">
        <x:f>IF(AND($I19=$M19,NOT(AND($I19="Penales",$F19&lt;&gt;$G19))),"Si","No")</x:f>
        <x:v>No</x:v>
      </x:c>
      <x:c r="S19" t="n">
        <x:f>IF(OR($N19&lt;&gt;"Finalizado",$Q19&lt;&gt;"Si"),0,IF($O19=$P19,Reglas!$B$2,0))</x:f>
        <x:v>0</x:v>
      </x:c>
      <x:c r="T19" t="n">
        <x:f>IF(OR($N19&lt;&gt;"Finalizado",$Q19&lt;&gt;"Si"),0,Reglas!$B$3)</x:f>
        <x:v>3</x:v>
      </x:c>
      <x:c r="U19" t="n">
        <x:f>IF(OR($N19&lt;&gt;"Finalizado",$Q19&lt;&gt;"Si"),0,IF($I19=$M19,Reglas!$B$4,0))</x:f>
        <x:v>0</x:v>
      </x:c>
      <x:c r="V19" t="n">
        <x:f>IF(OR($N19&lt;&gt;"Finalizado",$Q19&lt;&gt;"Si",$R19&lt;&gt;"Si"),0,IF(AND($F19=$J19,$G19=$K19),Reglas!$B$5,0))</x:f>
        <x:v>0</x:v>
      </x:c>
      <x:c r="W19" t="n">
        <x:f>IF(OR($N19&lt;&gt;"Finalizado",$Q19&lt;&gt;"Si",$R19&lt;&gt;"Si"),0,IF($F19-$G19=$J19-$K19,Reglas!$B$6,0))</x:f>
        <x:v>0</x:v>
      </x:c>
      <x:c r="X19" t="n">
        <x:f>IF(OR($N19&lt;&gt;"Finalizado",$Q19&lt;&gt;"Si",$R19&lt;&gt;"Si"),0,IF($F19=$J19,Reglas!$B$7,0))</x:f>
        <x:v>0</x:v>
      </x:c>
      <x:c r="Y19" t="n">
        <x:f>IF(OR($N19&lt;&gt;"Finalizado",$Q19&lt;&gt;"Si",$R19&lt;&gt;"Si"),0,IF($G19=$K19,Reglas!$B$8,0))</x:f>
        <x:v>0</x:v>
      </x:c>
      <x:c r="Z19" t="n">
        <x:f>SUM($S19:$Y19)</x:f>
        <x:v>3</x:v>
      </x:c>
      <x:c r="AA19" t="str">
        <x:f>IF($N19&lt;&gt;"Finalizado","Resultado pendiente",IF($H19="Sin envio","Sin respuesta",IF($Q19&lt;&gt;"Si","No acerto clasificado","OK")))</x:f>
        <x:v>OK</x:v>
      </x:c>
      <x:c r="AB19" t="str">
        <x:v>8vos detalle reconstruido</x:v>
      </x:c>
      <x:c r="AC19" t="n">
        <x:v>3</x:v>
      </x:c>
      <x:c r="AD19" t="n">
        <x:f>$Z19-$AC19</x:f>
        <x:v>0</x:v>
      </x:c>
    </x:row>
    <x:row r="20" ht="15" hidden="0" customHeight="1">
      <x:c r="A20" t="str">
        <x:v>8vos</x:v>
      </x:c>
      <x:c r="B20" t="str">
        <x:v>O1</x:v>
      </x:c>
      <x:c r="C20" t="str">
        <x:v>Omar</x:v>
      </x:c>
      <x:c r="D20" t="str">
        <x:v>Canada</x:v>
      </x:c>
      <x:c r="E20" t="str">
        <x:v>Marruecos</x:v>
      </x:c>
      <x:c r="F20"/>
      <x:c r="G20"/>
      <x:c r="H20" t="str">
        <x:v>Sin envio</x:v>
      </x:c>
      <x:c r="I20" t="str">
        <x:v>Sin envio</x:v>
      </x:c>
      <x:c r="J20" t="n">
        <x:v>0</x:v>
      </x:c>
      <x:c r="K20" t="n">
        <x:v>3</x:v>
      </x:c>
      <x:c r="L20" t="str">
        <x:v>Marruecos</x:v>
      </x:c>
      <x:c r="M20" t="str">
        <x:v>90 minutos</x:v>
      </x:c>
      <x:c r="N20" t="str">
        <x:v>Finalizado</x:v>
      </x:c>
      <x:c r="O20" t="str">
        <x:f>IF($H20="Sin envio","Sin envio",IF($I20="90 minutos",IF($F20&gt;$G20,"A",IF($G20&gt;$F20,"B","E")),"E"))</x:f>
        <x:v>Sin envio</x:v>
      </x:c>
      <x:c r="P20" t="str">
        <x:f>IF($M20="90 minutos",IF($J20&gt;$K20,"A",IF($K20&gt;$J20,"B","E")),"E")</x:f>
        <x:v>B</x:v>
      </x:c>
      <x:c r="Q20" t="str">
        <x:f>IF($H20="Sin envio","No",IF($H20=$L20,"Si","No"))</x:f>
        <x:v>No</x:v>
      </x:c>
      <x:c r="R20" t="str">
        <x:f>IF(AND($I20=$M20,NOT(AND($I20="Penales",$F20&lt;&gt;$G20))),"Si","No")</x:f>
        <x:v>No</x:v>
      </x:c>
      <x:c r="S20" t="n">
        <x:f>IF(OR($N20&lt;&gt;"Finalizado",$Q20&lt;&gt;"Si"),0,IF($O20=$P20,Reglas!$B$2,0))</x:f>
        <x:v>0</x:v>
      </x:c>
      <x:c r="T20" t="n">
        <x:f>IF(OR($N20&lt;&gt;"Finalizado",$Q20&lt;&gt;"Si"),0,Reglas!$B$3)</x:f>
        <x:v>0</x:v>
      </x:c>
      <x:c r="U20" t="n">
        <x:f>IF(OR($N20&lt;&gt;"Finalizado",$Q20&lt;&gt;"Si"),0,IF($I20=$M20,Reglas!$B$4,0))</x:f>
        <x:v>0</x:v>
      </x:c>
      <x:c r="V20" t="n">
        <x:f>IF(OR($N20&lt;&gt;"Finalizado",$Q20&lt;&gt;"Si",$R20&lt;&gt;"Si"),0,IF(AND($F20=$J20,$G20=$K20),Reglas!$B$5,0))</x:f>
        <x:v>0</x:v>
      </x:c>
      <x:c r="W20" t="n">
        <x:f>IF(OR($N20&lt;&gt;"Finalizado",$Q20&lt;&gt;"Si",$R20&lt;&gt;"Si"),0,IF($F20-$G20=$J20-$K20,Reglas!$B$6,0))</x:f>
        <x:v>0</x:v>
      </x:c>
      <x:c r="X20" t="n">
        <x:f>IF(OR($N20&lt;&gt;"Finalizado",$Q20&lt;&gt;"Si",$R20&lt;&gt;"Si"),0,IF($F20=$J20,Reglas!$B$7,0))</x:f>
        <x:v>0</x:v>
      </x:c>
      <x:c r="Y20" t="n">
        <x:f>IF(OR($N20&lt;&gt;"Finalizado",$Q20&lt;&gt;"Si",$R20&lt;&gt;"Si"),0,IF($G20=$K20,Reglas!$B$8,0))</x:f>
        <x:v>0</x:v>
      </x:c>
      <x:c r="Z20" t="n">
        <x:f>SUM($S20:$Y20)</x:f>
        <x:v>0</x:v>
      </x:c>
      <x:c r="AA20" t="str">
        <x:f>IF($N20&lt;&gt;"Finalizado","Resultado pendiente",IF($H20="Sin envio","Sin respuesta",IF($Q20&lt;&gt;"Si","No acerto clasificado","OK")))</x:f>
        <x:v>Sin respuesta</x:v>
      </x:c>
      <x:c r="AB20" t="str">
        <x:v>8vos detalle reconstruido</x:v>
      </x:c>
      <x:c r="AC20" t="n">
        <x:v>0</x:v>
      </x:c>
      <x:c r="AD20" t="n">
        <x:f>$Z20-$AC20</x:f>
        <x:v>0</x:v>
      </x:c>
    </x:row>
    <x:row r="21" ht="15" hidden="0" customHeight="1">
      <x:c r="A21" t="str">
        <x:v>8vos</x:v>
      </x:c>
      <x:c r="B21" t="str">
        <x:v>O1</x:v>
      </x:c>
      <x:c r="C21" t="str">
        <x:v>Fernando</x:v>
      </x:c>
      <x:c r="D21" t="str">
        <x:v>Canada</x:v>
      </x:c>
      <x:c r="E21" t="str">
        <x:v>Marruecos</x:v>
      </x:c>
      <x:c r="F21" t="n">
        <x:v>1</x:v>
      </x:c>
      <x:c r="G21" t="n">
        <x:v>2</x:v>
      </x:c>
      <x:c r="H21" t="str">
        <x:v>Marruecos</x:v>
      </x:c>
      <x:c r="I21" t="str">
        <x:v>90 minutos</x:v>
      </x:c>
      <x:c r="J21" t="n">
        <x:v>0</x:v>
      </x:c>
      <x:c r="K21" t="n">
        <x:v>3</x:v>
      </x:c>
      <x:c r="L21" t="str">
        <x:v>Marruecos</x:v>
      </x:c>
      <x:c r="M21" t="str">
        <x:v>90 minutos</x:v>
      </x:c>
      <x:c r="N21" t="str">
        <x:v>Finalizado</x:v>
      </x:c>
      <x:c r="O21" t="str">
        <x:f>IF($H21="Sin envio","Sin envio",IF($I21="90 minutos",IF($F21&gt;$G21,"A",IF($G21&gt;$F21,"B","E")),"E"))</x:f>
        <x:v>B</x:v>
      </x:c>
      <x:c r="P21" t="str">
        <x:f>IF($M21="90 minutos",IF($J21&gt;$K21,"A",IF($K21&gt;$J21,"B","E")),"E")</x:f>
        <x:v>B</x:v>
      </x:c>
      <x:c r="Q21" t="str">
        <x:f>IF($H21="Sin envio","No",IF($H21=$L21,"Si","No"))</x:f>
        <x:v>Si</x:v>
      </x:c>
      <x:c r="R21" t="str">
        <x:f>IF(AND($I21=$M21,NOT(AND($I21="Penales",$F21&lt;&gt;$G21))),"Si","No")</x:f>
        <x:v>Si</x:v>
      </x:c>
      <x:c r="S21" t="n">
        <x:f>IF(OR($N21&lt;&gt;"Finalizado",$Q21&lt;&gt;"Si"),0,IF($O21=$P21,Reglas!$B$2,0))</x:f>
        <x:v>5</x:v>
      </x:c>
      <x:c r="T21" t="n">
        <x:f>IF(OR($N21&lt;&gt;"Finalizado",$Q21&lt;&gt;"Si"),0,Reglas!$B$3)</x:f>
        <x:v>3</x:v>
      </x:c>
      <x:c r="U21" t="n">
        <x:f>IF(OR($N21&lt;&gt;"Finalizado",$Q21&lt;&gt;"Si"),0,IF($I21=$M21,Reglas!$B$4,0))</x:f>
        <x:v>2</x:v>
      </x:c>
      <x:c r="V21" t="n">
        <x:f>IF(OR($N21&lt;&gt;"Finalizado",$Q21&lt;&gt;"Si",$R21&lt;&gt;"Si"),0,IF(AND($F21=$J21,$G21=$K21),Reglas!$B$5,0))</x:f>
        <x:v>0</x:v>
      </x:c>
      <x:c r="W21" t="n">
        <x:f>IF(OR($N21&lt;&gt;"Finalizado",$Q21&lt;&gt;"Si",$R21&lt;&gt;"Si"),0,IF($F21-$G21=$J21-$K21,Reglas!$B$6,0))</x:f>
        <x:v>0</x:v>
      </x:c>
      <x:c r="X21" t="n">
        <x:f>IF(OR($N21&lt;&gt;"Finalizado",$Q21&lt;&gt;"Si",$R21&lt;&gt;"Si"),0,IF($F21=$J21,Reglas!$B$7,0))</x:f>
        <x:v>0</x:v>
      </x:c>
      <x:c r="Y21" t="n">
        <x:f>IF(OR($N21&lt;&gt;"Finalizado",$Q21&lt;&gt;"Si",$R21&lt;&gt;"Si"),0,IF($G21=$K21,Reglas!$B$8,0))</x:f>
        <x:v>0</x:v>
      </x:c>
      <x:c r="Z21" t="n">
        <x:f>SUM($S21:$Y21)</x:f>
        <x:v>10</x:v>
      </x:c>
      <x:c r="AA21" t="str">
        <x:f>IF($N21&lt;&gt;"Finalizado","Resultado pendiente",IF($H21="Sin envio","Sin respuesta",IF($Q21&lt;&gt;"Si","No acerto clasificado","OK")))</x:f>
        <x:v>OK</x:v>
      </x:c>
      <x:c r="AB21" t="str">
        <x:v>8vos detalle reconstruido</x:v>
      </x:c>
      <x:c r="AC21" t="n">
        <x:v>10</x:v>
      </x:c>
      <x:c r="AD21" t="n">
        <x:f>$Z21-$AC21</x:f>
        <x:v>0</x:v>
      </x:c>
    </x:row>
    <x:row r="22" ht="15" hidden="0" customHeight="1">
      <x:c r="A22" t="str">
        <x:v>8vos</x:v>
      </x:c>
      <x:c r="B22" t="str">
        <x:v>O1</x:v>
      </x:c>
      <x:c r="C22" t="str">
        <x:v>Diana</x:v>
      </x:c>
      <x:c r="D22" t="str">
        <x:v>Canada</x:v>
      </x:c>
      <x:c r="E22" t="str">
        <x:v>Marruecos</x:v>
      </x:c>
      <x:c r="F22" t="n">
        <x:v>0</x:v>
      </x:c>
      <x:c r="G22" t="n">
        <x:v>0</x:v>
      </x:c>
      <x:c r="H22" t="str">
        <x:v>Canada</x:v>
      </x:c>
      <x:c r="I22" t="str">
        <x:v>Penales</x:v>
      </x:c>
      <x:c r="J22" t="n">
        <x:v>0</x:v>
      </x:c>
      <x:c r="K22" t="n">
        <x:v>3</x:v>
      </x:c>
      <x:c r="L22" t="str">
        <x:v>Marruecos</x:v>
      </x:c>
      <x:c r="M22" t="str">
        <x:v>90 minutos</x:v>
      </x:c>
      <x:c r="N22" t="str">
        <x:v>Finalizado</x:v>
      </x:c>
      <x:c r="O22" t="str">
        <x:f>IF($H22="Sin envio","Sin envio",IF($I22="90 minutos",IF($F22&gt;$G22,"A",IF($G22&gt;$F22,"B","E")),"E"))</x:f>
        <x:v>E</x:v>
      </x:c>
      <x:c r="P22" t="str">
        <x:f>IF($M22="90 minutos",IF($J22&gt;$K22,"A",IF($K22&gt;$J22,"B","E")),"E")</x:f>
        <x:v>B</x:v>
      </x:c>
      <x:c r="Q22" t="str">
        <x:f>IF($H22="Sin envio","No",IF($H22=$L22,"Si","No"))</x:f>
        <x:v>No</x:v>
      </x:c>
      <x:c r="R22" t="str">
        <x:f>IF(AND($I22=$M22,NOT(AND($I22="Penales",$F22&lt;&gt;$G22))),"Si","No")</x:f>
        <x:v>No</x:v>
      </x:c>
      <x:c r="S22" t="n">
        <x:f>IF(OR($N22&lt;&gt;"Finalizado",$Q22&lt;&gt;"Si"),0,IF($O22=$P22,Reglas!$B$2,0))</x:f>
        <x:v>0</x:v>
      </x:c>
      <x:c r="T22" t="n">
        <x:f>IF(OR($N22&lt;&gt;"Finalizado",$Q22&lt;&gt;"Si"),0,Reglas!$B$3)</x:f>
        <x:v>0</x:v>
      </x:c>
      <x:c r="U22" t="n">
        <x:f>IF(OR($N22&lt;&gt;"Finalizado",$Q22&lt;&gt;"Si"),0,IF($I22=$M22,Reglas!$B$4,0))</x:f>
        <x:v>0</x:v>
      </x:c>
      <x:c r="V22" t="n">
        <x:f>IF(OR($N22&lt;&gt;"Finalizado",$Q22&lt;&gt;"Si",$R22&lt;&gt;"Si"),0,IF(AND($F22=$J22,$G22=$K22),Reglas!$B$5,0))</x:f>
        <x:v>0</x:v>
      </x:c>
      <x:c r="W22" t="n">
        <x:f>IF(OR($N22&lt;&gt;"Finalizado",$Q22&lt;&gt;"Si",$R22&lt;&gt;"Si"),0,IF($F22-$G22=$J22-$K22,Reglas!$B$6,0))</x:f>
        <x:v>0</x:v>
      </x:c>
      <x:c r="X22" t="n">
        <x:f>IF(OR($N22&lt;&gt;"Finalizado",$Q22&lt;&gt;"Si",$R22&lt;&gt;"Si"),0,IF($F22=$J22,Reglas!$B$7,0))</x:f>
        <x:v>0</x:v>
      </x:c>
      <x:c r="Y22" t="n">
        <x:f>IF(OR($N22&lt;&gt;"Finalizado",$Q22&lt;&gt;"Si",$R22&lt;&gt;"Si"),0,IF($G22=$K22,Reglas!$B$8,0))</x:f>
        <x:v>0</x:v>
      </x:c>
      <x:c r="Z22" t="n">
        <x:f>SUM($S22:$Y22)</x:f>
        <x:v>0</x:v>
      </x:c>
      <x:c r="AA22" t="str">
        <x:f>IF($N22&lt;&gt;"Finalizado","Resultado pendiente",IF($H22="Sin envio","Sin respuesta",IF($Q22&lt;&gt;"Si","No acerto clasificado","OK")))</x:f>
        <x:v>No acerto clasificado</x:v>
      </x:c>
      <x:c r="AB22" t="str">
        <x:v>8vos detalle reconstruido</x:v>
      </x:c>
      <x:c r="AC22" t="n">
        <x:v>0</x:v>
      </x:c>
      <x:c r="AD22" t="n">
        <x:f>$Z22-$AC22</x:f>
        <x:v>0</x:v>
      </x:c>
    </x:row>
    <x:row r="23" ht="15" hidden="0" customHeight="1">
      <x:c r="A23" t="str">
        <x:v>8vos</x:v>
      </x:c>
      <x:c r="B23" t="str">
        <x:v>O1</x:v>
      </x:c>
      <x:c r="C23" t="str">
        <x:v>Óscar</x:v>
      </x:c>
      <x:c r="D23" t="str">
        <x:v>Canada</x:v>
      </x:c>
      <x:c r="E23" t="str">
        <x:v>Marruecos</x:v>
      </x:c>
      <x:c r="F23" t="n">
        <x:v>1</x:v>
      </x:c>
      <x:c r="G23" t="n">
        <x:v>2</x:v>
      </x:c>
      <x:c r="H23" t="str">
        <x:v>Marruecos</x:v>
      </x:c>
      <x:c r="I23" t="str">
        <x:v>Suplementario</x:v>
      </x:c>
      <x:c r="J23" t="n">
        <x:v>0</x:v>
      </x:c>
      <x:c r="K23" t="n">
        <x:v>3</x:v>
      </x:c>
      <x:c r="L23" t="str">
        <x:v>Marruecos</x:v>
      </x:c>
      <x:c r="M23" t="str">
        <x:v>90 minutos</x:v>
      </x:c>
      <x:c r="N23" t="str">
        <x:v>Finalizado</x:v>
      </x:c>
      <x:c r="O23" t="str">
        <x:f>IF($H23="Sin envio","Sin envio",IF($I23="90 minutos",IF($F23&gt;$G23,"A",IF($G23&gt;$F23,"B","E")),"E"))</x:f>
        <x:v>E</x:v>
      </x:c>
      <x:c r="P23" t="str">
        <x:f>IF($M23="90 minutos",IF($J23&gt;$K23,"A",IF($K23&gt;$J23,"B","E")),"E")</x:f>
        <x:v>B</x:v>
      </x:c>
      <x:c r="Q23" t="str">
        <x:f>IF($H23="Sin envio","No",IF($H23=$L23,"Si","No"))</x:f>
        <x:v>Si</x:v>
      </x:c>
      <x:c r="R23" t="str">
        <x:f>IF(AND($I23=$M23,NOT(AND($I23="Penales",$F23&lt;&gt;$G23))),"Si","No")</x:f>
        <x:v>No</x:v>
      </x:c>
      <x:c r="S23" t="n">
        <x:f>IF(OR($N23&lt;&gt;"Finalizado",$Q23&lt;&gt;"Si"),0,IF($O23=$P23,Reglas!$B$2,0))</x:f>
        <x:v>0</x:v>
      </x:c>
      <x:c r="T23" t="n">
        <x:f>IF(OR($N23&lt;&gt;"Finalizado",$Q23&lt;&gt;"Si"),0,Reglas!$B$3)</x:f>
        <x:v>3</x:v>
      </x:c>
      <x:c r="U23" t="n">
        <x:f>IF(OR($N23&lt;&gt;"Finalizado",$Q23&lt;&gt;"Si"),0,IF($I23=$M23,Reglas!$B$4,0))</x:f>
        <x:v>0</x:v>
      </x:c>
      <x:c r="V23" t="n">
        <x:f>IF(OR($N23&lt;&gt;"Finalizado",$Q23&lt;&gt;"Si",$R23&lt;&gt;"Si"),0,IF(AND($F23=$J23,$G23=$K23),Reglas!$B$5,0))</x:f>
        <x:v>0</x:v>
      </x:c>
      <x:c r="W23" t="n">
        <x:f>IF(OR($N23&lt;&gt;"Finalizado",$Q23&lt;&gt;"Si",$R23&lt;&gt;"Si"),0,IF($F23-$G23=$J23-$K23,Reglas!$B$6,0))</x:f>
        <x:v>0</x:v>
      </x:c>
      <x:c r="X23" t="n">
        <x:f>IF(OR($N23&lt;&gt;"Finalizado",$Q23&lt;&gt;"Si",$R23&lt;&gt;"Si"),0,IF($F23=$J23,Reglas!$B$7,0))</x:f>
        <x:v>0</x:v>
      </x:c>
      <x:c r="Y23" t="n">
        <x:f>IF(OR($N23&lt;&gt;"Finalizado",$Q23&lt;&gt;"Si",$R23&lt;&gt;"Si"),0,IF($G23=$K23,Reglas!$B$8,0))</x:f>
        <x:v>0</x:v>
      </x:c>
      <x:c r="Z23" t="n">
        <x:f>SUM($S23:$Y23)</x:f>
        <x:v>3</x:v>
      </x:c>
      <x:c r="AA23" t="str">
        <x:f>IF($N23&lt;&gt;"Finalizado","Resultado pendiente",IF($H23="Sin envio","Sin respuesta",IF($Q23&lt;&gt;"Si","No acerto clasificado","OK")))</x:f>
        <x:v>OK</x:v>
      </x:c>
      <x:c r="AB23" t="str">
        <x:v>8vos detalle reconstruido</x:v>
      </x:c>
      <x:c r="AC23" t="n">
        <x:v>3</x:v>
      </x:c>
      <x:c r="AD23" t="n">
        <x:f>$Z23-$AC23</x:f>
        <x:v>0</x:v>
      </x:c>
    </x:row>
    <x:row r="24" ht="15" hidden="0" customHeight="1">
      <x:c r="A24" t="str">
        <x:v>8vos</x:v>
      </x:c>
      <x:c r="B24" t="str">
        <x:v>O2</x:v>
      </x:c>
      <x:c r="C24" t="str">
        <x:v>Freddy</x:v>
      </x:c>
      <x:c r="D24" t="str">
        <x:v>Paraguay</x:v>
      </x:c>
      <x:c r="E24" t="str">
        <x:v>Francia</x:v>
      </x:c>
      <x:c r="F24" t="n">
        <x:v>1</x:v>
      </x:c>
      <x:c r="G24" t="n">
        <x:v>2</x:v>
      </x:c>
      <x:c r="H24" t="str">
        <x:v>Francia</x:v>
      </x:c>
      <x:c r="I24" t="str">
        <x:v>90 minutos</x:v>
      </x:c>
      <x:c r="J24" t="n">
        <x:v>0</x:v>
      </x:c>
      <x:c r="K24" t="n">
        <x:v>1</x:v>
      </x:c>
      <x:c r="L24" t="str">
        <x:v>Francia</x:v>
      </x:c>
      <x:c r="M24" t="str">
        <x:v>90 minutos</x:v>
      </x:c>
      <x:c r="N24" t="str">
        <x:v>Finalizado</x:v>
      </x:c>
      <x:c r="O24" t="str">
        <x:f>IF($H24="Sin envio","Sin envio",IF($I24="90 minutos",IF($F24&gt;$G24,"A",IF($G24&gt;$F24,"B","E")),"E"))</x:f>
        <x:v>B</x:v>
      </x:c>
      <x:c r="P24" t="str">
        <x:f>IF($M24="90 minutos",IF($J24&gt;$K24,"A",IF($K24&gt;$J24,"B","E")),"E")</x:f>
        <x:v>B</x:v>
      </x:c>
      <x:c r="Q24" t="str">
        <x:f>IF($H24="Sin envio","No",IF($H24=$L24,"Si","No"))</x:f>
        <x:v>Si</x:v>
      </x:c>
      <x:c r="R24" t="str">
        <x:f>IF(AND($I24=$M24,NOT(AND($I24="Penales",$F24&lt;&gt;$G24))),"Si","No")</x:f>
        <x:v>Si</x:v>
      </x:c>
      <x:c r="S24" t="n">
        <x:f>IF(OR($N24&lt;&gt;"Finalizado",$Q24&lt;&gt;"Si"),0,IF($O24=$P24,Reglas!$B$2,0))</x:f>
        <x:v>5</x:v>
      </x:c>
      <x:c r="T24" t="n">
        <x:f>IF(OR($N24&lt;&gt;"Finalizado",$Q24&lt;&gt;"Si"),0,Reglas!$B$3)</x:f>
        <x:v>3</x:v>
      </x:c>
      <x:c r="U24" t="n">
        <x:f>IF(OR($N24&lt;&gt;"Finalizado",$Q24&lt;&gt;"Si"),0,IF($I24=$M24,Reglas!$B$4,0))</x:f>
        <x:v>2</x:v>
      </x:c>
      <x:c r="V24" t="n">
        <x:f>IF(OR($N24&lt;&gt;"Finalizado",$Q24&lt;&gt;"Si",$R24&lt;&gt;"Si"),0,IF(AND($F24=$J24,$G24=$K24),Reglas!$B$5,0))</x:f>
        <x:v>0</x:v>
      </x:c>
      <x:c r="W24" t="n">
        <x:f>IF(OR($N24&lt;&gt;"Finalizado",$Q24&lt;&gt;"Si",$R24&lt;&gt;"Si"),0,IF($F24-$G24=$J24-$K24,Reglas!$B$6,0))</x:f>
        <x:v>2</x:v>
      </x:c>
      <x:c r="X24" t="n">
        <x:f>IF(OR($N24&lt;&gt;"Finalizado",$Q24&lt;&gt;"Si",$R24&lt;&gt;"Si"),0,IF($F24=$J24,Reglas!$B$7,0))</x:f>
        <x:v>0</x:v>
      </x:c>
      <x:c r="Y24" t="n">
        <x:f>IF(OR($N24&lt;&gt;"Finalizado",$Q24&lt;&gt;"Si",$R24&lt;&gt;"Si"),0,IF($G24=$K24,Reglas!$B$8,0))</x:f>
        <x:v>0</x:v>
      </x:c>
      <x:c r="Z24" t="n">
        <x:f>SUM($S24:$Y24)</x:f>
        <x:v>12</x:v>
      </x:c>
      <x:c r="AA24" t="str">
        <x:f>IF($N24&lt;&gt;"Finalizado","Resultado pendiente",IF($H24="Sin envio","Sin respuesta",IF($Q24&lt;&gt;"Si","No acerto clasificado","OK")))</x:f>
        <x:v>OK</x:v>
      </x:c>
      <x:c r="AB24" t="str">
        <x:v>8vos detalle reconstruido</x:v>
      </x:c>
      <x:c r="AC24" t="n">
        <x:v>12</x:v>
      </x:c>
      <x:c r="AD24" t="n">
        <x:f>$Z24-$AC24</x:f>
        <x:v>0</x:v>
      </x:c>
    </x:row>
    <x:row r="25" ht="15" hidden="0" customHeight="1">
      <x:c r="A25" t="str">
        <x:v>8vos</x:v>
      </x:c>
      <x:c r="B25" t="str">
        <x:v>O2</x:v>
      </x:c>
      <x:c r="C25" t="str">
        <x:v>Gabriela</x:v>
      </x:c>
      <x:c r="D25" t="str">
        <x:v>Paraguay</x:v>
      </x:c>
      <x:c r="E25" t="str">
        <x:v>Francia</x:v>
      </x:c>
      <x:c r="F25" t="n">
        <x:v>1</x:v>
      </x:c>
      <x:c r="G25" t="n">
        <x:v>2</x:v>
      </x:c>
      <x:c r="H25" t="str">
        <x:v>Francia</x:v>
      </x:c>
      <x:c r="I25" t="str">
        <x:v>90 minutos</x:v>
      </x:c>
      <x:c r="J25" t="n">
        <x:v>0</x:v>
      </x:c>
      <x:c r="K25" t="n">
        <x:v>1</x:v>
      </x:c>
      <x:c r="L25" t="str">
        <x:v>Francia</x:v>
      </x:c>
      <x:c r="M25" t="str">
        <x:v>90 minutos</x:v>
      </x:c>
      <x:c r="N25" t="str">
        <x:v>Finalizado</x:v>
      </x:c>
      <x:c r="O25" t="str">
        <x:f>IF($H25="Sin envio","Sin envio",IF($I25="90 minutos",IF($F25&gt;$G25,"A",IF($G25&gt;$F25,"B","E")),"E"))</x:f>
        <x:v>B</x:v>
      </x:c>
      <x:c r="P25" t="str">
        <x:f>IF($M25="90 minutos",IF($J25&gt;$K25,"A",IF($K25&gt;$J25,"B","E")),"E")</x:f>
        <x:v>B</x:v>
      </x:c>
      <x:c r="Q25" t="str">
        <x:f>IF($H25="Sin envio","No",IF($H25=$L25,"Si","No"))</x:f>
        <x:v>Si</x:v>
      </x:c>
      <x:c r="R25" t="str">
        <x:f>IF(AND($I25=$M25,NOT(AND($I25="Penales",$F25&lt;&gt;$G25))),"Si","No")</x:f>
        <x:v>Si</x:v>
      </x:c>
      <x:c r="S25" t="n">
        <x:f>IF(OR($N25&lt;&gt;"Finalizado",$Q25&lt;&gt;"Si"),0,IF($O25=$P25,Reglas!$B$2,0))</x:f>
        <x:v>5</x:v>
      </x:c>
      <x:c r="T25" t="n">
        <x:f>IF(OR($N25&lt;&gt;"Finalizado",$Q25&lt;&gt;"Si"),0,Reglas!$B$3)</x:f>
        <x:v>3</x:v>
      </x:c>
      <x:c r="U25" t="n">
        <x:f>IF(OR($N25&lt;&gt;"Finalizado",$Q25&lt;&gt;"Si"),0,IF($I25=$M25,Reglas!$B$4,0))</x:f>
        <x:v>2</x:v>
      </x:c>
      <x:c r="V25" t="n">
        <x:f>IF(OR($N25&lt;&gt;"Finalizado",$Q25&lt;&gt;"Si",$R25&lt;&gt;"Si"),0,IF(AND($F25=$J25,$G25=$K25),Reglas!$B$5,0))</x:f>
        <x:v>0</x:v>
      </x:c>
      <x:c r="W25" t="n">
        <x:f>IF(OR($N25&lt;&gt;"Finalizado",$Q25&lt;&gt;"Si",$R25&lt;&gt;"Si"),0,IF($F25-$G25=$J25-$K25,Reglas!$B$6,0))</x:f>
        <x:v>2</x:v>
      </x:c>
      <x:c r="X25" t="n">
        <x:f>IF(OR($N25&lt;&gt;"Finalizado",$Q25&lt;&gt;"Si",$R25&lt;&gt;"Si"),0,IF($F25=$J25,Reglas!$B$7,0))</x:f>
        <x:v>0</x:v>
      </x:c>
      <x:c r="Y25" t="n">
        <x:f>IF(OR($N25&lt;&gt;"Finalizado",$Q25&lt;&gt;"Si",$R25&lt;&gt;"Si"),0,IF($G25=$K25,Reglas!$B$8,0))</x:f>
        <x:v>0</x:v>
      </x:c>
      <x:c r="Z25" t="n">
        <x:f>SUM($S25:$Y25)</x:f>
        <x:v>12</x:v>
      </x:c>
      <x:c r="AA25" t="str">
        <x:f>IF($N25&lt;&gt;"Finalizado","Resultado pendiente",IF($H25="Sin envio","Sin respuesta",IF($Q25&lt;&gt;"Si","No acerto clasificado","OK")))</x:f>
        <x:v>OK</x:v>
      </x:c>
      <x:c r="AB25" t="str">
        <x:v>8vos detalle reconstruido</x:v>
      </x:c>
      <x:c r="AC25" t="n">
        <x:v>12</x:v>
      </x:c>
      <x:c r="AD25" t="n">
        <x:f>$Z25-$AC25</x:f>
        <x:v>0</x:v>
      </x:c>
    </x:row>
    <x:row r="26" ht="15" hidden="0" customHeight="1">
      <x:c r="A26" t="str">
        <x:v>8vos</x:v>
      </x:c>
      <x:c r="B26" t="str">
        <x:v>O2</x:v>
      </x:c>
      <x:c r="C26" t="str">
        <x:v>Jean</x:v>
      </x:c>
      <x:c r="D26" t="str">
        <x:v>Paraguay</x:v>
      </x:c>
      <x:c r="E26" t="str">
        <x:v>Francia</x:v>
      </x:c>
      <x:c r="F26" t="n">
        <x:v>0</x:v>
      </x:c>
      <x:c r="G26" t="n">
        <x:v>2</x:v>
      </x:c>
      <x:c r="H26" t="str">
        <x:v>Francia</x:v>
      </x:c>
      <x:c r="I26" t="str">
        <x:v>90 minutos</x:v>
      </x:c>
      <x:c r="J26" t="n">
        <x:v>0</x:v>
      </x:c>
      <x:c r="K26" t="n">
        <x:v>1</x:v>
      </x:c>
      <x:c r="L26" t="str">
        <x:v>Francia</x:v>
      </x:c>
      <x:c r="M26" t="str">
        <x:v>90 minutos</x:v>
      </x:c>
      <x:c r="N26" t="str">
        <x:v>Finalizado</x:v>
      </x:c>
      <x:c r="O26" t="str">
        <x:f>IF($H26="Sin envio","Sin envio",IF($I26="90 minutos",IF($F26&gt;$G26,"A",IF($G26&gt;$F26,"B","E")),"E"))</x:f>
        <x:v>B</x:v>
      </x:c>
      <x:c r="P26" t="str">
        <x:f>IF($M26="90 minutos",IF($J26&gt;$K26,"A",IF($K26&gt;$J26,"B","E")),"E")</x:f>
        <x:v>B</x:v>
      </x:c>
      <x:c r="Q26" t="str">
        <x:f>IF($H26="Sin envio","No",IF($H26=$L26,"Si","No"))</x:f>
        <x:v>Si</x:v>
      </x:c>
      <x:c r="R26" t="str">
        <x:f>IF(AND($I26=$M26,NOT(AND($I26="Penales",$F26&lt;&gt;$G26))),"Si","No")</x:f>
        <x:v>Si</x:v>
      </x:c>
      <x:c r="S26" t="n">
        <x:f>IF(OR($N26&lt;&gt;"Finalizado",$Q26&lt;&gt;"Si"),0,IF($O26=$P26,Reglas!$B$2,0))</x:f>
        <x:v>5</x:v>
      </x:c>
      <x:c r="T26" t="n">
        <x:f>IF(OR($N26&lt;&gt;"Finalizado",$Q26&lt;&gt;"Si"),0,Reglas!$B$3)</x:f>
        <x:v>3</x:v>
      </x:c>
      <x:c r="U26" t="n">
        <x:f>IF(OR($N26&lt;&gt;"Finalizado",$Q26&lt;&gt;"Si"),0,IF($I26=$M26,Reglas!$B$4,0))</x:f>
        <x:v>2</x:v>
      </x:c>
      <x:c r="V26" t="n">
        <x:f>IF(OR($N26&lt;&gt;"Finalizado",$Q26&lt;&gt;"Si",$R26&lt;&gt;"Si"),0,IF(AND($F26=$J26,$G26=$K26),Reglas!$B$5,0))</x:f>
        <x:v>0</x:v>
      </x:c>
      <x:c r="W26" t="n">
        <x:f>IF(OR($N26&lt;&gt;"Finalizado",$Q26&lt;&gt;"Si",$R26&lt;&gt;"Si"),0,IF($F26-$G26=$J26-$K26,Reglas!$B$6,0))</x:f>
        <x:v>0</x:v>
      </x:c>
      <x:c r="X26" t="n">
        <x:f>IF(OR($N26&lt;&gt;"Finalizado",$Q26&lt;&gt;"Si",$R26&lt;&gt;"Si"),0,IF($F26=$J26,Reglas!$B$7,0))</x:f>
        <x:v>1</x:v>
      </x:c>
      <x:c r="Y26" t="n">
        <x:f>IF(OR($N26&lt;&gt;"Finalizado",$Q26&lt;&gt;"Si",$R26&lt;&gt;"Si"),0,IF($G26=$K26,Reglas!$B$8,0))</x:f>
        <x:v>0</x:v>
      </x:c>
      <x:c r="Z26" t="n">
        <x:f>SUM($S26:$Y26)</x:f>
        <x:v>11</x:v>
      </x:c>
      <x:c r="AA26" t="str">
        <x:f>IF($N26&lt;&gt;"Finalizado","Resultado pendiente",IF($H26="Sin envio","Sin respuesta",IF($Q26&lt;&gt;"Si","No acerto clasificado","OK")))</x:f>
        <x:v>OK</x:v>
      </x:c>
      <x:c r="AB26" t="str">
        <x:v>8vos detalle reconstruido</x:v>
      </x:c>
      <x:c r="AC26" t="n">
        <x:v>11</x:v>
      </x:c>
      <x:c r="AD26" t="n">
        <x:f>$Z26-$AC26</x:f>
        <x:v>0</x:v>
      </x:c>
    </x:row>
    <x:row r="27" ht="15" hidden="0" customHeight="1">
      <x:c r="A27" t="str">
        <x:v>8vos</x:v>
      </x:c>
      <x:c r="B27" t="str">
        <x:v>O2</x:v>
      </x:c>
      <x:c r="C27" t="str">
        <x:v>Juan</x:v>
      </x:c>
      <x:c r="D27" t="str">
        <x:v>Paraguay</x:v>
      </x:c>
      <x:c r="E27" t="str">
        <x:v>Francia</x:v>
      </x:c>
      <x:c r="F27" t="n">
        <x:v>1</x:v>
      </x:c>
      <x:c r="G27" t="n">
        <x:v>3</x:v>
      </x:c>
      <x:c r="H27" t="str">
        <x:v>Francia</x:v>
      </x:c>
      <x:c r="I27" t="str">
        <x:v>90 minutos</x:v>
      </x:c>
      <x:c r="J27" t="n">
        <x:v>0</x:v>
      </x:c>
      <x:c r="K27" t="n">
        <x:v>1</x:v>
      </x:c>
      <x:c r="L27" t="str">
        <x:v>Francia</x:v>
      </x:c>
      <x:c r="M27" t="str">
        <x:v>90 minutos</x:v>
      </x:c>
      <x:c r="N27" t="str">
        <x:v>Finalizado</x:v>
      </x:c>
      <x:c r="O27" t="str">
        <x:f>IF($H27="Sin envio","Sin envio",IF($I27="90 minutos",IF($F27&gt;$G27,"A",IF($G27&gt;$F27,"B","E")),"E"))</x:f>
        <x:v>B</x:v>
      </x:c>
      <x:c r="P27" t="str">
        <x:f>IF($M27="90 minutos",IF($J27&gt;$K27,"A",IF($K27&gt;$J27,"B","E")),"E")</x:f>
        <x:v>B</x:v>
      </x:c>
      <x:c r="Q27" t="str">
        <x:f>IF($H27="Sin envio","No",IF($H27=$L27,"Si","No"))</x:f>
        <x:v>Si</x:v>
      </x:c>
      <x:c r="R27" t="str">
        <x:f>IF(AND($I27=$M27,NOT(AND($I27="Penales",$F27&lt;&gt;$G27))),"Si","No")</x:f>
        <x:v>Si</x:v>
      </x:c>
      <x:c r="S27" t="n">
        <x:f>IF(OR($N27&lt;&gt;"Finalizado",$Q27&lt;&gt;"Si"),0,IF($O27=$P27,Reglas!$B$2,0))</x:f>
        <x:v>5</x:v>
      </x:c>
      <x:c r="T27" t="n">
        <x:f>IF(OR($N27&lt;&gt;"Finalizado",$Q27&lt;&gt;"Si"),0,Reglas!$B$3)</x:f>
        <x:v>3</x:v>
      </x:c>
      <x:c r="U27" t="n">
        <x:f>IF(OR($N27&lt;&gt;"Finalizado",$Q27&lt;&gt;"Si"),0,IF($I27=$M27,Reglas!$B$4,0))</x:f>
        <x:v>2</x:v>
      </x:c>
      <x:c r="V27" t="n">
        <x:f>IF(OR($N27&lt;&gt;"Finalizado",$Q27&lt;&gt;"Si",$R27&lt;&gt;"Si"),0,IF(AND($F27=$J27,$G27=$K27),Reglas!$B$5,0))</x:f>
        <x:v>0</x:v>
      </x:c>
      <x:c r="W27" t="n">
        <x:f>IF(OR($N27&lt;&gt;"Finalizado",$Q27&lt;&gt;"Si",$R27&lt;&gt;"Si"),0,IF($F27-$G27=$J27-$K27,Reglas!$B$6,0))</x:f>
        <x:v>0</x:v>
      </x:c>
      <x:c r="X27" t="n">
        <x:f>IF(OR($N27&lt;&gt;"Finalizado",$Q27&lt;&gt;"Si",$R27&lt;&gt;"Si"),0,IF($F27=$J27,Reglas!$B$7,0))</x:f>
        <x:v>0</x:v>
      </x:c>
      <x:c r="Y27" t="n">
        <x:f>IF(OR($N27&lt;&gt;"Finalizado",$Q27&lt;&gt;"Si",$R27&lt;&gt;"Si"),0,IF($G27=$K27,Reglas!$B$8,0))</x:f>
        <x:v>0</x:v>
      </x:c>
      <x:c r="Z27" t="n">
        <x:f>SUM($S27:$Y27)</x:f>
        <x:v>10</x:v>
      </x:c>
      <x:c r="AA27" t="str">
        <x:f>IF($N27&lt;&gt;"Finalizado","Resultado pendiente",IF($H27="Sin envio","Sin respuesta",IF($Q27&lt;&gt;"Si","No acerto clasificado","OK")))</x:f>
        <x:v>OK</x:v>
      </x:c>
      <x:c r="AB27" t="str">
        <x:v>8vos detalle reconstruido</x:v>
      </x:c>
      <x:c r="AC27" t="n">
        <x:v>10</x:v>
      </x:c>
      <x:c r="AD27" t="n">
        <x:f>$Z27-$AC27</x:f>
        <x:v>0</x:v>
      </x:c>
    </x:row>
    <x:row r="28" ht="15" hidden="0" customHeight="1">
      <x:c r="A28" t="str">
        <x:v>8vos</x:v>
      </x:c>
      <x:c r="B28" t="str">
        <x:v>O2</x:v>
      </x:c>
      <x:c r="C28" t="str">
        <x:v>Jesús</x:v>
      </x:c>
      <x:c r="D28" t="str">
        <x:v>Paraguay</x:v>
      </x:c>
      <x:c r="E28" t="str">
        <x:v>Francia</x:v>
      </x:c>
      <x:c r="F28" t="n">
        <x:v>1</x:v>
      </x:c>
      <x:c r="G28" t="n">
        <x:v>3</x:v>
      </x:c>
      <x:c r="H28" t="str">
        <x:v>Francia</x:v>
      </x:c>
      <x:c r="I28" t="str">
        <x:v>90 minutos</x:v>
      </x:c>
      <x:c r="J28" t="n">
        <x:v>0</x:v>
      </x:c>
      <x:c r="K28" t="n">
        <x:v>1</x:v>
      </x:c>
      <x:c r="L28" t="str">
        <x:v>Francia</x:v>
      </x:c>
      <x:c r="M28" t="str">
        <x:v>90 minutos</x:v>
      </x:c>
      <x:c r="N28" t="str">
        <x:v>Finalizado</x:v>
      </x:c>
      <x:c r="O28" t="str">
        <x:f>IF($H28="Sin envio","Sin envio",IF($I28="90 minutos",IF($F28&gt;$G28,"A",IF($G28&gt;$F28,"B","E")),"E"))</x:f>
        <x:v>B</x:v>
      </x:c>
      <x:c r="P28" t="str">
        <x:f>IF($M28="90 minutos",IF($J28&gt;$K28,"A",IF($K28&gt;$J28,"B","E")),"E")</x:f>
        <x:v>B</x:v>
      </x:c>
      <x:c r="Q28" t="str">
        <x:f>IF($H28="Sin envio","No",IF($H28=$L28,"Si","No"))</x:f>
        <x:v>Si</x:v>
      </x:c>
      <x:c r="R28" t="str">
        <x:f>IF(AND($I28=$M28,NOT(AND($I28="Penales",$F28&lt;&gt;$G28))),"Si","No")</x:f>
        <x:v>Si</x:v>
      </x:c>
      <x:c r="S28" t="n">
        <x:f>IF(OR($N28&lt;&gt;"Finalizado",$Q28&lt;&gt;"Si"),0,IF($O28=$P28,Reglas!$B$2,0))</x:f>
        <x:v>5</x:v>
      </x:c>
      <x:c r="T28" t="n">
        <x:f>IF(OR($N28&lt;&gt;"Finalizado",$Q28&lt;&gt;"Si"),0,Reglas!$B$3)</x:f>
        <x:v>3</x:v>
      </x:c>
      <x:c r="U28" t="n">
        <x:f>IF(OR($N28&lt;&gt;"Finalizado",$Q28&lt;&gt;"Si"),0,IF($I28=$M28,Reglas!$B$4,0))</x:f>
        <x:v>2</x:v>
      </x:c>
      <x:c r="V28" t="n">
        <x:f>IF(OR($N28&lt;&gt;"Finalizado",$Q28&lt;&gt;"Si",$R28&lt;&gt;"Si"),0,IF(AND($F28=$J28,$G28=$K28),Reglas!$B$5,0))</x:f>
        <x:v>0</x:v>
      </x:c>
      <x:c r="W28" t="n">
        <x:f>IF(OR($N28&lt;&gt;"Finalizado",$Q28&lt;&gt;"Si",$R28&lt;&gt;"Si"),0,IF($F28-$G28=$J28-$K28,Reglas!$B$6,0))</x:f>
        <x:v>0</x:v>
      </x:c>
      <x:c r="X28" t="n">
        <x:f>IF(OR($N28&lt;&gt;"Finalizado",$Q28&lt;&gt;"Si",$R28&lt;&gt;"Si"),0,IF($F28=$J28,Reglas!$B$7,0))</x:f>
        <x:v>0</x:v>
      </x:c>
      <x:c r="Y28" t="n">
        <x:f>IF(OR($N28&lt;&gt;"Finalizado",$Q28&lt;&gt;"Si",$R28&lt;&gt;"Si"),0,IF($G28=$K28,Reglas!$B$8,0))</x:f>
        <x:v>0</x:v>
      </x:c>
      <x:c r="Z28" t="n">
        <x:f>SUM($S28:$Y28)</x:f>
        <x:v>10</x:v>
      </x:c>
      <x:c r="AA28" t="str">
        <x:f>IF($N28&lt;&gt;"Finalizado","Resultado pendiente",IF($H28="Sin envio","Sin respuesta",IF($Q28&lt;&gt;"Si","No acerto clasificado","OK")))</x:f>
        <x:v>OK</x:v>
      </x:c>
      <x:c r="AB28" t="str">
        <x:v>8vos detalle reconstruido</x:v>
      </x:c>
      <x:c r="AC28" t="n">
        <x:v>10</x:v>
      </x:c>
      <x:c r="AD28" t="n">
        <x:f>$Z28-$AC28</x:f>
        <x:v>0</x:v>
      </x:c>
    </x:row>
    <x:row r="29" ht="15" hidden="0" customHeight="1">
      <x:c r="A29" t="str">
        <x:v>8vos</x:v>
      </x:c>
      <x:c r="B29" t="str">
        <x:v>O2</x:v>
      </x:c>
      <x:c r="C29" t="str">
        <x:v>Diego</x:v>
      </x:c>
      <x:c r="D29" t="str">
        <x:v>Paraguay</x:v>
      </x:c>
      <x:c r="E29" t="str">
        <x:v>Francia</x:v>
      </x:c>
      <x:c r="F29" t="n">
        <x:v>0</x:v>
      </x:c>
      <x:c r="G29" t="n">
        <x:v>2</x:v>
      </x:c>
      <x:c r="H29" t="str">
        <x:v>Francia</x:v>
      </x:c>
      <x:c r="I29" t="str">
        <x:v>90 minutos</x:v>
      </x:c>
      <x:c r="J29" t="n">
        <x:v>0</x:v>
      </x:c>
      <x:c r="K29" t="n">
        <x:v>1</x:v>
      </x:c>
      <x:c r="L29" t="str">
        <x:v>Francia</x:v>
      </x:c>
      <x:c r="M29" t="str">
        <x:v>90 minutos</x:v>
      </x:c>
      <x:c r="N29" t="str">
        <x:v>Finalizado</x:v>
      </x:c>
      <x:c r="O29" t="str">
        <x:f>IF($H29="Sin envio","Sin envio",IF($I29="90 minutos",IF($F29&gt;$G29,"A",IF($G29&gt;$F29,"B","E")),"E"))</x:f>
        <x:v>B</x:v>
      </x:c>
      <x:c r="P29" t="str">
        <x:f>IF($M29="90 minutos",IF($J29&gt;$K29,"A",IF($K29&gt;$J29,"B","E")),"E")</x:f>
        <x:v>B</x:v>
      </x:c>
      <x:c r="Q29" t="str">
        <x:f>IF($H29="Sin envio","No",IF($H29=$L29,"Si","No"))</x:f>
        <x:v>Si</x:v>
      </x:c>
      <x:c r="R29" t="str">
        <x:f>IF(AND($I29=$M29,NOT(AND($I29="Penales",$F29&lt;&gt;$G29))),"Si","No")</x:f>
        <x:v>Si</x:v>
      </x:c>
      <x:c r="S29" t="n">
        <x:f>IF(OR($N29&lt;&gt;"Finalizado",$Q29&lt;&gt;"Si"),0,IF($O29=$P29,Reglas!$B$2,0))</x:f>
        <x:v>5</x:v>
      </x:c>
      <x:c r="T29" t="n">
        <x:f>IF(OR($N29&lt;&gt;"Finalizado",$Q29&lt;&gt;"Si"),0,Reglas!$B$3)</x:f>
        <x:v>3</x:v>
      </x:c>
      <x:c r="U29" t="n">
        <x:f>IF(OR($N29&lt;&gt;"Finalizado",$Q29&lt;&gt;"Si"),0,IF($I29=$M29,Reglas!$B$4,0))</x:f>
        <x:v>2</x:v>
      </x:c>
      <x:c r="V29" t="n">
        <x:f>IF(OR($N29&lt;&gt;"Finalizado",$Q29&lt;&gt;"Si",$R29&lt;&gt;"Si"),0,IF(AND($F29=$J29,$G29=$K29),Reglas!$B$5,0))</x:f>
        <x:v>0</x:v>
      </x:c>
      <x:c r="W29" t="n">
        <x:f>IF(OR($N29&lt;&gt;"Finalizado",$Q29&lt;&gt;"Si",$R29&lt;&gt;"Si"),0,IF($F29-$G29=$J29-$K29,Reglas!$B$6,0))</x:f>
        <x:v>0</x:v>
      </x:c>
      <x:c r="X29" t="n">
        <x:f>IF(OR($N29&lt;&gt;"Finalizado",$Q29&lt;&gt;"Si",$R29&lt;&gt;"Si"),0,IF($F29=$J29,Reglas!$B$7,0))</x:f>
        <x:v>1</x:v>
      </x:c>
      <x:c r="Y29" t="n">
        <x:f>IF(OR($N29&lt;&gt;"Finalizado",$Q29&lt;&gt;"Si",$R29&lt;&gt;"Si"),0,IF($G29=$K29,Reglas!$B$8,0))</x:f>
        <x:v>0</x:v>
      </x:c>
      <x:c r="Z29" t="n">
        <x:f>SUM($S29:$Y29)</x:f>
        <x:v>11</x:v>
      </x:c>
      <x:c r="AA29" t="str">
        <x:f>IF($N29&lt;&gt;"Finalizado","Resultado pendiente",IF($H29="Sin envio","Sin respuesta",IF($Q29&lt;&gt;"Si","No acerto clasificado","OK")))</x:f>
        <x:v>OK</x:v>
      </x:c>
      <x:c r="AB29" t="str">
        <x:v>8vos detalle reconstruido</x:v>
      </x:c>
      <x:c r="AC29" t="n">
        <x:v>11</x:v>
      </x:c>
      <x:c r="AD29" t="n">
        <x:f>$Z29-$AC29</x:f>
        <x:v>0</x:v>
      </x:c>
    </x:row>
    <x:row r="30" ht="15" hidden="0" customHeight="1">
      <x:c r="A30" t="str">
        <x:v>8vos</x:v>
      </x:c>
      <x:c r="B30" t="str">
        <x:v>O2</x:v>
      </x:c>
      <x:c r="C30" t="str">
        <x:v>Aldo</x:v>
      </x:c>
      <x:c r="D30" t="str">
        <x:v>Paraguay</x:v>
      </x:c>
      <x:c r="E30" t="str">
        <x:v>Francia</x:v>
      </x:c>
      <x:c r="F30" t="n">
        <x:v>1</x:v>
      </x:c>
      <x:c r="G30" t="n">
        <x:v>1</x:v>
      </x:c>
      <x:c r="H30" t="str">
        <x:v>Paraguay</x:v>
      </x:c>
      <x:c r="I30" t="str">
        <x:v>Penales</x:v>
      </x:c>
      <x:c r="J30" t="n">
        <x:v>0</x:v>
      </x:c>
      <x:c r="K30" t="n">
        <x:v>1</x:v>
      </x:c>
      <x:c r="L30" t="str">
        <x:v>Francia</x:v>
      </x:c>
      <x:c r="M30" t="str">
        <x:v>90 minutos</x:v>
      </x:c>
      <x:c r="N30" t="str">
        <x:v>Finalizado</x:v>
      </x:c>
      <x:c r="O30" t="str">
        <x:f>IF($H30="Sin envio","Sin envio",IF($I30="90 minutos",IF($F30&gt;$G30,"A",IF($G30&gt;$F30,"B","E")),"E"))</x:f>
        <x:v>E</x:v>
      </x:c>
      <x:c r="P30" t="str">
        <x:f>IF($M30="90 minutos",IF($J30&gt;$K30,"A",IF($K30&gt;$J30,"B","E")),"E")</x:f>
        <x:v>B</x:v>
      </x:c>
      <x:c r="Q30" t="str">
        <x:f>IF($H30="Sin envio","No",IF($H30=$L30,"Si","No"))</x:f>
        <x:v>No</x:v>
      </x:c>
      <x:c r="R30" t="str">
        <x:f>IF(AND($I30=$M30,NOT(AND($I30="Penales",$F30&lt;&gt;$G30))),"Si","No")</x:f>
        <x:v>No</x:v>
      </x:c>
      <x:c r="S30" t="n">
        <x:f>IF(OR($N30&lt;&gt;"Finalizado",$Q30&lt;&gt;"Si"),0,IF($O30=$P30,Reglas!$B$2,0))</x:f>
        <x:v>0</x:v>
      </x:c>
      <x:c r="T30" t="n">
        <x:f>IF(OR($N30&lt;&gt;"Finalizado",$Q30&lt;&gt;"Si"),0,Reglas!$B$3)</x:f>
        <x:v>0</x:v>
      </x:c>
      <x:c r="U30" t="n">
        <x:f>IF(OR($N30&lt;&gt;"Finalizado",$Q30&lt;&gt;"Si"),0,IF($I30=$M30,Reglas!$B$4,0))</x:f>
        <x:v>0</x:v>
      </x:c>
      <x:c r="V30" t="n">
        <x:f>IF(OR($N30&lt;&gt;"Finalizado",$Q30&lt;&gt;"Si",$R30&lt;&gt;"Si"),0,IF(AND($F30=$J30,$G30=$K30),Reglas!$B$5,0))</x:f>
        <x:v>0</x:v>
      </x:c>
      <x:c r="W30" t="n">
        <x:f>IF(OR($N30&lt;&gt;"Finalizado",$Q30&lt;&gt;"Si",$R30&lt;&gt;"Si"),0,IF($F30-$G30=$J30-$K30,Reglas!$B$6,0))</x:f>
        <x:v>0</x:v>
      </x:c>
      <x:c r="X30" t="n">
        <x:f>IF(OR($N30&lt;&gt;"Finalizado",$Q30&lt;&gt;"Si",$R30&lt;&gt;"Si"),0,IF($F30=$J30,Reglas!$B$7,0))</x:f>
        <x:v>0</x:v>
      </x:c>
      <x:c r="Y30" t="n">
        <x:f>IF(OR($N30&lt;&gt;"Finalizado",$Q30&lt;&gt;"Si",$R30&lt;&gt;"Si"),0,IF($G30=$K30,Reglas!$B$8,0))</x:f>
        <x:v>0</x:v>
      </x:c>
      <x:c r="Z30" t="n">
        <x:f>SUM($S30:$Y30)</x:f>
        <x:v>0</x:v>
      </x:c>
      <x:c r="AA30" t="str">
        <x:f>IF($N30&lt;&gt;"Finalizado","Resultado pendiente",IF($H30="Sin envio","Sin respuesta",IF($Q30&lt;&gt;"Si","No acerto clasificado","OK")))</x:f>
        <x:v>No acerto clasificado</x:v>
      </x:c>
      <x:c r="AB30" t="str">
        <x:v>8vos detalle reconstruido</x:v>
      </x:c>
      <x:c r="AC30" t="n">
        <x:v>0</x:v>
      </x:c>
      <x:c r="AD30" t="n">
        <x:f>$Z30-$AC30</x:f>
        <x:v>0</x:v>
      </x:c>
    </x:row>
    <x:row r="31" ht="15" hidden="0" customHeight="1">
      <x:c r="A31" t="str">
        <x:v>8vos</x:v>
      </x:c>
      <x:c r="B31" t="str">
        <x:v>O2</x:v>
      </x:c>
      <x:c r="C31" t="str">
        <x:v>Javier</x:v>
      </x:c>
      <x:c r="D31" t="str">
        <x:v>Paraguay</x:v>
      </x:c>
      <x:c r="E31" t="str">
        <x:v>Francia</x:v>
      </x:c>
      <x:c r="F31" t="n">
        <x:v>0</x:v>
      </x:c>
      <x:c r="G31" t="n">
        <x:v>2</x:v>
      </x:c>
      <x:c r="H31" t="str">
        <x:v>Francia</x:v>
      </x:c>
      <x:c r="I31" t="str">
        <x:v>90 minutos</x:v>
      </x:c>
      <x:c r="J31" t="n">
        <x:v>0</x:v>
      </x:c>
      <x:c r="K31" t="n">
        <x:v>1</x:v>
      </x:c>
      <x:c r="L31" t="str">
        <x:v>Francia</x:v>
      </x:c>
      <x:c r="M31" t="str">
        <x:v>90 minutos</x:v>
      </x:c>
      <x:c r="N31" t="str">
        <x:v>Finalizado</x:v>
      </x:c>
      <x:c r="O31" t="str">
        <x:f>IF($H31="Sin envio","Sin envio",IF($I31="90 minutos",IF($F31&gt;$G31,"A",IF($G31&gt;$F31,"B","E")),"E"))</x:f>
        <x:v>B</x:v>
      </x:c>
      <x:c r="P31" t="str">
        <x:f>IF($M31="90 minutos",IF($J31&gt;$K31,"A",IF($K31&gt;$J31,"B","E")),"E")</x:f>
        <x:v>B</x:v>
      </x:c>
      <x:c r="Q31" t="str">
        <x:f>IF($H31="Sin envio","No",IF($H31=$L31,"Si","No"))</x:f>
        <x:v>Si</x:v>
      </x:c>
      <x:c r="R31" t="str">
        <x:f>IF(AND($I31=$M31,NOT(AND($I31="Penales",$F31&lt;&gt;$G31))),"Si","No")</x:f>
        <x:v>Si</x:v>
      </x:c>
      <x:c r="S31" t="n">
        <x:f>IF(OR($N31&lt;&gt;"Finalizado",$Q31&lt;&gt;"Si"),0,IF($O31=$P31,Reglas!$B$2,0))</x:f>
        <x:v>5</x:v>
      </x:c>
      <x:c r="T31" t="n">
        <x:f>IF(OR($N31&lt;&gt;"Finalizado",$Q31&lt;&gt;"Si"),0,Reglas!$B$3)</x:f>
        <x:v>3</x:v>
      </x:c>
      <x:c r="U31" t="n">
        <x:f>IF(OR($N31&lt;&gt;"Finalizado",$Q31&lt;&gt;"Si"),0,IF($I31=$M31,Reglas!$B$4,0))</x:f>
        <x:v>2</x:v>
      </x:c>
      <x:c r="V31" t="n">
        <x:f>IF(OR($N31&lt;&gt;"Finalizado",$Q31&lt;&gt;"Si",$R31&lt;&gt;"Si"),0,IF(AND($F31=$J31,$G31=$K31),Reglas!$B$5,0))</x:f>
        <x:v>0</x:v>
      </x:c>
      <x:c r="W31" t="n">
        <x:f>IF(OR($N31&lt;&gt;"Finalizado",$Q31&lt;&gt;"Si",$R31&lt;&gt;"Si"),0,IF($F31-$G31=$J31-$K31,Reglas!$B$6,0))</x:f>
        <x:v>0</x:v>
      </x:c>
      <x:c r="X31" t="n">
        <x:f>IF(OR($N31&lt;&gt;"Finalizado",$Q31&lt;&gt;"Si",$R31&lt;&gt;"Si"),0,IF($F31=$J31,Reglas!$B$7,0))</x:f>
        <x:v>1</x:v>
      </x:c>
      <x:c r="Y31" t="n">
        <x:f>IF(OR($N31&lt;&gt;"Finalizado",$Q31&lt;&gt;"Si",$R31&lt;&gt;"Si"),0,IF($G31=$K31,Reglas!$B$8,0))</x:f>
        <x:v>0</x:v>
      </x:c>
      <x:c r="Z31" t="n">
        <x:f>SUM($S31:$Y31)</x:f>
        <x:v>11</x:v>
      </x:c>
      <x:c r="AA31" t="str">
        <x:f>IF($N31&lt;&gt;"Finalizado","Resultado pendiente",IF($H31="Sin envio","Sin respuesta",IF($Q31&lt;&gt;"Si","No acerto clasificado","OK")))</x:f>
        <x:v>OK</x:v>
      </x:c>
      <x:c r="AB31" t="str">
        <x:v>8vos detalle reconstruido</x:v>
      </x:c>
      <x:c r="AC31" t="n">
        <x:v>11</x:v>
      </x:c>
      <x:c r="AD31" t="n">
        <x:f>$Z31-$AC31</x:f>
        <x:v>0</x:v>
      </x:c>
    </x:row>
    <x:row r="32" ht="15" hidden="0" customHeight="1">
      <x:c r="A32" t="str">
        <x:v>8vos</x:v>
      </x:c>
      <x:c r="B32" t="str">
        <x:v>O2</x:v>
      </x:c>
      <x:c r="C32" t="str">
        <x:v>Gino</x:v>
      </x:c>
      <x:c r="D32" t="str">
        <x:v>Paraguay</x:v>
      </x:c>
      <x:c r="E32" t="str">
        <x:v>Francia</x:v>
      </x:c>
      <x:c r="F32" t="n">
        <x:v>0</x:v>
      </x:c>
      <x:c r="G32" t="n">
        <x:v>3</x:v>
      </x:c>
      <x:c r="H32" t="str">
        <x:v>Francia</x:v>
      </x:c>
      <x:c r="I32" t="str">
        <x:v>90 minutos</x:v>
      </x:c>
      <x:c r="J32" t="n">
        <x:v>0</x:v>
      </x:c>
      <x:c r="K32" t="n">
        <x:v>1</x:v>
      </x:c>
      <x:c r="L32" t="str">
        <x:v>Francia</x:v>
      </x:c>
      <x:c r="M32" t="str">
        <x:v>90 minutos</x:v>
      </x:c>
      <x:c r="N32" t="str">
        <x:v>Finalizado</x:v>
      </x:c>
      <x:c r="O32" t="str">
        <x:f>IF($H32="Sin envio","Sin envio",IF($I32="90 minutos",IF($F32&gt;$G32,"A",IF($G32&gt;$F32,"B","E")),"E"))</x:f>
        <x:v>B</x:v>
      </x:c>
      <x:c r="P32" t="str">
        <x:f>IF($M32="90 minutos",IF($J32&gt;$K32,"A",IF($K32&gt;$J32,"B","E")),"E")</x:f>
        <x:v>B</x:v>
      </x:c>
      <x:c r="Q32" t="str">
        <x:f>IF($H32="Sin envio","No",IF($H32=$L32,"Si","No"))</x:f>
        <x:v>Si</x:v>
      </x:c>
      <x:c r="R32" t="str">
        <x:f>IF(AND($I32=$M32,NOT(AND($I32="Penales",$F32&lt;&gt;$G32))),"Si","No")</x:f>
        <x:v>Si</x:v>
      </x:c>
      <x:c r="S32" t="n">
        <x:f>IF(OR($N32&lt;&gt;"Finalizado",$Q32&lt;&gt;"Si"),0,IF($O32=$P32,Reglas!$B$2,0))</x:f>
        <x:v>5</x:v>
      </x:c>
      <x:c r="T32" t="n">
        <x:f>IF(OR($N32&lt;&gt;"Finalizado",$Q32&lt;&gt;"Si"),0,Reglas!$B$3)</x:f>
        <x:v>3</x:v>
      </x:c>
      <x:c r="U32" t="n">
        <x:f>IF(OR($N32&lt;&gt;"Finalizado",$Q32&lt;&gt;"Si"),0,IF($I32=$M32,Reglas!$B$4,0))</x:f>
        <x:v>2</x:v>
      </x:c>
      <x:c r="V32" t="n">
        <x:f>IF(OR($N32&lt;&gt;"Finalizado",$Q32&lt;&gt;"Si",$R32&lt;&gt;"Si"),0,IF(AND($F32=$J32,$G32=$K32),Reglas!$B$5,0))</x:f>
        <x:v>0</x:v>
      </x:c>
      <x:c r="W32" t="n">
        <x:f>IF(OR($N32&lt;&gt;"Finalizado",$Q32&lt;&gt;"Si",$R32&lt;&gt;"Si"),0,IF($F32-$G32=$J32-$K32,Reglas!$B$6,0))</x:f>
        <x:v>0</x:v>
      </x:c>
      <x:c r="X32" t="n">
        <x:f>IF(OR($N32&lt;&gt;"Finalizado",$Q32&lt;&gt;"Si",$R32&lt;&gt;"Si"),0,IF($F32=$J32,Reglas!$B$7,0))</x:f>
        <x:v>1</x:v>
      </x:c>
      <x:c r="Y32" t="n">
        <x:f>IF(OR($N32&lt;&gt;"Finalizado",$Q32&lt;&gt;"Si",$R32&lt;&gt;"Si"),0,IF($G32=$K32,Reglas!$B$8,0))</x:f>
        <x:v>0</x:v>
      </x:c>
      <x:c r="Z32" t="n">
        <x:f>SUM($S32:$Y32)</x:f>
        <x:v>11</x:v>
      </x:c>
      <x:c r="AA32" t="str">
        <x:f>IF($N32&lt;&gt;"Finalizado","Resultado pendiente",IF($H32="Sin envio","Sin respuesta",IF($Q32&lt;&gt;"Si","No acerto clasificado","OK")))</x:f>
        <x:v>OK</x:v>
      </x:c>
      <x:c r="AB32" t="str">
        <x:v>8vos detalle reconstruido</x:v>
      </x:c>
      <x:c r="AC32" t="n">
        <x:v>11</x:v>
      </x:c>
      <x:c r="AD32" t="n">
        <x:f>$Z32-$AC32</x:f>
        <x:v>0</x:v>
      </x:c>
    </x:row>
    <x:row r="33" ht="15" hidden="0" customHeight="1">
      <x:c r="A33" t="str">
        <x:v>8vos</x:v>
      </x:c>
      <x:c r="B33" t="str">
        <x:v>O2</x:v>
      </x:c>
      <x:c r="C33" t="str">
        <x:v>Manuel</x:v>
      </x:c>
      <x:c r="D33" t="str">
        <x:v>Paraguay</x:v>
      </x:c>
      <x:c r="E33" t="str">
        <x:v>Francia</x:v>
      </x:c>
      <x:c r="F33" t="n">
        <x:v>1</x:v>
      </x:c>
      <x:c r="G33" t="n">
        <x:v>1</x:v>
      </x:c>
      <x:c r="H33" t="str">
        <x:v>Francia</x:v>
      </x:c>
      <x:c r="I33" t="str">
        <x:v>Suplementario</x:v>
      </x:c>
      <x:c r="J33" t="n">
        <x:v>0</x:v>
      </x:c>
      <x:c r="K33" t="n">
        <x:v>1</x:v>
      </x:c>
      <x:c r="L33" t="str">
        <x:v>Francia</x:v>
      </x:c>
      <x:c r="M33" t="str">
        <x:v>90 minutos</x:v>
      </x:c>
      <x:c r="N33" t="str">
        <x:v>Finalizado</x:v>
      </x:c>
      <x:c r="O33" t="str">
        <x:f>IF($H33="Sin envio","Sin envio",IF($I33="90 minutos",IF($F33&gt;$G33,"A",IF($G33&gt;$F33,"B","E")),"E"))</x:f>
        <x:v>E</x:v>
      </x:c>
      <x:c r="P33" t="str">
        <x:f>IF($M33="90 minutos",IF($J33&gt;$K33,"A",IF($K33&gt;$J33,"B","E")),"E")</x:f>
        <x:v>B</x:v>
      </x:c>
      <x:c r="Q33" t="str">
        <x:f>IF($H33="Sin envio","No",IF($H33=$L33,"Si","No"))</x:f>
        <x:v>Si</x:v>
      </x:c>
      <x:c r="R33" t="str">
        <x:f>IF(AND($I33=$M33,NOT(AND($I33="Penales",$F33&lt;&gt;$G33))),"Si","No")</x:f>
        <x:v>No</x:v>
      </x:c>
      <x:c r="S33" t="n">
        <x:f>IF(OR($N33&lt;&gt;"Finalizado",$Q33&lt;&gt;"Si"),0,IF($O33=$P33,Reglas!$B$2,0))</x:f>
        <x:v>0</x:v>
      </x:c>
      <x:c r="T33" t="n">
        <x:f>IF(OR($N33&lt;&gt;"Finalizado",$Q33&lt;&gt;"Si"),0,Reglas!$B$3)</x:f>
        <x:v>3</x:v>
      </x:c>
      <x:c r="U33" t="n">
        <x:f>IF(OR($N33&lt;&gt;"Finalizado",$Q33&lt;&gt;"Si"),0,IF($I33=$M33,Reglas!$B$4,0))</x:f>
        <x:v>0</x:v>
      </x:c>
      <x:c r="V33" t="n">
        <x:f>IF(OR($N33&lt;&gt;"Finalizado",$Q33&lt;&gt;"Si",$R33&lt;&gt;"Si"),0,IF(AND($F33=$J33,$G33=$K33),Reglas!$B$5,0))</x:f>
        <x:v>0</x:v>
      </x:c>
      <x:c r="W33" t="n">
        <x:f>IF(OR($N33&lt;&gt;"Finalizado",$Q33&lt;&gt;"Si",$R33&lt;&gt;"Si"),0,IF($F33-$G33=$J33-$K33,Reglas!$B$6,0))</x:f>
        <x:v>0</x:v>
      </x:c>
      <x:c r="X33" t="n">
        <x:f>IF(OR($N33&lt;&gt;"Finalizado",$Q33&lt;&gt;"Si",$R33&lt;&gt;"Si"),0,IF($F33=$J33,Reglas!$B$7,0))</x:f>
        <x:v>0</x:v>
      </x:c>
      <x:c r="Y33" t="n">
        <x:f>IF(OR($N33&lt;&gt;"Finalizado",$Q33&lt;&gt;"Si",$R33&lt;&gt;"Si"),0,IF($G33=$K33,Reglas!$B$8,0))</x:f>
        <x:v>0</x:v>
      </x:c>
      <x:c r="Z33" t="n">
        <x:f>SUM($S33:$Y33)</x:f>
        <x:v>3</x:v>
      </x:c>
      <x:c r="AA33" t="str">
        <x:f>IF($N33&lt;&gt;"Finalizado","Resultado pendiente",IF($H33="Sin envio","Sin respuesta",IF($Q33&lt;&gt;"Si","No acerto clasificado","OK")))</x:f>
        <x:v>OK</x:v>
      </x:c>
      <x:c r="AB33" t="str">
        <x:v>8vos detalle reconstruido</x:v>
      </x:c>
      <x:c r="AC33" t="n">
        <x:v>3</x:v>
      </x:c>
      <x:c r="AD33" t="n">
        <x:f>$Z33-$AC33</x:f>
        <x:v>0</x:v>
      </x:c>
    </x:row>
    <x:row r="34" ht="15" hidden="0" customHeight="1">
      <x:c r="A34" t="str">
        <x:v>8vos</x:v>
      </x:c>
      <x:c r="B34" t="str">
        <x:v>O2</x:v>
      </x:c>
      <x:c r="C34" t="str">
        <x:v>Jorge</x:v>
      </x:c>
      <x:c r="D34" t="str">
        <x:v>Paraguay</x:v>
      </x:c>
      <x:c r="E34" t="str">
        <x:v>Francia</x:v>
      </x:c>
      <x:c r="F34" t="n">
        <x:v>1</x:v>
      </x:c>
      <x:c r="G34" t="n">
        <x:v>3</x:v>
      </x:c>
      <x:c r="H34" t="str">
        <x:v>Francia</x:v>
      </x:c>
      <x:c r="I34" t="str">
        <x:v>90 minutos</x:v>
      </x:c>
      <x:c r="J34" t="n">
        <x:v>0</x:v>
      </x:c>
      <x:c r="K34" t="n">
        <x:v>1</x:v>
      </x:c>
      <x:c r="L34" t="str">
        <x:v>Francia</x:v>
      </x:c>
      <x:c r="M34" t="str">
        <x:v>90 minutos</x:v>
      </x:c>
      <x:c r="N34" t="str">
        <x:v>Finalizado</x:v>
      </x:c>
      <x:c r="O34" t="str">
        <x:f>IF($H34="Sin envio","Sin envio",IF($I34="90 minutos",IF($F34&gt;$G34,"A",IF($G34&gt;$F34,"B","E")),"E"))</x:f>
        <x:v>B</x:v>
      </x:c>
      <x:c r="P34" t="str">
        <x:f>IF($M34="90 minutos",IF($J34&gt;$K34,"A",IF($K34&gt;$J34,"B","E")),"E")</x:f>
        <x:v>B</x:v>
      </x:c>
      <x:c r="Q34" t="str">
        <x:f>IF($H34="Sin envio","No",IF($H34=$L34,"Si","No"))</x:f>
        <x:v>Si</x:v>
      </x:c>
      <x:c r="R34" t="str">
        <x:f>IF(AND($I34=$M34,NOT(AND($I34="Penales",$F34&lt;&gt;$G34))),"Si","No")</x:f>
        <x:v>Si</x:v>
      </x:c>
      <x:c r="S34" t="n">
        <x:f>IF(OR($N34&lt;&gt;"Finalizado",$Q34&lt;&gt;"Si"),0,IF($O34=$P34,Reglas!$B$2,0))</x:f>
        <x:v>5</x:v>
      </x:c>
      <x:c r="T34" t="n">
        <x:f>IF(OR($N34&lt;&gt;"Finalizado",$Q34&lt;&gt;"Si"),0,Reglas!$B$3)</x:f>
        <x:v>3</x:v>
      </x:c>
      <x:c r="U34" t="n">
        <x:f>IF(OR($N34&lt;&gt;"Finalizado",$Q34&lt;&gt;"Si"),0,IF($I34=$M34,Reglas!$B$4,0))</x:f>
        <x:v>2</x:v>
      </x:c>
      <x:c r="V34" t="n">
        <x:f>IF(OR($N34&lt;&gt;"Finalizado",$Q34&lt;&gt;"Si",$R34&lt;&gt;"Si"),0,IF(AND($F34=$J34,$G34=$K34),Reglas!$B$5,0))</x:f>
        <x:v>0</x:v>
      </x:c>
      <x:c r="W34" t="n">
        <x:f>IF(OR($N34&lt;&gt;"Finalizado",$Q34&lt;&gt;"Si",$R34&lt;&gt;"Si"),0,IF($F34-$G34=$J34-$K34,Reglas!$B$6,0))</x:f>
        <x:v>0</x:v>
      </x:c>
      <x:c r="X34" t="n">
        <x:f>IF(OR($N34&lt;&gt;"Finalizado",$Q34&lt;&gt;"Si",$R34&lt;&gt;"Si"),0,IF($F34=$J34,Reglas!$B$7,0))</x:f>
        <x:v>0</x:v>
      </x:c>
      <x:c r="Y34" t="n">
        <x:f>IF(OR($N34&lt;&gt;"Finalizado",$Q34&lt;&gt;"Si",$R34&lt;&gt;"Si"),0,IF($G34=$K34,Reglas!$B$8,0))</x:f>
        <x:v>0</x:v>
      </x:c>
      <x:c r="Z34" t="n">
        <x:f>SUM($S34:$Y34)</x:f>
        <x:v>10</x:v>
      </x:c>
      <x:c r="AA34" t="str">
        <x:f>IF($N34&lt;&gt;"Finalizado","Resultado pendiente",IF($H34="Sin envio","Sin respuesta",IF($Q34&lt;&gt;"Si","No acerto clasificado","OK")))</x:f>
        <x:v>OK</x:v>
      </x:c>
      <x:c r="AB34" t="str">
        <x:v>8vos detalle reconstruido</x:v>
      </x:c>
      <x:c r="AC34" t="n">
        <x:v>10</x:v>
      </x:c>
      <x:c r="AD34" t="n">
        <x:f>$Z34-$AC34</x:f>
        <x:v>0</x:v>
      </x:c>
    </x:row>
    <x:row r="35" ht="15" hidden="0" customHeight="1">
      <x:c r="A35" t="str">
        <x:v>8vos</x:v>
      </x:c>
      <x:c r="B35" t="str">
        <x:v>O2</x:v>
      </x:c>
      <x:c r="C35" t="str">
        <x:v>Daniel</x:v>
      </x:c>
      <x:c r="D35" t="str">
        <x:v>Paraguay</x:v>
      </x:c>
      <x:c r="E35" t="str">
        <x:v>Francia</x:v>
      </x:c>
      <x:c r="F35" t="n">
        <x:v>1</x:v>
      </x:c>
      <x:c r="G35" t="n">
        <x:v>2</x:v>
      </x:c>
      <x:c r="H35" t="str">
        <x:v>Francia</x:v>
      </x:c>
      <x:c r="I35" t="str">
        <x:v>90 minutos</x:v>
      </x:c>
      <x:c r="J35" t="n">
        <x:v>0</x:v>
      </x:c>
      <x:c r="K35" t="n">
        <x:v>1</x:v>
      </x:c>
      <x:c r="L35" t="str">
        <x:v>Francia</x:v>
      </x:c>
      <x:c r="M35" t="str">
        <x:v>90 minutos</x:v>
      </x:c>
      <x:c r="N35" t="str">
        <x:v>Finalizado</x:v>
      </x:c>
      <x:c r="O35" t="str">
        <x:f>IF($H35="Sin envio","Sin envio",IF($I35="90 minutos",IF($F35&gt;$G35,"A",IF($G35&gt;$F35,"B","E")),"E"))</x:f>
        <x:v>B</x:v>
      </x:c>
      <x:c r="P35" t="str">
        <x:f>IF($M35="90 minutos",IF($J35&gt;$K35,"A",IF($K35&gt;$J35,"B","E")),"E")</x:f>
        <x:v>B</x:v>
      </x:c>
      <x:c r="Q35" t="str">
        <x:f>IF($H35="Sin envio","No",IF($H35=$L35,"Si","No"))</x:f>
        <x:v>Si</x:v>
      </x:c>
      <x:c r="R35" t="str">
        <x:f>IF(AND($I35=$M35,NOT(AND($I35="Penales",$F35&lt;&gt;$G35))),"Si","No")</x:f>
        <x:v>Si</x:v>
      </x:c>
      <x:c r="S35" t="n">
        <x:f>IF(OR($N35&lt;&gt;"Finalizado",$Q35&lt;&gt;"Si"),0,IF($O35=$P35,Reglas!$B$2,0))</x:f>
        <x:v>5</x:v>
      </x:c>
      <x:c r="T35" t="n">
        <x:f>IF(OR($N35&lt;&gt;"Finalizado",$Q35&lt;&gt;"Si"),0,Reglas!$B$3)</x:f>
        <x:v>3</x:v>
      </x:c>
      <x:c r="U35" t="n">
        <x:f>IF(OR($N35&lt;&gt;"Finalizado",$Q35&lt;&gt;"Si"),0,IF($I35=$M35,Reglas!$B$4,0))</x:f>
        <x:v>2</x:v>
      </x:c>
      <x:c r="V35" t="n">
        <x:f>IF(OR($N35&lt;&gt;"Finalizado",$Q35&lt;&gt;"Si",$R35&lt;&gt;"Si"),0,IF(AND($F35=$J35,$G35=$K35),Reglas!$B$5,0))</x:f>
        <x:v>0</x:v>
      </x:c>
      <x:c r="W35" t="n">
        <x:f>IF(OR($N35&lt;&gt;"Finalizado",$Q35&lt;&gt;"Si",$R35&lt;&gt;"Si"),0,IF($F35-$G35=$J35-$K35,Reglas!$B$6,0))</x:f>
        <x:v>2</x:v>
      </x:c>
      <x:c r="X35" t="n">
        <x:f>IF(OR($N35&lt;&gt;"Finalizado",$Q35&lt;&gt;"Si",$R35&lt;&gt;"Si"),0,IF($F35=$J35,Reglas!$B$7,0))</x:f>
        <x:v>0</x:v>
      </x:c>
      <x:c r="Y35" t="n">
        <x:f>IF(OR($N35&lt;&gt;"Finalizado",$Q35&lt;&gt;"Si",$R35&lt;&gt;"Si"),0,IF($G35=$K35,Reglas!$B$8,0))</x:f>
        <x:v>0</x:v>
      </x:c>
      <x:c r="Z35" t="n">
        <x:f>SUM($S35:$Y35)</x:f>
        <x:v>12</x:v>
      </x:c>
      <x:c r="AA35" t="str">
        <x:f>IF($N35&lt;&gt;"Finalizado","Resultado pendiente",IF($H35="Sin envio","Sin respuesta",IF($Q35&lt;&gt;"Si","No acerto clasificado","OK")))</x:f>
        <x:v>OK</x:v>
      </x:c>
      <x:c r="AB35" t="str">
        <x:v>8vos detalle reconstruido</x:v>
      </x:c>
      <x:c r="AC35" t="n">
        <x:v>12</x:v>
      </x:c>
      <x:c r="AD35" t="n">
        <x:f>$Z35-$AC35</x:f>
        <x:v>0</x:v>
      </x:c>
    </x:row>
    <x:row r="36" ht="15" hidden="0" customHeight="1">
      <x:c r="A36" t="str">
        <x:v>8vos</x:v>
      </x:c>
      <x:c r="B36" t="str">
        <x:v>O2</x:v>
      </x:c>
      <x:c r="C36" t="str">
        <x:v>Arthur</x:v>
      </x:c>
      <x:c r="D36" t="str">
        <x:v>Paraguay</x:v>
      </x:c>
      <x:c r="E36" t="str">
        <x:v>Francia</x:v>
      </x:c>
      <x:c r="F36" t="n">
        <x:v>0</x:v>
      </x:c>
      <x:c r="G36" t="n">
        <x:v>2</x:v>
      </x:c>
      <x:c r="H36" t="str">
        <x:v>Francia</x:v>
      </x:c>
      <x:c r="I36" t="str">
        <x:v>90 minutos</x:v>
      </x:c>
      <x:c r="J36" t="n">
        <x:v>0</x:v>
      </x:c>
      <x:c r="K36" t="n">
        <x:v>1</x:v>
      </x:c>
      <x:c r="L36" t="str">
        <x:v>Francia</x:v>
      </x:c>
      <x:c r="M36" t="str">
        <x:v>90 minutos</x:v>
      </x:c>
      <x:c r="N36" t="str">
        <x:v>Finalizado</x:v>
      </x:c>
      <x:c r="O36" t="str">
        <x:f>IF($H36="Sin envio","Sin envio",IF($I36="90 minutos",IF($F36&gt;$G36,"A",IF($G36&gt;$F36,"B","E")),"E"))</x:f>
        <x:v>B</x:v>
      </x:c>
      <x:c r="P36" t="str">
        <x:f>IF($M36="90 minutos",IF($J36&gt;$K36,"A",IF($K36&gt;$J36,"B","E")),"E")</x:f>
        <x:v>B</x:v>
      </x:c>
      <x:c r="Q36" t="str">
        <x:f>IF($H36="Sin envio","No",IF($H36=$L36,"Si","No"))</x:f>
        <x:v>Si</x:v>
      </x:c>
      <x:c r="R36" t="str">
        <x:f>IF(AND($I36=$M36,NOT(AND($I36="Penales",$F36&lt;&gt;$G36))),"Si","No")</x:f>
        <x:v>Si</x:v>
      </x:c>
      <x:c r="S36" t="n">
        <x:f>IF(OR($N36&lt;&gt;"Finalizado",$Q36&lt;&gt;"Si"),0,IF($O36=$P36,Reglas!$B$2,0))</x:f>
        <x:v>5</x:v>
      </x:c>
      <x:c r="T36" t="n">
        <x:f>IF(OR($N36&lt;&gt;"Finalizado",$Q36&lt;&gt;"Si"),0,Reglas!$B$3)</x:f>
        <x:v>3</x:v>
      </x:c>
      <x:c r="U36" t="n">
        <x:f>IF(OR($N36&lt;&gt;"Finalizado",$Q36&lt;&gt;"Si"),0,IF($I36=$M36,Reglas!$B$4,0))</x:f>
        <x:v>2</x:v>
      </x:c>
      <x:c r="V36" t="n">
        <x:f>IF(OR($N36&lt;&gt;"Finalizado",$Q36&lt;&gt;"Si",$R36&lt;&gt;"Si"),0,IF(AND($F36=$J36,$G36=$K36),Reglas!$B$5,0))</x:f>
        <x:v>0</x:v>
      </x:c>
      <x:c r="W36" t="n">
        <x:f>IF(OR($N36&lt;&gt;"Finalizado",$Q36&lt;&gt;"Si",$R36&lt;&gt;"Si"),0,IF($F36-$G36=$J36-$K36,Reglas!$B$6,0))</x:f>
        <x:v>0</x:v>
      </x:c>
      <x:c r="X36" t="n">
        <x:f>IF(OR($N36&lt;&gt;"Finalizado",$Q36&lt;&gt;"Si",$R36&lt;&gt;"Si"),0,IF($F36=$J36,Reglas!$B$7,0))</x:f>
        <x:v>1</x:v>
      </x:c>
      <x:c r="Y36" t="n">
        <x:f>IF(OR($N36&lt;&gt;"Finalizado",$Q36&lt;&gt;"Si",$R36&lt;&gt;"Si"),0,IF($G36=$K36,Reglas!$B$8,0))</x:f>
        <x:v>0</x:v>
      </x:c>
      <x:c r="Z36" t="n">
        <x:f>SUM($S36:$Y36)</x:f>
        <x:v>11</x:v>
      </x:c>
      <x:c r="AA36" t="str">
        <x:f>IF($N36&lt;&gt;"Finalizado","Resultado pendiente",IF($H36="Sin envio","Sin respuesta",IF($Q36&lt;&gt;"Si","No acerto clasificado","OK")))</x:f>
        <x:v>OK</x:v>
      </x:c>
      <x:c r="AB36" t="str">
        <x:v>8vos detalle reconstruido</x:v>
      </x:c>
      <x:c r="AC36" t="n">
        <x:v>11</x:v>
      </x:c>
      <x:c r="AD36" t="n">
        <x:f>$Z36-$AC36</x:f>
        <x:v>0</x:v>
      </x:c>
    </x:row>
    <x:row r="37" ht="15" hidden="0" customHeight="1">
      <x:c r="A37" t="str">
        <x:v>8vos</x:v>
      </x:c>
      <x:c r="B37" t="str">
        <x:v>O2</x:v>
      </x:c>
      <x:c r="C37" t="str">
        <x:v>José Luis</x:v>
      </x:c>
      <x:c r="D37" t="str">
        <x:v>Paraguay</x:v>
      </x:c>
      <x:c r="E37" t="str">
        <x:v>Francia</x:v>
      </x:c>
      <x:c r="F37"/>
      <x:c r="G37"/>
      <x:c r="H37" t="str">
        <x:v>Sin envio</x:v>
      </x:c>
      <x:c r="I37" t="str">
        <x:v>Sin envio</x:v>
      </x:c>
      <x:c r="J37" t="n">
        <x:v>0</x:v>
      </x:c>
      <x:c r="K37" t="n">
        <x:v>1</x:v>
      </x:c>
      <x:c r="L37" t="str">
        <x:v>Francia</x:v>
      </x:c>
      <x:c r="M37" t="str">
        <x:v>90 minutos</x:v>
      </x:c>
      <x:c r="N37" t="str">
        <x:v>Finalizado</x:v>
      </x:c>
      <x:c r="O37" t="str">
        <x:f>IF($H37="Sin envio","Sin envio",IF($I37="90 minutos",IF($F37&gt;$G37,"A",IF($G37&gt;$F37,"B","E")),"E"))</x:f>
        <x:v>Sin envio</x:v>
      </x:c>
      <x:c r="P37" t="str">
        <x:f>IF($M37="90 minutos",IF($J37&gt;$K37,"A",IF($K37&gt;$J37,"B","E")),"E")</x:f>
        <x:v>B</x:v>
      </x:c>
      <x:c r="Q37" t="str">
        <x:f>IF($H37="Sin envio","No",IF($H37=$L37,"Si","No"))</x:f>
        <x:v>No</x:v>
      </x:c>
      <x:c r="R37" t="str">
        <x:f>IF(AND($I37=$M37,NOT(AND($I37="Penales",$F37&lt;&gt;$G37))),"Si","No")</x:f>
        <x:v>No</x:v>
      </x:c>
      <x:c r="S37" t="n">
        <x:f>IF(OR($N37&lt;&gt;"Finalizado",$Q37&lt;&gt;"Si"),0,IF($O37=$P37,Reglas!$B$2,0))</x:f>
        <x:v>0</x:v>
      </x:c>
      <x:c r="T37" t="n">
        <x:f>IF(OR($N37&lt;&gt;"Finalizado",$Q37&lt;&gt;"Si"),0,Reglas!$B$3)</x:f>
        <x:v>0</x:v>
      </x:c>
      <x:c r="U37" t="n">
        <x:f>IF(OR($N37&lt;&gt;"Finalizado",$Q37&lt;&gt;"Si"),0,IF($I37=$M37,Reglas!$B$4,0))</x:f>
        <x:v>0</x:v>
      </x:c>
      <x:c r="V37" t="n">
        <x:f>IF(OR($N37&lt;&gt;"Finalizado",$Q37&lt;&gt;"Si",$R37&lt;&gt;"Si"),0,IF(AND($F37=$J37,$G37=$K37),Reglas!$B$5,0))</x:f>
        <x:v>0</x:v>
      </x:c>
      <x:c r="W37" t="n">
        <x:f>IF(OR($N37&lt;&gt;"Finalizado",$Q37&lt;&gt;"Si",$R37&lt;&gt;"Si"),0,IF($F37-$G37=$J37-$K37,Reglas!$B$6,0))</x:f>
        <x:v>0</x:v>
      </x:c>
      <x:c r="X37" t="n">
        <x:f>IF(OR($N37&lt;&gt;"Finalizado",$Q37&lt;&gt;"Si",$R37&lt;&gt;"Si"),0,IF($F37=$J37,Reglas!$B$7,0))</x:f>
        <x:v>0</x:v>
      </x:c>
      <x:c r="Y37" t="n">
        <x:f>IF(OR($N37&lt;&gt;"Finalizado",$Q37&lt;&gt;"Si",$R37&lt;&gt;"Si"),0,IF($G37=$K37,Reglas!$B$8,0))</x:f>
        <x:v>0</x:v>
      </x:c>
      <x:c r="Z37" t="n">
        <x:f>SUM($S37:$Y37)</x:f>
        <x:v>0</x:v>
      </x:c>
      <x:c r="AA37" t="str">
        <x:f>IF($N37&lt;&gt;"Finalizado","Resultado pendiente",IF($H37="Sin envio","Sin respuesta",IF($Q37&lt;&gt;"Si","No acerto clasificado","OK")))</x:f>
        <x:v>Sin respuesta</x:v>
      </x:c>
      <x:c r="AB37" t="str">
        <x:v>8vos detalle reconstruido</x:v>
      </x:c>
      <x:c r="AC37" t="n">
        <x:v>0</x:v>
      </x:c>
      <x:c r="AD37" t="n">
        <x:f>$Z37-$AC37</x:f>
        <x:v>0</x:v>
      </x:c>
    </x:row>
    <x:row r="38" ht="15" hidden="0" customHeight="1">
      <x:c r="A38" t="str">
        <x:v>8vos</x:v>
      </x:c>
      <x:c r="B38" t="str">
        <x:v>O2</x:v>
      </x:c>
      <x:c r="C38" t="str">
        <x:v>Marcelo</x:v>
      </x:c>
      <x:c r="D38" t="str">
        <x:v>Paraguay</x:v>
      </x:c>
      <x:c r="E38" t="str">
        <x:v>Francia</x:v>
      </x:c>
      <x:c r="F38"/>
      <x:c r="G38"/>
      <x:c r="H38" t="str">
        <x:v>Sin envio</x:v>
      </x:c>
      <x:c r="I38" t="str">
        <x:v>Sin envio</x:v>
      </x:c>
      <x:c r="J38" t="n">
        <x:v>0</x:v>
      </x:c>
      <x:c r="K38" t="n">
        <x:v>1</x:v>
      </x:c>
      <x:c r="L38" t="str">
        <x:v>Francia</x:v>
      </x:c>
      <x:c r="M38" t="str">
        <x:v>90 minutos</x:v>
      </x:c>
      <x:c r="N38" t="str">
        <x:v>Finalizado</x:v>
      </x:c>
      <x:c r="O38" t="str">
        <x:f>IF($H38="Sin envio","Sin envio",IF($I38="90 minutos",IF($F38&gt;$G38,"A",IF($G38&gt;$F38,"B","E")),"E"))</x:f>
        <x:v>Sin envio</x:v>
      </x:c>
      <x:c r="P38" t="str">
        <x:f>IF($M38="90 minutos",IF($J38&gt;$K38,"A",IF($K38&gt;$J38,"B","E")),"E")</x:f>
        <x:v>B</x:v>
      </x:c>
      <x:c r="Q38" t="str">
        <x:f>IF($H38="Sin envio","No",IF($H38=$L38,"Si","No"))</x:f>
        <x:v>No</x:v>
      </x:c>
      <x:c r="R38" t="str">
        <x:f>IF(AND($I38=$M38,NOT(AND($I38="Penales",$F38&lt;&gt;$G38))),"Si","No")</x:f>
        <x:v>No</x:v>
      </x:c>
      <x:c r="S38" t="n">
        <x:f>IF(OR($N38&lt;&gt;"Finalizado",$Q38&lt;&gt;"Si"),0,IF($O38=$P38,Reglas!$B$2,0))</x:f>
        <x:v>0</x:v>
      </x:c>
      <x:c r="T38" t="n">
        <x:f>IF(OR($N38&lt;&gt;"Finalizado",$Q38&lt;&gt;"Si"),0,Reglas!$B$3)</x:f>
        <x:v>0</x:v>
      </x:c>
      <x:c r="U38" t="n">
        <x:f>IF(OR($N38&lt;&gt;"Finalizado",$Q38&lt;&gt;"Si"),0,IF($I38=$M38,Reglas!$B$4,0))</x:f>
        <x:v>0</x:v>
      </x:c>
      <x:c r="V38" t="n">
        <x:f>IF(OR($N38&lt;&gt;"Finalizado",$Q38&lt;&gt;"Si",$R38&lt;&gt;"Si"),0,IF(AND($F38=$J38,$G38=$K38),Reglas!$B$5,0))</x:f>
        <x:v>0</x:v>
      </x:c>
      <x:c r="W38" t="n">
        <x:f>IF(OR($N38&lt;&gt;"Finalizado",$Q38&lt;&gt;"Si",$R38&lt;&gt;"Si"),0,IF($F38-$G38=$J38-$K38,Reglas!$B$6,0))</x:f>
        <x:v>0</x:v>
      </x:c>
      <x:c r="X38" t="n">
        <x:f>IF(OR($N38&lt;&gt;"Finalizado",$Q38&lt;&gt;"Si",$R38&lt;&gt;"Si"),0,IF($F38=$J38,Reglas!$B$7,0))</x:f>
        <x:v>0</x:v>
      </x:c>
      <x:c r="Y38" t="n">
        <x:f>IF(OR($N38&lt;&gt;"Finalizado",$Q38&lt;&gt;"Si",$R38&lt;&gt;"Si"),0,IF($G38=$K38,Reglas!$B$8,0))</x:f>
        <x:v>0</x:v>
      </x:c>
      <x:c r="Z38" t="n">
        <x:f>SUM($S38:$Y38)</x:f>
        <x:v>0</x:v>
      </x:c>
      <x:c r="AA38" t="str">
        <x:f>IF($N38&lt;&gt;"Finalizado","Resultado pendiente",IF($H38="Sin envio","Sin respuesta",IF($Q38&lt;&gt;"Si","No acerto clasificado","OK")))</x:f>
        <x:v>Sin respuesta</x:v>
      </x:c>
      <x:c r="AB38" t="str">
        <x:v>8vos detalle reconstruido</x:v>
      </x:c>
      <x:c r="AC38" t="n">
        <x:v>0</x:v>
      </x:c>
      <x:c r="AD38" t="n">
        <x:f>$Z38-$AC38</x:f>
        <x:v>0</x:v>
      </x:c>
    </x:row>
    <x:row r="39" ht="15" hidden="0" customHeight="1">
      <x:c r="A39" t="str">
        <x:v>8vos</x:v>
      </x:c>
      <x:c r="B39" t="str">
        <x:v>O2</x:v>
      </x:c>
      <x:c r="C39" t="str">
        <x:v>Anny</x:v>
      </x:c>
      <x:c r="D39" t="str">
        <x:v>Paraguay</x:v>
      </x:c>
      <x:c r="E39" t="str">
        <x:v>Francia</x:v>
      </x:c>
      <x:c r="F39" t="n">
        <x:v>0</x:v>
      </x:c>
      <x:c r="G39" t="n">
        <x:v>3</x:v>
      </x:c>
      <x:c r="H39" t="str">
        <x:v>Francia</x:v>
      </x:c>
      <x:c r="I39" t="str">
        <x:v>90 minutos</x:v>
      </x:c>
      <x:c r="J39" t="n">
        <x:v>0</x:v>
      </x:c>
      <x:c r="K39" t="n">
        <x:v>1</x:v>
      </x:c>
      <x:c r="L39" t="str">
        <x:v>Francia</x:v>
      </x:c>
      <x:c r="M39" t="str">
        <x:v>90 minutos</x:v>
      </x:c>
      <x:c r="N39" t="str">
        <x:v>Finalizado</x:v>
      </x:c>
      <x:c r="O39" t="str">
        <x:f>IF($H39="Sin envio","Sin envio",IF($I39="90 minutos",IF($F39&gt;$G39,"A",IF($G39&gt;$F39,"B","E")),"E"))</x:f>
        <x:v>B</x:v>
      </x:c>
      <x:c r="P39" t="str">
        <x:f>IF($M39="90 minutos",IF($J39&gt;$K39,"A",IF($K39&gt;$J39,"B","E")),"E")</x:f>
        <x:v>B</x:v>
      </x:c>
      <x:c r="Q39" t="str">
        <x:f>IF($H39="Sin envio","No",IF($H39=$L39,"Si","No"))</x:f>
        <x:v>Si</x:v>
      </x:c>
      <x:c r="R39" t="str">
        <x:f>IF(AND($I39=$M39,NOT(AND($I39="Penales",$F39&lt;&gt;$G39))),"Si","No")</x:f>
        <x:v>Si</x:v>
      </x:c>
      <x:c r="S39" t="n">
        <x:f>IF(OR($N39&lt;&gt;"Finalizado",$Q39&lt;&gt;"Si"),0,IF($O39=$P39,Reglas!$B$2,0))</x:f>
        <x:v>5</x:v>
      </x:c>
      <x:c r="T39" t="n">
        <x:f>IF(OR($N39&lt;&gt;"Finalizado",$Q39&lt;&gt;"Si"),0,Reglas!$B$3)</x:f>
        <x:v>3</x:v>
      </x:c>
      <x:c r="U39" t="n">
        <x:f>IF(OR($N39&lt;&gt;"Finalizado",$Q39&lt;&gt;"Si"),0,IF($I39=$M39,Reglas!$B$4,0))</x:f>
        <x:v>2</x:v>
      </x:c>
      <x:c r="V39" t="n">
        <x:f>IF(OR($N39&lt;&gt;"Finalizado",$Q39&lt;&gt;"Si",$R39&lt;&gt;"Si"),0,IF(AND($F39=$J39,$G39=$K39),Reglas!$B$5,0))</x:f>
        <x:v>0</x:v>
      </x:c>
      <x:c r="W39" t="n">
        <x:f>IF(OR($N39&lt;&gt;"Finalizado",$Q39&lt;&gt;"Si",$R39&lt;&gt;"Si"),0,IF($F39-$G39=$J39-$K39,Reglas!$B$6,0))</x:f>
        <x:v>0</x:v>
      </x:c>
      <x:c r="X39" t="n">
        <x:f>IF(OR($N39&lt;&gt;"Finalizado",$Q39&lt;&gt;"Si",$R39&lt;&gt;"Si"),0,IF($F39=$J39,Reglas!$B$7,0))</x:f>
        <x:v>1</x:v>
      </x:c>
      <x:c r="Y39" t="n">
        <x:f>IF(OR($N39&lt;&gt;"Finalizado",$Q39&lt;&gt;"Si",$R39&lt;&gt;"Si"),0,IF($G39=$K39,Reglas!$B$8,0))</x:f>
        <x:v>0</x:v>
      </x:c>
      <x:c r="Z39" t="n">
        <x:f>SUM($S39:$Y39)</x:f>
        <x:v>11</x:v>
      </x:c>
      <x:c r="AA39" t="str">
        <x:f>IF($N39&lt;&gt;"Finalizado","Resultado pendiente",IF($H39="Sin envio","Sin respuesta",IF($Q39&lt;&gt;"Si","No acerto clasificado","OK")))</x:f>
        <x:v>OK</x:v>
      </x:c>
      <x:c r="AB39" t="str">
        <x:v>8vos detalle reconstruido</x:v>
      </x:c>
      <x:c r="AC39" t="n">
        <x:v>11</x:v>
      </x:c>
      <x:c r="AD39" t="n">
        <x:f>$Z39-$AC39</x:f>
        <x:v>0</x:v>
      </x:c>
    </x:row>
    <x:row r="40" ht="15" hidden="0" customHeight="1">
      <x:c r="A40" t="str">
        <x:v>8vos</x:v>
      </x:c>
      <x:c r="B40" t="str">
        <x:v>O2</x:v>
      </x:c>
      <x:c r="C40" t="str">
        <x:v>Moisés</x:v>
      </x:c>
      <x:c r="D40" t="str">
        <x:v>Paraguay</x:v>
      </x:c>
      <x:c r="E40" t="str">
        <x:v>Francia</x:v>
      </x:c>
      <x:c r="F40" t="n">
        <x:v>1</x:v>
      </x:c>
      <x:c r="G40" t="n">
        <x:v>3</x:v>
      </x:c>
      <x:c r="H40" t="str">
        <x:v>Francia</x:v>
      </x:c>
      <x:c r="I40" t="str">
        <x:v>90 minutos</x:v>
      </x:c>
      <x:c r="J40" t="n">
        <x:v>0</x:v>
      </x:c>
      <x:c r="K40" t="n">
        <x:v>1</x:v>
      </x:c>
      <x:c r="L40" t="str">
        <x:v>Francia</x:v>
      </x:c>
      <x:c r="M40" t="str">
        <x:v>90 minutos</x:v>
      </x:c>
      <x:c r="N40" t="str">
        <x:v>Finalizado</x:v>
      </x:c>
      <x:c r="O40" t="str">
        <x:f>IF($H40="Sin envio","Sin envio",IF($I40="90 minutos",IF($F40&gt;$G40,"A",IF($G40&gt;$F40,"B","E")),"E"))</x:f>
        <x:v>B</x:v>
      </x:c>
      <x:c r="P40" t="str">
        <x:f>IF($M40="90 minutos",IF($J40&gt;$K40,"A",IF($K40&gt;$J40,"B","E")),"E")</x:f>
        <x:v>B</x:v>
      </x:c>
      <x:c r="Q40" t="str">
        <x:f>IF($H40="Sin envio","No",IF($H40=$L40,"Si","No"))</x:f>
        <x:v>Si</x:v>
      </x:c>
      <x:c r="R40" t="str">
        <x:f>IF(AND($I40=$M40,NOT(AND($I40="Penales",$F40&lt;&gt;$G40))),"Si","No")</x:f>
        <x:v>Si</x:v>
      </x:c>
      <x:c r="S40" t="n">
        <x:f>IF(OR($N40&lt;&gt;"Finalizado",$Q40&lt;&gt;"Si"),0,IF($O40=$P40,Reglas!$B$2,0))</x:f>
        <x:v>5</x:v>
      </x:c>
      <x:c r="T40" t="n">
        <x:f>IF(OR($N40&lt;&gt;"Finalizado",$Q40&lt;&gt;"Si"),0,Reglas!$B$3)</x:f>
        <x:v>3</x:v>
      </x:c>
      <x:c r="U40" t="n">
        <x:f>IF(OR($N40&lt;&gt;"Finalizado",$Q40&lt;&gt;"Si"),0,IF($I40=$M40,Reglas!$B$4,0))</x:f>
        <x:v>2</x:v>
      </x:c>
      <x:c r="V40" t="n">
        <x:f>IF(OR($N40&lt;&gt;"Finalizado",$Q40&lt;&gt;"Si",$R40&lt;&gt;"Si"),0,IF(AND($F40=$J40,$G40=$K40),Reglas!$B$5,0))</x:f>
        <x:v>0</x:v>
      </x:c>
      <x:c r="W40" t="n">
        <x:f>IF(OR($N40&lt;&gt;"Finalizado",$Q40&lt;&gt;"Si",$R40&lt;&gt;"Si"),0,IF($F40-$G40=$J40-$K40,Reglas!$B$6,0))</x:f>
        <x:v>0</x:v>
      </x:c>
      <x:c r="X40" t="n">
        <x:f>IF(OR($N40&lt;&gt;"Finalizado",$Q40&lt;&gt;"Si",$R40&lt;&gt;"Si"),0,IF($F40=$J40,Reglas!$B$7,0))</x:f>
        <x:v>0</x:v>
      </x:c>
      <x:c r="Y40" t="n">
        <x:f>IF(OR($N40&lt;&gt;"Finalizado",$Q40&lt;&gt;"Si",$R40&lt;&gt;"Si"),0,IF($G40=$K40,Reglas!$B$8,0))</x:f>
        <x:v>0</x:v>
      </x:c>
      <x:c r="Z40" t="n">
        <x:f>SUM($S40:$Y40)</x:f>
        <x:v>10</x:v>
      </x:c>
      <x:c r="AA40" t="str">
        <x:f>IF($N40&lt;&gt;"Finalizado","Resultado pendiente",IF($H40="Sin envio","Sin respuesta",IF($Q40&lt;&gt;"Si","No acerto clasificado","OK")))</x:f>
        <x:v>OK</x:v>
      </x:c>
      <x:c r="AB40" t="str">
        <x:v>8vos detalle reconstruido</x:v>
      </x:c>
      <x:c r="AC40" t="n">
        <x:v>10</x:v>
      </x:c>
      <x:c r="AD40" t="n">
        <x:f>$Z40-$AC40</x:f>
        <x:v>0</x:v>
      </x:c>
    </x:row>
    <x:row r="41" ht="15" hidden="0" customHeight="1">
      <x:c r="A41" t="str">
        <x:v>8vos</x:v>
      </x:c>
      <x:c r="B41" t="str">
        <x:v>O2</x:v>
      </x:c>
      <x:c r="C41" t="str">
        <x:v>Alex</x:v>
      </x:c>
      <x:c r="D41" t="str">
        <x:v>Paraguay</x:v>
      </x:c>
      <x:c r="E41" t="str">
        <x:v>Francia</x:v>
      </x:c>
      <x:c r="F41" t="n">
        <x:v>1</x:v>
      </x:c>
      <x:c r="G41" t="n">
        <x:v>3</x:v>
      </x:c>
      <x:c r="H41" t="str">
        <x:v>Francia</x:v>
      </x:c>
      <x:c r="I41" t="str">
        <x:v>90 minutos</x:v>
      </x:c>
      <x:c r="J41" t="n">
        <x:v>0</x:v>
      </x:c>
      <x:c r="K41" t="n">
        <x:v>1</x:v>
      </x:c>
      <x:c r="L41" t="str">
        <x:v>Francia</x:v>
      </x:c>
      <x:c r="M41" t="str">
        <x:v>90 minutos</x:v>
      </x:c>
      <x:c r="N41" t="str">
        <x:v>Finalizado</x:v>
      </x:c>
      <x:c r="O41" t="str">
        <x:f>IF($H41="Sin envio","Sin envio",IF($I41="90 minutos",IF($F41&gt;$G41,"A",IF($G41&gt;$F41,"B","E")),"E"))</x:f>
        <x:v>B</x:v>
      </x:c>
      <x:c r="P41" t="str">
        <x:f>IF($M41="90 minutos",IF($J41&gt;$K41,"A",IF($K41&gt;$J41,"B","E")),"E")</x:f>
        <x:v>B</x:v>
      </x:c>
      <x:c r="Q41" t="str">
        <x:f>IF($H41="Sin envio","No",IF($H41=$L41,"Si","No"))</x:f>
        <x:v>Si</x:v>
      </x:c>
      <x:c r="R41" t="str">
        <x:f>IF(AND($I41=$M41,NOT(AND($I41="Penales",$F41&lt;&gt;$G41))),"Si","No")</x:f>
        <x:v>Si</x:v>
      </x:c>
      <x:c r="S41" t="n">
        <x:f>IF(OR($N41&lt;&gt;"Finalizado",$Q41&lt;&gt;"Si"),0,IF($O41=$P41,Reglas!$B$2,0))</x:f>
        <x:v>5</x:v>
      </x:c>
      <x:c r="T41" t="n">
        <x:f>IF(OR($N41&lt;&gt;"Finalizado",$Q41&lt;&gt;"Si"),0,Reglas!$B$3)</x:f>
        <x:v>3</x:v>
      </x:c>
      <x:c r="U41" t="n">
        <x:f>IF(OR($N41&lt;&gt;"Finalizado",$Q41&lt;&gt;"Si"),0,IF($I41=$M41,Reglas!$B$4,0))</x:f>
        <x:v>2</x:v>
      </x:c>
      <x:c r="V41" t="n">
        <x:f>IF(OR($N41&lt;&gt;"Finalizado",$Q41&lt;&gt;"Si",$R41&lt;&gt;"Si"),0,IF(AND($F41=$J41,$G41=$K41),Reglas!$B$5,0))</x:f>
        <x:v>0</x:v>
      </x:c>
      <x:c r="W41" t="n">
        <x:f>IF(OR($N41&lt;&gt;"Finalizado",$Q41&lt;&gt;"Si",$R41&lt;&gt;"Si"),0,IF($F41-$G41=$J41-$K41,Reglas!$B$6,0))</x:f>
        <x:v>0</x:v>
      </x:c>
      <x:c r="X41" t="n">
        <x:f>IF(OR($N41&lt;&gt;"Finalizado",$Q41&lt;&gt;"Si",$R41&lt;&gt;"Si"),0,IF($F41=$J41,Reglas!$B$7,0))</x:f>
        <x:v>0</x:v>
      </x:c>
      <x:c r="Y41" t="n">
        <x:f>IF(OR($N41&lt;&gt;"Finalizado",$Q41&lt;&gt;"Si",$R41&lt;&gt;"Si"),0,IF($G41=$K41,Reglas!$B$8,0))</x:f>
        <x:v>0</x:v>
      </x:c>
      <x:c r="Z41" t="n">
        <x:f>SUM($S41:$Y41)</x:f>
        <x:v>10</x:v>
      </x:c>
      <x:c r="AA41" t="str">
        <x:f>IF($N41&lt;&gt;"Finalizado","Resultado pendiente",IF($H41="Sin envio","Sin respuesta",IF($Q41&lt;&gt;"Si","No acerto clasificado","OK")))</x:f>
        <x:v>OK</x:v>
      </x:c>
      <x:c r="AB41" t="str">
        <x:v>8vos detalle reconstruido</x:v>
      </x:c>
      <x:c r="AC41" t="n">
        <x:v>10</x:v>
      </x:c>
      <x:c r="AD41" t="n">
        <x:f>$Z41-$AC41</x:f>
        <x:v>0</x:v>
      </x:c>
    </x:row>
    <x:row r="42" ht="15" hidden="0" customHeight="1">
      <x:c r="A42" t="str">
        <x:v>8vos</x:v>
      </x:c>
      <x:c r="B42" t="str">
        <x:v>O2</x:v>
      </x:c>
      <x:c r="C42" t="str">
        <x:v>Omar</x:v>
      </x:c>
      <x:c r="D42" t="str">
        <x:v>Paraguay</x:v>
      </x:c>
      <x:c r="E42" t="str">
        <x:v>Francia</x:v>
      </x:c>
      <x:c r="F42"/>
      <x:c r="G42"/>
      <x:c r="H42" t="str">
        <x:v>Sin envio</x:v>
      </x:c>
      <x:c r="I42" t="str">
        <x:v>Sin envio</x:v>
      </x:c>
      <x:c r="J42" t="n">
        <x:v>0</x:v>
      </x:c>
      <x:c r="K42" t="n">
        <x:v>1</x:v>
      </x:c>
      <x:c r="L42" t="str">
        <x:v>Francia</x:v>
      </x:c>
      <x:c r="M42" t="str">
        <x:v>90 minutos</x:v>
      </x:c>
      <x:c r="N42" t="str">
        <x:v>Finalizado</x:v>
      </x:c>
      <x:c r="O42" t="str">
        <x:f>IF($H42="Sin envio","Sin envio",IF($I42="90 minutos",IF($F42&gt;$G42,"A",IF($G42&gt;$F42,"B","E")),"E"))</x:f>
        <x:v>Sin envio</x:v>
      </x:c>
      <x:c r="P42" t="str">
        <x:f>IF($M42="90 minutos",IF($J42&gt;$K42,"A",IF($K42&gt;$J42,"B","E")),"E")</x:f>
        <x:v>B</x:v>
      </x:c>
      <x:c r="Q42" t="str">
        <x:f>IF($H42="Sin envio","No",IF($H42=$L42,"Si","No"))</x:f>
        <x:v>No</x:v>
      </x:c>
      <x:c r="R42" t="str">
        <x:f>IF(AND($I42=$M42,NOT(AND($I42="Penales",$F42&lt;&gt;$G42))),"Si","No")</x:f>
        <x:v>No</x:v>
      </x:c>
      <x:c r="S42" t="n">
        <x:f>IF(OR($N42&lt;&gt;"Finalizado",$Q42&lt;&gt;"Si"),0,IF($O42=$P42,Reglas!$B$2,0))</x:f>
        <x:v>0</x:v>
      </x:c>
      <x:c r="T42" t="n">
        <x:f>IF(OR($N42&lt;&gt;"Finalizado",$Q42&lt;&gt;"Si"),0,Reglas!$B$3)</x:f>
        <x:v>0</x:v>
      </x:c>
      <x:c r="U42" t="n">
        <x:f>IF(OR($N42&lt;&gt;"Finalizado",$Q42&lt;&gt;"Si"),0,IF($I42=$M42,Reglas!$B$4,0))</x:f>
        <x:v>0</x:v>
      </x:c>
      <x:c r="V42" t="n">
        <x:f>IF(OR($N42&lt;&gt;"Finalizado",$Q42&lt;&gt;"Si",$R42&lt;&gt;"Si"),0,IF(AND($F42=$J42,$G42=$K42),Reglas!$B$5,0))</x:f>
        <x:v>0</x:v>
      </x:c>
      <x:c r="W42" t="n">
        <x:f>IF(OR($N42&lt;&gt;"Finalizado",$Q42&lt;&gt;"Si",$R42&lt;&gt;"Si"),0,IF($F42-$G42=$J42-$K42,Reglas!$B$6,0))</x:f>
        <x:v>0</x:v>
      </x:c>
      <x:c r="X42" t="n">
        <x:f>IF(OR($N42&lt;&gt;"Finalizado",$Q42&lt;&gt;"Si",$R42&lt;&gt;"Si"),0,IF($F42=$J42,Reglas!$B$7,0))</x:f>
        <x:v>0</x:v>
      </x:c>
      <x:c r="Y42" t="n">
        <x:f>IF(OR($N42&lt;&gt;"Finalizado",$Q42&lt;&gt;"Si",$R42&lt;&gt;"Si"),0,IF($G42=$K42,Reglas!$B$8,0))</x:f>
        <x:v>0</x:v>
      </x:c>
      <x:c r="Z42" t="n">
        <x:f>SUM($S42:$Y42)</x:f>
        <x:v>0</x:v>
      </x:c>
      <x:c r="AA42" t="str">
        <x:f>IF($N42&lt;&gt;"Finalizado","Resultado pendiente",IF($H42="Sin envio","Sin respuesta",IF($Q42&lt;&gt;"Si","No acerto clasificado","OK")))</x:f>
        <x:v>Sin respuesta</x:v>
      </x:c>
      <x:c r="AB42" t="str">
        <x:v>8vos detalle reconstruido</x:v>
      </x:c>
      <x:c r="AC42" t="n">
        <x:v>0</x:v>
      </x:c>
      <x:c r="AD42" t="n">
        <x:f>$Z42-$AC42</x:f>
        <x:v>0</x:v>
      </x:c>
    </x:row>
    <x:row r="43" ht="15" hidden="0" customHeight="1">
      <x:c r="A43" t="str">
        <x:v>8vos</x:v>
      </x:c>
      <x:c r="B43" t="str">
        <x:v>O2</x:v>
      </x:c>
      <x:c r="C43" t="str">
        <x:v>Fernando</x:v>
      </x:c>
      <x:c r="D43" t="str">
        <x:v>Paraguay</x:v>
      </x:c>
      <x:c r="E43" t="str">
        <x:v>Francia</x:v>
      </x:c>
      <x:c r="F43" t="n">
        <x:v>1</x:v>
      </x:c>
      <x:c r="G43" t="n">
        <x:v>1</x:v>
      </x:c>
      <x:c r="H43" t="str">
        <x:v>Paraguay</x:v>
      </x:c>
      <x:c r="I43" t="str">
        <x:v>Penales</x:v>
      </x:c>
      <x:c r="J43" t="n">
        <x:v>0</x:v>
      </x:c>
      <x:c r="K43" t="n">
        <x:v>1</x:v>
      </x:c>
      <x:c r="L43" t="str">
        <x:v>Francia</x:v>
      </x:c>
      <x:c r="M43" t="str">
        <x:v>90 minutos</x:v>
      </x:c>
      <x:c r="N43" t="str">
        <x:v>Finalizado</x:v>
      </x:c>
      <x:c r="O43" t="str">
        <x:f>IF($H43="Sin envio","Sin envio",IF($I43="90 minutos",IF($F43&gt;$G43,"A",IF($G43&gt;$F43,"B","E")),"E"))</x:f>
        <x:v>E</x:v>
      </x:c>
      <x:c r="P43" t="str">
        <x:f>IF($M43="90 minutos",IF($J43&gt;$K43,"A",IF($K43&gt;$J43,"B","E")),"E")</x:f>
        <x:v>B</x:v>
      </x:c>
      <x:c r="Q43" t="str">
        <x:f>IF($H43="Sin envio","No",IF($H43=$L43,"Si","No"))</x:f>
        <x:v>No</x:v>
      </x:c>
      <x:c r="R43" t="str">
        <x:f>IF(AND($I43=$M43,NOT(AND($I43="Penales",$F43&lt;&gt;$G43))),"Si","No")</x:f>
        <x:v>No</x:v>
      </x:c>
      <x:c r="S43" t="n">
        <x:f>IF(OR($N43&lt;&gt;"Finalizado",$Q43&lt;&gt;"Si"),0,IF($O43=$P43,Reglas!$B$2,0))</x:f>
        <x:v>0</x:v>
      </x:c>
      <x:c r="T43" t="n">
        <x:f>IF(OR($N43&lt;&gt;"Finalizado",$Q43&lt;&gt;"Si"),0,Reglas!$B$3)</x:f>
        <x:v>0</x:v>
      </x:c>
      <x:c r="U43" t="n">
        <x:f>IF(OR($N43&lt;&gt;"Finalizado",$Q43&lt;&gt;"Si"),0,IF($I43=$M43,Reglas!$B$4,0))</x:f>
        <x:v>0</x:v>
      </x:c>
      <x:c r="V43" t="n">
        <x:f>IF(OR($N43&lt;&gt;"Finalizado",$Q43&lt;&gt;"Si",$R43&lt;&gt;"Si"),0,IF(AND($F43=$J43,$G43=$K43),Reglas!$B$5,0))</x:f>
        <x:v>0</x:v>
      </x:c>
      <x:c r="W43" t="n">
        <x:f>IF(OR($N43&lt;&gt;"Finalizado",$Q43&lt;&gt;"Si",$R43&lt;&gt;"Si"),0,IF($F43-$G43=$J43-$K43,Reglas!$B$6,0))</x:f>
        <x:v>0</x:v>
      </x:c>
      <x:c r="X43" t="n">
        <x:f>IF(OR($N43&lt;&gt;"Finalizado",$Q43&lt;&gt;"Si",$R43&lt;&gt;"Si"),0,IF($F43=$J43,Reglas!$B$7,0))</x:f>
        <x:v>0</x:v>
      </x:c>
      <x:c r="Y43" t="n">
        <x:f>IF(OR($N43&lt;&gt;"Finalizado",$Q43&lt;&gt;"Si",$R43&lt;&gt;"Si"),0,IF($G43=$K43,Reglas!$B$8,0))</x:f>
        <x:v>0</x:v>
      </x:c>
      <x:c r="Z43" t="n">
        <x:f>SUM($S43:$Y43)</x:f>
        <x:v>0</x:v>
      </x:c>
      <x:c r="AA43" t="str">
        <x:f>IF($N43&lt;&gt;"Finalizado","Resultado pendiente",IF($H43="Sin envio","Sin respuesta",IF($Q43&lt;&gt;"Si","No acerto clasificado","OK")))</x:f>
        <x:v>No acerto clasificado</x:v>
      </x:c>
      <x:c r="AB43" t="str">
        <x:v>8vos detalle reconstruido</x:v>
      </x:c>
      <x:c r="AC43" t="n">
        <x:v>0</x:v>
      </x:c>
      <x:c r="AD43" t="n">
        <x:f>$Z43-$AC43</x:f>
        <x:v>0</x:v>
      </x:c>
    </x:row>
    <x:row r="44" ht="15" hidden="0" customHeight="1">
      <x:c r="A44" t="str">
        <x:v>8vos</x:v>
      </x:c>
      <x:c r="B44" t="str">
        <x:v>O2</x:v>
      </x:c>
      <x:c r="C44" t="str">
        <x:v>Diana</x:v>
      </x:c>
      <x:c r="D44" t="str">
        <x:v>Paraguay</x:v>
      </x:c>
      <x:c r="E44" t="str">
        <x:v>Francia</x:v>
      </x:c>
      <x:c r="F44" t="n">
        <x:v>0</x:v>
      </x:c>
      <x:c r="G44" t="n">
        <x:v>0</x:v>
      </x:c>
      <x:c r="H44" t="str">
        <x:v>Paraguay</x:v>
      </x:c>
      <x:c r="I44" t="str">
        <x:v>Penales</x:v>
      </x:c>
      <x:c r="J44" t="n">
        <x:v>0</x:v>
      </x:c>
      <x:c r="K44" t="n">
        <x:v>1</x:v>
      </x:c>
      <x:c r="L44" t="str">
        <x:v>Francia</x:v>
      </x:c>
      <x:c r="M44" t="str">
        <x:v>90 minutos</x:v>
      </x:c>
      <x:c r="N44" t="str">
        <x:v>Finalizado</x:v>
      </x:c>
      <x:c r="O44" t="str">
        <x:f>IF($H44="Sin envio","Sin envio",IF($I44="90 minutos",IF($F44&gt;$G44,"A",IF($G44&gt;$F44,"B","E")),"E"))</x:f>
        <x:v>E</x:v>
      </x:c>
      <x:c r="P44" t="str">
        <x:f>IF($M44="90 minutos",IF($J44&gt;$K44,"A",IF($K44&gt;$J44,"B","E")),"E")</x:f>
        <x:v>B</x:v>
      </x:c>
      <x:c r="Q44" t="str">
        <x:f>IF($H44="Sin envio","No",IF($H44=$L44,"Si","No"))</x:f>
        <x:v>No</x:v>
      </x:c>
      <x:c r="R44" t="str">
        <x:f>IF(AND($I44=$M44,NOT(AND($I44="Penales",$F44&lt;&gt;$G44))),"Si","No")</x:f>
        <x:v>No</x:v>
      </x:c>
      <x:c r="S44" t="n">
        <x:f>IF(OR($N44&lt;&gt;"Finalizado",$Q44&lt;&gt;"Si"),0,IF($O44=$P44,Reglas!$B$2,0))</x:f>
        <x:v>0</x:v>
      </x:c>
      <x:c r="T44" t="n">
        <x:f>IF(OR($N44&lt;&gt;"Finalizado",$Q44&lt;&gt;"Si"),0,Reglas!$B$3)</x:f>
        <x:v>0</x:v>
      </x:c>
      <x:c r="U44" t="n">
        <x:f>IF(OR($N44&lt;&gt;"Finalizado",$Q44&lt;&gt;"Si"),0,IF($I44=$M44,Reglas!$B$4,0))</x:f>
        <x:v>0</x:v>
      </x:c>
      <x:c r="V44" t="n">
        <x:f>IF(OR($N44&lt;&gt;"Finalizado",$Q44&lt;&gt;"Si",$R44&lt;&gt;"Si"),0,IF(AND($F44=$J44,$G44=$K44),Reglas!$B$5,0))</x:f>
        <x:v>0</x:v>
      </x:c>
      <x:c r="W44" t="n">
        <x:f>IF(OR($N44&lt;&gt;"Finalizado",$Q44&lt;&gt;"Si",$R44&lt;&gt;"Si"),0,IF($F44-$G44=$J44-$K44,Reglas!$B$6,0))</x:f>
        <x:v>0</x:v>
      </x:c>
      <x:c r="X44" t="n">
        <x:f>IF(OR($N44&lt;&gt;"Finalizado",$Q44&lt;&gt;"Si",$R44&lt;&gt;"Si"),0,IF($F44=$J44,Reglas!$B$7,0))</x:f>
        <x:v>0</x:v>
      </x:c>
      <x:c r="Y44" t="n">
        <x:f>IF(OR($N44&lt;&gt;"Finalizado",$Q44&lt;&gt;"Si",$R44&lt;&gt;"Si"),0,IF($G44=$K44,Reglas!$B$8,0))</x:f>
        <x:v>0</x:v>
      </x:c>
      <x:c r="Z44" t="n">
        <x:f>SUM($S44:$Y44)</x:f>
        <x:v>0</x:v>
      </x:c>
      <x:c r="AA44" t="str">
        <x:f>IF($N44&lt;&gt;"Finalizado","Resultado pendiente",IF($H44="Sin envio","Sin respuesta",IF($Q44&lt;&gt;"Si","No acerto clasificado","OK")))</x:f>
        <x:v>No acerto clasificado</x:v>
      </x:c>
      <x:c r="AB44" t="str">
        <x:v>8vos detalle reconstruido</x:v>
      </x:c>
      <x:c r="AC44" t="n">
        <x:v>0</x:v>
      </x:c>
      <x:c r="AD44" t="n">
        <x:f>$Z44-$AC44</x:f>
        <x:v>0</x:v>
      </x:c>
    </x:row>
    <x:row r="45" ht="15" hidden="0" customHeight="1">
      <x:c r="A45" t="str">
        <x:v>8vos</x:v>
      </x:c>
      <x:c r="B45" t="str">
        <x:v>O2</x:v>
      </x:c>
      <x:c r="C45" t="str">
        <x:v>Óscar</x:v>
      </x:c>
      <x:c r="D45" t="str">
        <x:v>Paraguay</x:v>
      </x:c>
      <x:c r="E45" t="str">
        <x:v>Francia</x:v>
      </x:c>
      <x:c r="F45" t="n">
        <x:v>0</x:v>
      </x:c>
      <x:c r="G45" t="n">
        <x:v>2</x:v>
      </x:c>
      <x:c r="H45" t="str">
        <x:v>Francia</x:v>
      </x:c>
      <x:c r="I45" t="str">
        <x:v>90 minutos</x:v>
      </x:c>
      <x:c r="J45" t="n">
        <x:v>0</x:v>
      </x:c>
      <x:c r="K45" t="n">
        <x:v>1</x:v>
      </x:c>
      <x:c r="L45" t="str">
        <x:v>Francia</x:v>
      </x:c>
      <x:c r="M45" t="str">
        <x:v>90 minutos</x:v>
      </x:c>
      <x:c r="N45" t="str">
        <x:v>Finalizado</x:v>
      </x:c>
      <x:c r="O45" t="str">
        <x:f>IF($H45="Sin envio","Sin envio",IF($I45="90 minutos",IF($F45&gt;$G45,"A",IF($G45&gt;$F45,"B","E")),"E"))</x:f>
        <x:v>B</x:v>
      </x:c>
      <x:c r="P45" t="str">
        <x:f>IF($M45="90 minutos",IF($J45&gt;$K45,"A",IF($K45&gt;$J45,"B","E")),"E")</x:f>
        <x:v>B</x:v>
      </x:c>
      <x:c r="Q45" t="str">
        <x:f>IF($H45="Sin envio","No",IF($H45=$L45,"Si","No"))</x:f>
        <x:v>Si</x:v>
      </x:c>
      <x:c r="R45" t="str">
        <x:f>IF(AND($I45=$M45,NOT(AND($I45="Penales",$F45&lt;&gt;$G45))),"Si","No")</x:f>
        <x:v>Si</x:v>
      </x:c>
      <x:c r="S45" t="n">
        <x:f>IF(OR($N45&lt;&gt;"Finalizado",$Q45&lt;&gt;"Si"),0,IF($O45=$P45,Reglas!$B$2,0))</x:f>
        <x:v>5</x:v>
      </x:c>
      <x:c r="T45" t="n">
        <x:f>IF(OR($N45&lt;&gt;"Finalizado",$Q45&lt;&gt;"Si"),0,Reglas!$B$3)</x:f>
        <x:v>3</x:v>
      </x:c>
      <x:c r="U45" t="n">
        <x:f>IF(OR($N45&lt;&gt;"Finalizado",$Q45&lt;&gt;"Si"),0,IF($I45=$M45,Reglas!$B$4,0))</x:f>
        <x:v>2</x:v>
      </x:c>
      <x:c r="V45" t="n">
        <x:f>IF(OR($N45&lt;&gt;"Finalizado",$Q45&lt;&gt;"Si",$R45&lt;&gt;"Si"),0,IF(AND($F45=$J45,$G45=$K45),Reglas!$B$5,0))</x:f>
        <x:v>0</x:v>
      </x:c>
      <x:c r="W45" t="n">
        <x:f>IF(OR($N45&lt;&gt;"Finalizado",$Q45&lt;&gt;"Si",$R45&lt;&gt;"Si"),0,IF($F45-$G45=$J45-$K45,Reglas!$B$6,0))</x:f>
        <x:v>0</x:v>
      </x:c>
      <x:c r="X45" t="n">
        <x:f>IF(OR($N45&lt;&gt;"Finalizado",$Q45&lt;&gt;"Si",$R45&lt;&gt;"Si"),0,IF($F45=$J45,Reglas!$B$7,0))</x:f>
        <x:v>1</x:v>
      </x:c>
      <x:c r="Y45" t="n">
        <x:f>IF(OR($N45&lt;&gt;"Finalizado",$Q45&lt;&gt;"Si",$R45&lt;&gt;"Si"),0,IF($G45=$K45,Reglas!$B$8,0))</x:f>
        <x:v>0</x:v>
      </x:c>
      <x:c r="Z45" t="n">
        <x:f>SUM($S45:$Y45)</x:f>
        <x:v>11</x:v>
      </x:c>
      <x:c r="AA45" t="str">
        <x:f>IF($N45&lt;&gt;"Finalizado","Resultado pendiente",IF($H45="Sin envio","Sin respuesta",IF($Q45&lt;&gt;"Si","No acerto clasificado","OK")))</x:f>
        <x:v>OK</x:v>
      </x:c>
      <x:c r="AB45" t="str">
        <x:v>8vos detalle reconstruido</x:v>
      </x:c>
      <x:c r="AC45" t="n">
        <x:v>11</x:v>
      </x:c>
      <x:c r="AD45" t="n">
        <x:f>$Z45-$AC45</x:f>
        <x:v>0</x:v>
      </x:c>
    </x:row>
    <x:row r="46" ht="15" hidden="0" customHeight="1">
      <x:c r="A46" t="str">
        <x:v>8vos</x:v>
      </x:c>
      <x:c r="B46" t="str">
        <x:v>O3</x:v>
      </x:c>
      <x:c r="C46" t="str">
        <x:v>Freddy</x:v>
      </x:c>
      <x:c r="D46" t="str">
        <x:v>Brasil</x:v>
      </x:c>
      <x:c r="E46" t="str">
        <x:v>Noruega</x:v>
      </x:c>
      <x:c r="F46" t="n">
        <x:v>2</x:v>
      </x:c>
      <x:c r="G46" t="n">
        <x:v>1</x:v>
      </x:c>
      <x:c r="H46" t="str">
        <x:v>Brasil</x:v>
      </x:c>
      <x:c r="I46" t="str">
        <x:v>90 minutos</x:v>
      </x:c>
      <x:c r="J46" t="n">
        <x:v>1</x:v>
      </x:c>
      <x:c r="K46" t="n">
        <x:v>2</x:v>
      </x:c>
      <x:c r="L46" t="str">
        <x:v>Noruega</x:v>
      </x:c>
      <x:c r="M46" t="str">
        <x:v>90 minutos</x:v>
      </x:c>
      <x:c r="N46" t="str">
        <x:v>Finalizado</x:v>
      </x:c>
      <x:c r="O46" t="str">
        <x:f>IF($H46="Sin envio","Sin envio",IF($I46="90 minutos",IF($F46&gt;$G46,"A",IF($G46&gt;$F46,"B","E")),"E"))</x:f>
        <x:v>A</x:v>
      </x:c>
      <x:c r="P46" t="str">
        <x:f>IF($M46="90 minutos",IF($J46&gt;$K46,"A",IF($K46&gt;$J46,"B","E")),"E")</x:f>
        <x:v>B</x:v>
      </x:c>
      <x:c r="Q46" t="str">
        <x:f>IF($H46="Sin envio","No",IF($H46=$L46,"Si","No"))</x:f>
        <x:v>No</x:v>
      </x:c>
      <x:c r="R46" t="str">
        <x:f>IF(AND($I46=$M46,NOT(AND($I46="Penales",$F46&lt;&gt;$G46))),"Si","No")</x:f>
        <x:v>Si</x:v>
      </x:c>
      <x:c r="S46" t="n">
        <x:f>IF(OR($N46&lt;&gt;"Finalizado",$Q46&lt;&gt;"Si"),0,IF($O46=$P46,Reglas!$B$2,0))</x:f>
        <x:v>0</x:v>
      </x:c>
      <x:c r="T46" t="n">
        <x:f>IF(OR($N46&lt;&gt;"Finalizado",$Q46&lt;&gt;"Si"),0,Reglas!$B$3)</x:f>
        <x:v>0</x:v>
      </x:c>
      <x:c r="U46" t="n">
        <x:f>IF(OR($N46&lt;&gt;"Finalizado",$Q46&lt;&gt;"Si"),0,IF($I46=$M46,Reglas!$B$4,0))</x:f>
        <x:v>0</x:v>
      </x:c>
      <x:c r="V46" t="n">
        <x:f>IF(OR($N46&lt;&gt;"Finalizado",$Q46&lt;&gt;"Si",$R46&lt;&gt;"Si"),0,IF(AND($F46=$J46,$G46=$K46),Reglas!$B$5,0))</x:f>
        <x:v>0</x:v>
      </x:c>
      <x:c r="W46" t="n">
        <x:f>IF(OR($N46&lt;&gt;"Finalizado",$Q46&lt;&gt;"Si",$R46&lt;&gt;"Si"),0,IF($F46-$G46=$J46-$K46,Reglas!$B$6,0))</x:f>
        <x:v>0</x:v>
      </x:c>
      <x:c r="X46" t="n">
        <x:f>IF(OR($N46&lt;&gt;"Finalizado",$Q46&lt;&gt;"Si",$R46&lt;&gt;"Si"),0,IF($F46=$J46,Reglas!$B$7,0))</x:f>
        <x:v>0</x:v>
      </x:c>
      <x:c r="Y46" t="n">
        <x:f>IF(OR($N46&lt;&gt;"Finalizado",$Q46&lt;&gt;"Si",$R46&lt;&gt;"Si"),0,IF($G46=$K46,Reglas!$B$8,0))</x:f>
        <x:v>0</x:v>
      </x:c>
      <x:c r="Z46" t="n">
        <x:f>SUM($S46:$Y46)</x:f>
        <x:v>0</x:v>
      </x:c>
      <x:c r="AA46" t="str">
        <x:f>IF($N46&lt;&gt;"Finalizado","Resultado pendiente",IF($H46="Sin envio","Sin respuesta",IF($Q46&lt;&gt;"Si","No acerto clasificado","OK")))</x:f>
        <x:v>No acerto clasificado</x:v>
      </x:c>
      <x:c r="AB46" t="str">
        <x:v>8vos detalle reconstruido</x:v>
      </x:c>
      <x:c r="AC46" t="n">
        <x:v>0</x:v>
      </x:c>
      <x:c r="AD46" t="n">
        <x:f>$Z46-$AC46</x:f>
        <x:v>0</x:v>
      </x:c>
    </x:row>
    <x:row r="47" ht="15" hidden="0" customHeight="1">
      <x:c r="A47" t="str">
        <x:v>8vos</x:v>
      </x:c>
      <x:c r="B47" t="str">
        <x:v>O3</x:v>
      </x:c>
      <x:c r="C47" t="str">
        <x:v>Gabriela</x:v>
      </x:c>
      <x:c r="D47" t="str">
        <x:v>Brasil</x:v>
      </x:c>
      <x:c r="E47" t="str">
        <x:v>Noruega</x:v>
      </x:c>
      <x:c r="F47" t="n">
        <x:v>2</x:v>
      </x:c>
      <x:c r="G47" t="n">
        <x:v>2</x:v>
      </x:c>
      <x:c r="H47" t="str">
        <x:v>Noruega</x:v>
      </x:c>
      <x:c r="I47" t="str">
        <x:v>Penales</x:v>
      </x:c>
      <x:c r="J47" t="n">
        <x:v>1</x:v>
      </x:c>
      <x:c r="K47" t="n">
        <x:v>2</x:v>
      </x:c>
      <x:c r="L47" t="str">
        <x:v>Noruega</x:v>
      </x:c>
      <x:c r="M47" t="str">
        <x:v>90 minutos</x:v>
      </x:c>
      <x:c r="N47" t="str">
        <x:v>Finalizado</x:v>
      </x:c>
      <x:c r="O47" t="str">
        <x:f>IF($H47="Sin envio","Sin envio",IF($I47="90 minutos",IF($F47&gt;$G47,"A",IF($G47&gt;$F47,"B","E")),"E"))</x:f>
        <x:v>E</x:v>
      </x:c>
      <x:c r="P47" t="str">
        <x:f>IF($M47="90 minutos",IF($J47&gt;$K47,"A",IF($K47&gt;$J47,"B","E")),"E")</x:f>
        <x:v>B</x:v>
      </x:c>
      <x:c r="Q47" t="str">
        <x:f>IF($H47="Sin envio","No",IF($H47=$L47,"Si","No"))</x:f>
        <x:v>Si</x:v>
      </x:c>
      <x:c r="R47" t="str">
        <x:f>IF(AND($I47=$M47,NOT(AND($I47="Penales",$F47&lt;&gt;$G47))),"Si","No")</x:f>
        <x:v>No</x:v>
      </x:c>
      <x:c r="S47" t="n">
        <x:f>IF(OR($N47&lt;&gt;"Finalizado",$Q47&lt;&gt;"Si"),0,IF($O47=$P47,Reglas!$B$2,0))</x:f>
        <x:v>0</x:v>
      </x:c>
      <x:c r="T47" t="n">
        <x:f>IF(OR($N47&lt;&gt;"Finalizado",$Q47&lt;&gt;"Si"),0,Reglas!$B$3)</x:f>
        <x:v>3</x:v>
      </x:c>
      <x:c r="U47" t="n">
        <x:f>IF(OR($N47&lt;&gt;"Finalizado",$Q47&lt;&gt;"Si"),0,IF($I47=$M47,Reglas!$B$4,0))</x:f>
        <x:v>0</x:v>
      </x:c>
      <x:c r="V47" t="n">
        <x:f>IF(OR($N47&lt;&gt;"Finalizado",$Q47&lt;&gt;"Si",$R47&lt;&gt;"Si"),0,IF(AND($F47=$J47,$G47=$K47),Reglas!$B$5,0))</x:f>
        <x:v>0</x:v>
      </x:c>
      <x:c r="W47" t="n">
        <x:f>IF(OR($N47&lt;&gt;"Finalizado",$Q47&lt;&gt;"Si",$R47&lt;&gt;"Si"),0,IF($F47-$G47=$J47-$K47,Reglas!$B$6,0))</x:f>
        <x:v>0</x:v>
      </x:c>
      <x:c r="X47" t="n">
        <x:f>IF(OR($N47&lt;&gt;"Finalizado",$Q47&lt;&gt;"Si",$R47&lt;&gt;"Si"),0,IF($F47=$J47,Reglas!$B$7,0))</x:f>
        <x:v>0</x:v>
      </x:c>
      <x:c r="Y47" t="n">
        <x:f>IF(OR($N47&lt;&gt;"Finalizado",$Q47&lt;&gt;"Si",$R47&lt;&gt;"Si"),0,IF($G47=$K47,Reglas!$B$8,0))</x:f>
        <x:v>0</x:v>
      </x:c>
      <x:c r="Z47" t="n">
        <x:f>SUM($S47:$Y47)</x:f>
        <x:v>3</x:v>
      </x:c>
      <x:c r="AA47" t="str">
        <x:f>IF($N47&lt;&gt;"Finalizado","Resultado pendiente",IF($H47="Sin envio","Sin respuesta",IF($Q47&lt;&gt;"Si","No acerto clasificado","OK")))</x:f>
        <x:v>OK</x:v>
      </x:c>
      <x:c r="AB47" t="str">
        <x:v>8vos detalle reconstruido</x:v>
      </x:c>
      <x:c r="AC47" t="n">
        <x:v>3</x:v>
      </x:c>
      <x:c r="AD47" t="n">
        <x:f>$Z47-$AC47</x:f>
        <x:v>0</x:v>
      </x:c>
    </x:row>
    <x:row r="48" ht="15" hidden="0" customHeight="1">
      <x:c r="A48" t="str">
        <x:v>8vos</x:v>
      </x:c>
      <x:c r="B48" t="str">
        <x:v>O3</x:v>
      </x:c>
      <x:c r="C48" t="str">
        <x:v>Jean</x:v>
      </x:c>
      <x:c r="D48" t="str">
        <x:v>Brasil</x:v>
      </x:c>
      <x:c r="E48" t="str">
        <x:v>Noruega</x:v>
      </x:c>
      <x:c r="F48" t="n">
        <x:v>1</x:v>
      </x:c>
      <x:c r="G48" t="n">
        <x:v>0</x:v>
      </x:c>
      <x:c r="H48" t="str">
        <x:v>Brasil</x:v>
      </x:c>
      <x:c r="I48" t="str">
        <x:v>90 minutos</x:v>
      </x:c>
      <x:c r="J48" t="n">
        <x:v>1</x:v>
      </x:c>
      <x:c r="K48" t="n">
        <x:v>2</x:v>
      </x:c>
      <x:c r="L48" t="str">
        <x:v>Noruega</x:v>
      </x:c>
      <x:c r="M48" t="str">
        <x:v>90 minutos</x:v>
      </x:c>
      <x:c r="N48" t="str">
        <x:v>Finalizado</x:v>
      </x:c>
      <x:c r="O48" t="str">
        <x:f>IF($H48="Sin envio","Sin envio",IF($I48="90 minutos",IF($F48&gt;$G48,"A",IF($G48&gt;$F48,"B","E")),"E"))</x:f>
        <x:v>A</x:v>
      </x:c>
      <x:c r="P48" t="str">
        <x:f>IF($M48="90 minutos",IF($J48&gt;$K48,"A",IF($K48&gt;$J48,"B","E")),"E")</x:f>
        <x:v>B</x:v>
      </x:c>
      <x:c r="Q48" t="str">
        <x:f>IF($H48="Sin envio","No",IF($H48=$L48,"Si","No"))</x:f>
        <x:v>No</x:v>
      </x:c>
      <x:c r="R48" t="str">
        <x:f>IF(AND($I48=$M48,NOT(AND($I48="Penales",$F48&lt;&gt;$G48))),"Si","No")</x:f>
        <x:v>Si</x:v>
      </x:c>
      <x:c r="S48" t="n">
        <x:f>IF(OR($N48&lt;&gt;"Finalizado",$Q48&lt;&gt;"Si"),0,IF($O48=$P48,Reglas!$B$2,0))</x:f>
        <x:v>0</x:v>
      </x:c>
      <x:c r="T48" t="n">
        <x:f>IF(OR($N48&lt;&gt;"Finalizado",$Q48&lt;&gt;"Si"),0,Reglas!$B$3)</x:f>
        <x:v>0</x:v>
      </x:c>
      <x:c r="U48" t="n">
        <x:f>IF(OR($N48&lt;&gt;"Finalizado",$Q48&lt;&gt;"Si"),0,IF($I48=$M48,Reglas!$B$4,0))</x:f>
        <x:v>0</x:v>
      </x:c>
      <x:c r="V48" t="n">
        <x:f>IF(OR($N48&lt;&gt;"Finalizado",$Q48&lt;&gt;"Si",$R48&lt;&gt;"Si"),0,IF(AND($F48=$J48,$G48=$K48),Reglas!$B$5,0))</x:f>
        <x:v>0</x:v>
      </x:c>
      <x:c r="W48" t="n">
        <x:f>IF(OR($N48&lt;&gt;"Finalizado",$Q48&lt;&gt;"Si",$R48&lt;&gt;"Si"),0,IF($F48-$G48=$J48-$K48,Reglas!$B$6,0))</x:f>
        <x:v>0</x:v>
      </x:c>
      <x:c r="X48" t="n">
        <x:f>IF(OR($N48&lt;&gt;"Finalizado",$Q48&lt;&gt;"Si",$R48&lt;&gt;"Si"),0,IF($F48=$J48,Reglas!$B$7,0))</x:f>
        <x:v>0</x:v>
      </x:c>
      <x:c r="Y48" t="n">
        <x:f>IF(OR($N48&lt;&gt;"Finalizado",$Q48&lt;&gt;"Si",$R48&lt;&gt;"Si"),0,IF($G48=$K48,Reglas!$B$8,0))</x:f>
        <x:v>0</x:v>
      </x:c>
      <x:c r="Z48" t="n">
        <x:f>SUM($S48:$Y48)</x:f>
        <x:v>0</x:v>
      </x:c>
      <x:c r="AA48" t="str">
        <x:f>IF($N48&lt;&gt;"Finalizado","Resultado pendiente",IF($H48="Sin envio","Sin respuesta",IF($Q48&lt;&gt;"Si","No acerto clasificado","OK")))</x:f>
        <x:v>No acerto clasificado</x:v>
      </x:c>
      <x:c r="AB48" t="str">
        <x:v>8vos detalle reconstruido</x:v>
      </x:c>
      <x:c r="AC48" t="n">
        <x:v>0</x:v>
      </x:c>
      <x:c r="AD48" t="n">
        <x:f>$Z48-$AC48</x:f>
        <x:v>0</x:v>
      </x:c>
    </x:row>
    <x:row r="49" ht="15" hidden="0" customHeight="1">
      <x:c r="A49" t="str">
        <x:v>8vos</x:v>
      </x:c>
      <x:c r="B49" t="str">
        <x:v>O3</x:v>
      </x:c>
      <x:c r="C49" t="str">
        <x:v>Juan</x:v>
      </x:c>
      <x:c r="D49" t="str">
        <x:v>Brasil</x:v>
      </x:c>
      <x:c r="E49" t="str">
        <x:v>Noruega</x:v>
      </x:c>
      <x:c r="F49" t="n">
        <x:v>2</x:v>
      </x:c>
      <x:c r="G49" t="n">
        <x:v>3</x:v>
      </x:c>
      <x:c r="H49" t="str">
        <x:v>Noruega</x:v>
      </x:c>
      <x:c r="I49" t="str">
        <x:v>Suplementario</x:v>
      </x:c>
      <x:c r="J49" t="n">
        <x:v>1</x:v>
      </x:c>
      <x:c r="K49" t="n">
        <x:v>2</x:v>
      </x:c>
      <x:c r="L49" t="str">
        <x:v>Noruega</x:v>
      </x:c>
      <x:c r="M49" t="str">
        <x:v>90 minutos</x:v>
      </x:c>
      <x:c r="N49" t="str">
        <x:v>Finalizado</x:v>
      </x:c>
      <x:c r="O49" t="str">
        <x:f>IF($H49="Sin envio","Sin envio",IF($I49="90 minutos",IF($F49&gt;$G49,"A",IF($G49&gt;$F49,"B","E")),"E"))</x:f>
        <x:v>E</x:v>
      </x:c>
      <x:c r="P49" t="str">
        <x:f>IF($M49="90 minutos",IF($J49&gt;$K49,"A",IF($K49&gt;$J49,"B","E")),"E")</x:f>
        <x:v>B</x:v>
      </x:c>
      <x:c r="Q49" t="str">
        <x:f>IF($H49="Sin envio","No",IF($H49=$L49,"Si","No"))</x:f>
        <x:v>Si</x:v>
      </x:c>
      <x:c r="R49" t="str">
        <x:f>IF(AND($I49=$M49,NOT(AND($I49="Penales",$F49&lt;&gt;$G49))),"Si","No")</x:f>
        <x:v>No</x:v>
      </x:c>
      <x:c r="S49" t="n">
        <x:f>IF(OR($N49&lt;&gt;"Finalizado",$Q49&lt;&gt;"Si"),0,IF($O49=$P49,Reglas!$B$2,0))</x:f>
        <x:v>0</x:v>
      </x:c>
      <x:c r="T49" t="n">
        <x:f>IF(OR($N49&lt;&gt;"Finalizado",$Q49&lt;&gt;"Si"),0,Reglas!$B$3)</x:f>
        <x:v>3</x:v>
      </x:c>
      <x:c r="U49" t="n">
        <x:f>IF(OR($N49&lt;&gt;"Finalizado",$Q49&lt;&gt;"Si"),0,IF($I49=$M49,Reglas!$B$4,0))</x:f>
        <x:v>0</x:v>
      </x:c>
      <x:c r="V49" t="n">
        <x:f>IF(OR($N49&lt;&gt;"Finalizado",$Q49&lt;&gt;"Si",$R49&lt;&gt;"Si"),0,IF(AND($F49=$J49,$G49=$K49),Reglas!$B$5,0))</x:f>
        <x:v>0</x:v>
      </x:c>
      <x:c r="W49" t="n">
        <x:f>IF(OR($N49&lt;&gt;"Finalizado",$Q49&lt;&gt;"Si",$R49&lt;&gt;"Si"),0,IF($F49-$G49=$J49-$K49,Reglas!$B$6,0))</x:f>
        <x:v>0</x:v>
      </x:c>
      <x:c r="X49" t="n">
        <x:f>IF(OR($N49&lt;&gt;"Finalizado",$Q49&lt;&gt;"Si",$R49&lt;&gt;"Si"),0,IF($F49=$J49,Reglas!$B$7,0))</x:f>
        <x:v>0</x:v>
      </x:c>
      <x:c r="Y49" t="n">
        <x:f>IF(OR($N49&lt;&gt;"Finalizado",$Q49&lt;&gt;"Si",$R49&lt;&gt;"Si"),0,IF($G49=$K49,Reglas!$B$8,0))</x:f>
        <x:v>0</x:v>
      </x:c>
      <x:c r="Z49" t="n">
        <x:f>SUM($S49:$Y49)</x:f>
        <x:v>3</x:v>
      </x:c>
      <x:c r="AA49" t="str">
        <x:f>IF($N49&lt;&gt;"Finalizado","Resultado pendiente",IF($H49="Sin envio","Sin respuesta",IF($Q49&lt;&gt;"Si","No acerto clasificado","OK")))</x:f>
        <x:v>OK</x:v>
      </x:c>
      <x:c r="AB49" t="str">
        <x:v>8vos detalle reconstruido</x:v>
      </x:c>
      <x:c r="AC49" t="n">
        <x:v>3</x:v>
      </x:c>
      <x:c r="AD49" t="n">
        <x:f>$Z49-$AC49</x:f>
        <x:v>0</x:v>
      </x:c>
    </x:row>
    <x:row r="50" ht="15" hidden="0" customHeight="1">
      <x:c r="A50" t="str">
        <x:v>8vos</x:v>
      </x:c>
      <x:c r="B50" t="str">
        <x:v>O3</x:v>
      </x:c>
      <x:c r="C50" t="str">
        <x:v>Jesús</x:v>
      </x:c>
      <x:c r="D50" t="str">
        <x:v>Brasil</x:v>
      </x:c>
      <x:c r="E50" t="str">
        <x:v>Noruega</x:v>
      </x:c>
      <x:c r="F50" t="n">
        <x:v>2</x:v>
      </x:c>
      <x:c r="G50" t="n">
        <x:v>1</x:v>
      </x:c>
      <x:c r="H50" t="str">
        <x:v>Brasil</x:v>
      </x:c>
      <x:c r="I50" t="str">
        <x:v>90 minutos</x:v>
      </x:c>
      <x:c r="J50" t="n">
        <x:v>1</x:v>
      </x:c>
      <x:c r="K50" t="n">
        <x:v>2</x:v>
      </x:c>
      <x:c r="L50" t="str">
        <x:v>Noruega</x:v>
      </x:c>
      <x:c r="M50" t="str">
        <x:v>90 minutos</x:v>
      </x:c>
      <x:c r="N50" t="str">
        <x:v>Finalizado</x:v>
      </x:c>
      <x:c r="O50" t="str">
        <x:f>IF($H50="Sin envio","Sin envio",IF($I50="90 minutos",IF($F50&gt;$G50,"A",IF($G50&gt;$F50,"B","E")),"E"))</x:f>
        <x:v>A</x:v>
      </x:c>
      <x:c r="P50" t="str">
        <x:f>IF($M50="90 minutos",IF($J50&gt;$K50,"A",IF($K50&gt;$J50,"B","E")),"E")</x:f>
        <x:v>B</x:v>
      </x:c>
      <x:c r="Q50" t="str">
        <x:f>IF($H50="Sin envio","No",IF($H50=$L50,"Si","No"))</x:f>
        <x:v>No</x:v>
      </x:c>
      <x:c r="R50" t="str">
        <x:f>IF(AND($I50=$M50,NOT(AND($I50="Penales",$F50&lt;&gt;$G50))),"Si","No")</x:f>
        <x:v>Si</x:v>
      </x:c>
      <x:c r="S50" t="n">
        <x:f>IF(OR($N50&lt;&gt;"Finalizado",$Q50&lt;&gt;"Si"),0,IF($O50=$P50,Reglas!$B$2,0))</x:f>
        <x:v>0</x:v>
      </x:c>
      <x:c r="T50" t="n">
        <x:f>IF(OR($N50&lt;&gt;"Finalizado",$Q50&lt;&gt;"Si"),0,Reglas!$B$3)</x:f>
        <x:v>0</x:v>
      </x:c>
      <x:c r="U50" t="n">
        <x:f>IF(OR($N50&lt;&gt;"Finalizado",$Q50&lt;&gt;"Si"),0,IF($I50=$M50,Reglas!$B$4,0))</x:f>
        <x:v>0</x:v>
      </x:c>
      <x:c r="V50" t="n">
        <x:f>IF(OR($N50&lt;&gt;"Finalizado",$Q50&lt;&gt;"Si",$R50&lt;&gt;"Si"),0,IF(AND($F50=$J50,$G50=$K50),Reglas!$B$5,0))</x:f>
        <x:v>0</x:v>
      </x:c>
      <x:c r="W50" t="n">
        <x:f>IF(OR($N50&lt;&gt;"Finalizado",$Q50&lt;&gt;"Si",$R50&lt;&gt;"Si"),0,IF($F50-$G50=$J50-$K50,Reglas!$B$6,0))</x:f>
        <x:v>0</x:v>
      </x:c>
      <x:c r="X50" t="n">
        <x:f>IF(OR($N50&lt;&gt;"Finalizado",$Q50&lt;&gt;"Si",$R50&lt;&gt;"Si"),0,IF($F50=$J50,Reglas!$B$7,0))</x:f>
        <x:v>0</x:v>
      </x:c>
      <x:c r="Y50" t="n">
        <x:f>IF(OR($N50&lt;&gt;"Finalizado",$Q50&lt;&gt;"Si",$R50&lt;&gt;"Si"),0,IF($G50=$K50,Reglas!$B$8,0))</x:f>
        <x:v>0</x:v>
      </x:c>
      <x:c r="Z50" t="n">
        <x:f>SUM($S50:$Y50)</x:f>
        <x:v>0</x:v>
      </x:c>
      <x:c r="AA50" t="str">
        <x:f>IF($N50&lt;&gt;"Finalizado","Resultado pendiente",IF($H50="Sin envio","Sin respuesta",IF($Q50&lt;&gt;"Si","No acerto clasificado","OK")))</x:f>
        <x:v>No acerto clasificado</x:v>
      </x:c>
      <x:c r="AB50" t="str">
        <x:v>8vos detalle reconstruido</x:v>
      </x:c>
      <x:c r="AC50" t="n">
        <x:v>0</x:v>
      </x:c>
      <x:c r="AD50" t="n">
        <x:f>$Z50-$AC50</x:f>
        <x:v>0</x:v>
      </x:c>
    </x:row>
    <x:row r="51" ht="15" hidden="0" customHeight="1">
      <x:c r="A51" t="str">
        <x:v>8vos</x:v>
      </x:c>
      <x:c r="B51" t="str">
        <x:v>O3</x:v>
      </x:c>
      <x:c r="C51" t="str">
        <x:v>Diego</x:v>
      </x:c>
      <x:c r="D51" t="str">
        <x:v>Brasil</x:v>
      </x:c>
      <x:c r="E51" t="str">
        <x:v>Noruega</x:v>
      </x:c>
      <x:c r="F51" t="n">
        <x:v>2</x:v>
      </x:c>
      <x:c r="G51" t="n">
        <x:v>2</x:v>
      </x:c>
      <x:c r="H51" t="str">
        <x:v>Brasil</x:v>
      </x:c>
      <x:c r="I51" t="str">
        <x:v>Penales</x:v>
      </x:c>
      <x:c r="J51" t="n">
        <x:v>1</x:v>
      </x:c>
      <x:c r="K51" t="n">
        <x:v>2</x:v>
      </x:c>
      <x:c r="L51" t="str">
        <x:v>Noruega</x:v>
      </x:c>
      <x:c r="M51" t="str">
        <x:v>90 minutos</x:v>
      </x:c>
      <x:c r="N51" t="str">
        <x:v>Finalizado</x:v>
      </x:c>
      <x:c r="O51" t="str">
        <x:f>IF($H51="Sin envio","Sin envio",IF($I51="90 minutos",IF($F51&gt;$G51,"A",IF($G51&gt;$F51,"B","E")),"E"))</x:f>
        <x:v>E</x:v>
      </x:c>
      <x:c r="P51" t="str">
        <x:f>IF($M51="90 minutos",IF($J51&gt;$K51,"A",IF($K51&gt;$J51,"B","E")),"E")</x:f>
        <x:v>B</x:v>
      </x:c>
      <x:c r="Q51" t="str">
        <x:f>IF($H51="Sin envio","No",IF($H51=$L51,"Si","No"))</x:f>
        <x:v>No</x:v>
      </x:c>
      <x:c r="R51" t="str">
        <x:f>IF(AND($I51=$M51,NOT(AND($I51="Penales",$F51&lt;&gt;$G51))),"Si","No")</x:f>
        <x:v>No</x:v>
      </x:c>
      <x:c r="S51" t="n">
        <x:f>IF(OR($N51&lt;&gt;"Finalizado",$Q51&lt;&gt;"Si"),0,IF($O51=$P51,Reglas!$B$2,0))</x:f>
        <x:v>0</x:v>
      </x:c>
      <x:c r="T51" t="n">
        <x:f>IF(OR($N51&lt;&gt;"Finalizado",$Q51&lt;&gt;"Si"),0,Reglas!$B$3)</x:f>
        <x:v>0</x:v>
      </x:c>
      <x:c r="U51" t="n">
        <x:f>IF(OR($N51&lt;&gt;"Finalizado",$Q51&lt;&gt;"Si"),0,IF($I51=$M51,Reglas!$B$4,0))</x:f>
        <x:v>0</x:v>
      </x:c>
      <x:c r="V51" t="n">
        <x:f>IF(OR($N51&lt;&gt;"Finalizado",$Q51&lt;&gt;"Si",$R51&lt;&gt;"Si"),0,IF(AND($F51=$J51,$G51=$K51),Reglas!$B$5,0))</x:f>
        <x:v>0</x:v>
      </x:c>
      <x:c r="W51" t="n">
        <x:f>IF(OR($N51&lt;&gt;"Finalizado",$Q51&lt;&gt;"Si",$R51&lt;&gt;"Si"),0,IF($F51-$G51=$J51-$K51,Reglas!$B$6,0))</x:f>
        <x:v>0</x:v>
      </x:c>
      <x:c r="X51" t="n">
        <x:f>IF(OR($N51&lt;&gt;"Finalizado",$Q51&lt;&gt;"Si",$R51&lt;&gt;"Si"),0,IF($F51=$J51,Reglas!$B$7,0))</x:f>
        <x:v>0</x:v>
      </x:c>
      <x:c r="Y51" t="n">
        <x:f>IF(OR($N51&lt;&gt;"Finalizado",$Q51&lt;&gt;"Si",$R51&lt;&gt;"Si"),0,IF($G51=$K51,Reglas!$B$8,0))</x:f>
        <x:v>0</x:v>
      </x:c>
      <x:c r="Z51" t="n">
        <x:f>SUM($S51:$Y51)</x:f>
        <x:v>0</x:v>
      </x:c>
      <x:c r="AA51" t="str">
        <x:f>IF($N51&lt;&gt;"Finalizado","Resultado pendiente",IF($H51="Sin envio","Sin respuesta",IF($Q51&lt;&gt;"Si","No acerto clasificado","OK")))</x:f>
        <x:v>No acerto clasificado</x:v>
      </x:c>
      <x:c r="AB51" t="str">
        <x:v>8vos detalle reconstruido</x:v>
      </x:c>
      <x:c r="AC51" t="n">
        <x:v>0</x:v>
      </x:c>
      <x:c r="AD51" t="n">
        <x:f>$Z51-$AC51</x:f>
        <x:v>0</x:v>
      </x:c>
    </x:row>
    <x:row r="52" ht="15" hidden="0" customHeight="1">
      <x:c r="A52" t="str">
        <x:v>8vos</x:v>
      </x:c>
      <x:c r="B52" t="str">
        <x:v>O3</x:v>
      </x:c>
      <x:c r="C52" t="str">
        <x:v>Aldo</x:v>
      </x:c>
      <x:c r="D52" t="str">
        <x:v>Brasil</x:v>
      </x:c>
      <x:c r="E52" t="str">
        <x:v>Noruega</x:v>
      </x:c>
      <x:c r="F52" t="n">
        <x:v>2</x:v>
      </x:c>
      <x:c r="G52" t="n">
        <x:v>1</x:v>
      </x:c>
      <x:c r="H52" t="str">
        <x:v>Brasil</x:v>
      </x:c>
      <x:c r="I52" t="str">
        <x:v>90 minutos</x:v>
      </x:c>
      <x:c r="J52" t="n">
        <x:v>1</x:v>
      </x:c>
      <x:c r="K52" t="n">
        <x:v>2</x:v>
      </x:c>
      <x:c r="L52" t="str">
        <x:v>Noruega</x:v>
      </x:c>
      <x:c r="M52" t="str">
        <x:v>90 minutos</x:v>
      </x:c>
      <x:c r="N52" t="str">
        <x:v>Finalizado</x:v>
      </x:c>
      <x:c r="O52" t="str">
        <x:f>IF($H52="Sin envio","Sin envio",IF($I52="90 minutos",IF($F52&gt;$G52,"A",IF($G52&gt;$F52,"B","E")),"E"))</x:f>
        <x:v>A</x:v>
      </x:c>
      <x:c r="P52" t="str">
        <x:f>IF($M52="90 minutos",IF($J52&gt;$K52,"A",IF($K52&gt;$J52,"B","E")),"E")</x:f>
        <x:v>B</x:v>
      </x:c>
      <x:c r="Q52" t="str">
        <x:f>IF($H52="Sin envio","No",IF($H52=$L52,"Si","No"))</x:f>
        <x:v>No</x:v>
      </x:c>
      <x:c r="R52" t="str">
        <x:f>IF(AND($I52=$M52,NOT(AND($I52="Penales",$F52&lt;&gt;$G52))),"Si","No")</x:f>
        <x:v>Si</x:v>
      </x:c>
      <x:c r="S52" t="n">
        <x:f>IF(OR($N52&lt;&gt;"Finalizado",$Q52&lt;&gt;"Si"),0,IF($O52=$P52,Reglas!$B$2,0))</x:f>
        <x:v>0</x:v>
      </x:c>
      <x:c r="T52" t="n">
        <x:f>IF(OR($N52&lt;&gt;"Finalizado",$Q52&lt;&gt;"Si"),0,Reglas!$B$3)</x:f>
        <x:v>0</x:v>
      </x:c>
      <x:c r="U52" t="n">
        <x:f>IF(OR($N52&lt;&gt;"Finalizado",$Q52&lt;&gt;"Si"),0,IF($I52=$M52,Reglas!$B$4,0))</x:f>
        <x:v>0</x:v>
      </x:c>
      <x:c r="V52" t="n">
        <x:f>IF(OR($N52&lt;&gt;"Finalizado",$Q52&lt;&gt;"Si",$R52&lt;&gt;"Si"),0,IF(AND($F52=$J52,$G52=$K52),Reglas!$B$5,0))</x:f>
        <x:v>0</x:v>
      </x:c>
      <x:c r="W52" t="n">
        <x:f>IF(OR($N52&lt;&gt;"Finalizado",$Q52&lt;&gt;"Si",$R52&lt;&gt;"Si"),0,IF($F52-$G52=$J52-$K52,Reglas!$B$6,0))</x:f>
        <x:v>0</x:v>
      </x:c>
      <x:c r="X52" t="n">
        <x:f>IF(OR($N52&lt;&gt;"Finalizado",$Q52&lt;&gt;"Si",$R52&lt;&gt;"Si"),0,IF($F52=$J52,Reglas!$B$7,0))</x:f>
        <x:v>0</x:v>
      </x:c>
      <x:c r="Y52" t="n">
        <x:f>IF(OR($N52&lt;&gt;"Finalizado",$Q52&lt;&gt;"Si",$R52&lt;&gt;"Si"),0,IF($G52=$K52,Reglas!$B$8,0))</x:f>
        <x:v>0</x:v>
      </x:c>
      <x:c r="Z52" t="n">
        <x:f>SUM($S52:$Y52)</x:f>
        <x:v>0</x:v>
      </x:c>
      <x:c r="AA52" t="str">
        <x:f>IF($N52&lt;&gt;"Finalizado","Resultado pendiente",IF($H52="Sin envio","Sin respuesta",IF($Q52&lt;&gt;"Si","No acerto clasificado","OK")))</x:f>
        <x:v>No acerto clasificado</x:v>
      </x:c>
      <x:c r="AB52" t="str">
        <x:v>8vos detalle reconstruido</x:v>
      </x:c>
      <x:c r="AC52" t="n">
        <x:v>0</x:v>
      </x:c>
      <x:c r="AD52" t="n">
        <x:f>$Z52-$AC52</x:f>
        <x:v>0</x:v>
      </x:c>
    </x:row>
    <x:row r="53" ht="15" hidden="0" customHeight="1">
      <x:c r="A53" t="str">
        <x:v>8vos</x:v>
      </x:c>
      <x:c r="B53" t="str">
        <x:v>O3</x:v>
      </x:c>
      <x:c r="C53" t="str">
        <x:v>Javier</x:v>
      </x:c>
      <x:c r="D53" t="str">
        <x:v>Brasil</x:v>
      </x:c>
      <x:c r="E53" t="str">
        <x:v>Noruega</x:v>
      </x:c>
      <x:c r="F53" t="n">
        <x:v>1</x:v>
      </x:c>
      <x:c r="G53" t="n">
        <x:v>0</x:v>
      </x:c>
      <x:c r="H53" t="str">
        <x:v>Brasil</x:v>
      </x:c>
      <x:c r="I53" t="str">
        <x:v>90 minutos</x:v>
      </x:c>
      <x:c r="J53" t="n">
        <x:v>1</x:v>
      </x:c>
      <x:c r="K53" t="n">
        <x:v>2</x:v>
      </x:c>
      <x:c r="L53" t="str">
        <x:v>Noruega</x:v>
      </x:c>
      <x:c r="M53" t="str">
        <x:v>90 minutos</x:v>
      </x:c>
      <x:c r="N53" t="str">
        <x:v>Finalizado</x:v>
      </x:c>
      <x:c r="O53" t="str">
        <x:f>IF($H53="Sin envio","Sin envio",IF($I53="90 minutos",IF($F53&gt;$G53,"A",IF($G53&gt;$F53,"B","E")),"E"))</x:f>
        <x:v>A</x:v>
      </x:c>
      <x:c r="P53" t="str">
        <x:f>IF($M53="90 minutos",IF($J53&gt;$K53,"A",IF($K53&gt;$J53,"B","E")),"E")</x:f>
        <x:v>B</x:v>
      </x:c>
      <x:c r="Q53" t="str">
        <x:f>IF($H53="Sin envio","No",IF($H53=$L53,"Si","No"))</x:f>
        <x:v>No</x:v>
      </x:c>
      <x:c r="R53" t="str">
        <x:f>IF(AND($I53=$M53,NOT(AND($I53="Penales",$F53&lt;&gt;$G53))),"Si","No")</x:f>
        <x:v>Si</x:v>
      </x:c>
      <x:c r="S53" t="n">
        <x:f>IF(OR($N53&lt;&gt;"Finalizado",$Q53&lt;&gt;"Si"),0,IF($O53=$P53,Reglas!$B$2,0))</x:f>
        <x:v>0</x:v>
      </x:c>
      <x:c r="T53" t="n">
        <x:f>IF(OR($N53&lt;&gt;"Finalizado",$Q53&lt;&gt;"Si"),0,Reglas!$B$3)</x:f>
        <x:v>0</x:v>
      </x:c>
      <x:c r="U53" t="n">
        <x:f>IF(OR($N53&lt;&gt;"Finalizado",$Q53&lt;&gt;"Si"),0,IF($I53=$M53,Reglas!$B$4,0))</x:f>
        <x:v>0</x:v>
      </x:c>
      <x:c r="V53" t="n">
        <x:f>IF(OR($N53&lt;&gt;"Finalizado",$Q53&lt;&gt;"Si",$R53&lt;&gt;"Si"),0,IF(AND($F53=$J53,$G53=$K53),Reglas!$B$5,0))</x:f>
        <x:v>0</x:v>
      </x:c>
      <x:c r="W53" t="n">
        <x:f>IF(OR($N53&lt;&gt;"Finalizado",$Q53&lt;&gt;"Si",$R53&lt;&gt;"Si"),0,IF($F53-$G53=$J53-$K53,Reglas!$B$6,0))</x:f>
        <x:v>0</x:v>
      </x:c>
      <x:c r="X53" t="n">
        <x:f>IF(OR($N53&lt;&gt;"Finalizado",$Q53&lt;&gt;"Si",$R53&lt;&gt;"Si"),0,IF($F53=$J53,Reglas!$B$7,0))</x:f>
        <x:v>0</x:v>
      </x:c>
      <x:c r="Y53" t="n">
        <x:f>IF(OR($N53&lt;&gt;"Finalizado",$Q53&lt;&gt;"Si",$R53&lt;&gt;"Si"),0,IF($G53=$K53,Reglas!$B$8,0))</x:f>
        <x:v>0</x:v>
      </x:c>
      <x:c r="Z53" t="n">
        <x:f>SUM($S53:$Y53)</x:f>
        <x:v>0</x:v>
      </x:c>
      <x:c r="AA53" t="str">
        <x:f>IF($N53&lt;&gt;"Finalizado","Resultado pendiente",IF($H53="Sin envio","Sin respuesta",IF($Q53&lt;&gt;"Si","No acerto clasificado","OK")))</x:f>
        <x:v>No acerto clasificado</x:v>
      </x:c>
      <x:c r="AB53" t="str">
        <x:v>8vos detalle reconstruido</x:v>
      </x:c>
      <x:c r="AC53" t="n">
        <x:v>0</x:v>
      </x:c>
      <x:c r="AD53" t="n">
        <x:f>$Z53-$AC53</x:f>
        <x:v>0</x:v>
      </x:c>
    </x:row>
    <x:row r="54" ht="15" hidden="0" customHeight="1">
      <x:c r="A54" t="str">
        <x:v>8vos</x:v>
      </x:c>
      <x:c r="B54" t="str">
        <x:v>O3</x:v>
      </x:c>
      <x:c r="C54" t="str">
        <x:v>Gino</x:v>
      </x:c>
      <x:c r="D54" t="str">
        <x:v>Brasil</x:v>
      </x:c>
      <x:c r="E54" t="str">
        <x:v>Noruega</x:v>
      </x:c>
      <x:c r="F54" t="n">
        <x:v>2</x:v>
      </x:c>
      <x:c r="G54" t="n">
        <x:v>1</x:v>
      </x:c>
      <x:c r="H54" t="str">
        <x:v>Brasil</x:v>
      </x:c>
      <x:c r="I54" t="str">
        <x:v>90 minutos</x:v>
      </x:c>
      <x:c r="J54" t="n">
        <x:v>1</x:v>
      </x:c>
      <x:c r="K54" t="n">
        <x:v>2</x:v>
      </x:c>
      <x:c r="L54" t="str">
        <x:v>Noruega</x:v>
      </x:c>
      <x:c r="M54" t="str">
        <x:v>90 minutos</x:v>
      </x:c>
      <x:c r="N54" t="str">
        <x:v>Finalizado</x:v>
      </x:c>
      <x:c r="O54" t="str">
        <x:f>IF($H54="Sin envio","Sin envio",IF($I54="90 minutos",IF($F54&gt;$G54,"A",IF($G54&gt;$F54,"B","E")),"E"))</x:f>
        <x:v>A</x:v>
      </x:c>
      <x:c r="P54" t="str">
        <x:f>IF($M54="90 minutos",IF($J54&gt;$K54,"A",IF($K54&gt;$J54,"B","E")),"E")</x:f>
        <x:v>B</x:v>
      </x:c>
      <x:c r="Q54" t="str">
        <x:f>IF($H54="Sin envio","No",IF($H54=$L54,"Si","No"))</x:f>
        <x:v>No</x:v>
      </x:c>
      <x:c r="R54" t="str">
        <x:f>IF(AND($I54=$M54,NOT(AND($I54="Penales",$F54&lt;&gt;$G54))),"Si","No")</x:f>
        <x:v>Si</x:v>
      </x:c>
      <x:c r="S54" t="n">
        <x:f>IF(OR($N54&lt;&gt;"Finalizado",$Q54&lt;&gt;"Si"),0,IF($O54=$P54,Reglas!$B$2,0))</x:f>
        <x:v>0</x:v>
      </x:c>
      <x:c r="T54" t="n">
        <x:f>IF(OR($N54&lt;&gt;"Finalizado",$Q54&lt;&gt;"Si"),0,Reglas!$B$3)</x:f>
        <x:v>0</x:v>
      </x:c>
      <x:c r="U54" t="n">
        <x:f>IF(OR($N54&lt;&gt;"Finalizado",$Q54&lt;&gt;"Si"),0,IF($I54=$M54,Reglas!$B$4,0))</x:f>
        <x:v>0</x:v>
      </x:c>
      <x:c r="V54" t="n">
        <x:f>IF(OR($N54&lt;&gt;"Finalizado",$Q54&lt;&gt;"Si",$R54&lt;&gt;"Si"),0,IF(AND($F54=$J54,$G54=$K54),Reglas!$B$5,0))</x:f>
        <x:v>0</x:v>
      </x:c>
      <x:c r="W54" t="n">
        <x:f>IF(OR($N54&lt;&gt;"Finalizado",$Q54&lt;&gt;"Si",$R54&lt;&gt;"Si"),0,IF($F54-$G54=$J54-$K54,Reglas!$B$6,0))</x:f>
        <x:v>0</x:v>
      </x:c>
      <x:c r="X54" t="n">
        <x:f>IF(OR($N54&lt;&gt;"Finalizado",$Q54&lt;&gt;"Si",$R54&lt;&gt;"Si"),0,IF($F54=$J54,Reglas!$B$7,0))</x:f>
        <x:v>0</x:v>
      </x:c>
      <x:c r="Y54" t="n">
        <x:f>IF(OR($N54&lt;&gt;"Finalizado",$Q54&lt;&gt;"Si",$R54&lt;&gt;"Si"),0,IF($G54=$K54,Reglas!$B$8,0))</x:f>
        <x:v>0</x:v>
      </x:c>
      <x:c r="Z54" t="n">
        <x:f>SUM($S54:$Y54)</x:f>
        <x:v>0</x:v>
      </x:c>
      <x:c r="AA54" t="str">
        <x:f>IF($N54&lt;&gt;"Finalizado","Resultado pendiente",IF($H54="Sin envio","Sin respuesta",IF($Q54&lt;&gt;"Si","No acerto clasificado","OK")))</x:f>
        <x:v>No acerto clasificado</x:v>
      </x:c>
      <x:c r="AB54" t="str">
        <x:v>8vos detalle reconstruido</x:v>
      </x:c>
      <x:c r="AC54" t="n">
        <x:v>0</x:v>
      </x:c>
      <x:c r="AD54" t="n">
        <x:f>$Z54-$AC54</x:f>
        <x:v>0</x:v>
      </x:c>
    </x:row>
    <x:row r="55" ht="15" hidden="0" customHeight="1">
      <x:c r="A55" t="str">
        <x:v>8vos</x:v>
      </x:c>
      <x:c r="B55" t="str">
        <x:v>O3</x:v>
      </x:c>
      <x:c r="C55" t="str">
        <x:v>Manuel</x:v>
      </x:c>
      <x:c r="D55" t="str">
        <x:v>Brasil</x:v>
      </x:c>
      <x:c r="E55" t="str">
        <x:v>Noruega</x:v>
      </x:c>
      <x:c r="F55" t="n">
        <x:v>1</x:v>
      </x:c>
      <x:c r="G55" t="n">
        <x:v>2</x:v>
      </x:c>
      <x:c r="H55" t="str">
        <x:v>Noruega</x:v>
      </x:c>
      <x:c r="I55" t="str">
        <x:v>90 minutos</x:v>
      </x:c>
      <x:c r="J55" t="n">
        <x:v>1</x:v>
      </x:c>
      <x:c r="K55" t="n">
        <x:v>2</x:v>
      </x:c>
      <x:c r="L55" t="str">
        <x:v>Noruega</x:v>
      </x:c>
      <x:c r="M55" t="str">
        <x:v>90 minutos</x:v>
      </x:c>
      <x:c r="N55" t="str">
        <x:v>Finalizado</x:v>
      </x:c>
      <x:c r="O55" t="str">
        <x:f>IF($H55="Sin envio","Sin envio",IF($I55="90 minutos",IF($F55&gt;$G55,"A",IF($G55&gt;$F55,"B","E")),"E"))</x:f>
        <x:v>B</x:v>
      </x:c>
      <x:c r="P55" t="str">
        <x:f>IF($M55="90 minutos",IF($J55&gt;$K55,"A",IF($K55&gt;$J55,"B","E")),"E")</x:f>
        <x:v>B</x:v>
      </x:c>
      <x:c r="Q55" t="str">
        <x:f>IF($H55="Sin envio","No",IF($H55=$L55,"Si","No"))</x:f>
        <x:v>Si</x:v>
      </x:c>
      <x:c r="R55" t="str">
        <x:f>IF(AND($I55=$M55,NOT(AND($I55="Penales",$F55&lt;&gt;$G55))),"Si","No")</x:f>
        <x:v>Si</x:v>
      </x:c>
      <x:c r="S55" t="n">
        <x:f>IF(OR($N55&lt;&gt;"Finalizado",$Q55&lt;&gt;"Si"),0,IF($O55=$P55,Reglas!$B$2,0))</x:f>
        <x:v>5</x:v>
      </x:c>
      <x:c r="T55" t="n">
        <x:f>IF(OR($N55&lt;&gt;"Finalizado",$Q55&lt;&gt;"Si"),0,Reglas!$B$3)</x:f>
        <x:v>3</x:v>
      </x:c>
      <x:c r="U55" t="n">
        <x:f>IF(OR($N55&lt;&gt;"Finalizado",$Q55&lt;&gt;"Si"),0,IF($I55=$M55,Reglas!$B$4,0))</x:f>
        <x:v>2</x:v>
      </x:c>
      <x:c r="V55" t="n">
        <x:f>IF(OR($N55&lt;&gt;"Finalizado",$Q55&lt;&gt;"Si",$R55&lt;&gt;"Si"),0,IF(AND($F55=$J55,$G55=$K55),Reglas!$B$5,0))</x:f>
        <x:v>4</x:v>
      </x:c>
      <x:c r="W55" t="n">
        <x:f>IF(OR($N55&lt;&gt;"Finalizado",$Q55&lt;&gt;"Si",$R55&lt;&gt;"Si"),0,IF($F55-$G55=$J55-$K55,Reglas!$B$6,0))</x:f>
        <x:v>2</x:v>
      </x:c>
      <x:c r="X55" t="n">
        <x:f>IF(OR($N55&lt;&gt;"Finalizado",$Q55&lt;&gt;"Si",$R55&lt;&gt;"Si"),0,IF($F55=$J55,Reglas!$B$7,0))</x:f>
        <x:v>1</x:v>
      </x:c>
      <x:c r="Y55" t="n">
        <x:f>IF(OR($N55&lt;&gt;"Finalizado",$Q55&lt;&gt;"Si",$R55&lt;&gt;"Si"),0,IF($G55=$K55,Reglas!$B$8,0))</x:f>
        <x:v>1</x:v>
      </x:c>
      <x:c r="Z55" t="n">
        <x:f>SUM($S55:$Y55)</x:f>
        <x:v>18</x:v>
      </x:c>
      <x:c r="AA55" t="str">
        <x:f>IF($N55&lt;&gt;"Finalizado","Resultado pendiente",IF($H55="Sin envio","Sin respuesta",IF($Q55&lt;&gt;"Si","No acerto clasificado","OK")))</x:f>
        <x:v>OK</x:v>
      </x:c>
      <x:c r="AB55" t="str">
        <x:v>8vos detalle reconstruido</x:v>
      </x:c>
      <x:c r="AC55" t="n">
        <x:v>18</x:v>
      </x:c>
      <x:c r="AD55" t="n">
        <x:f>$Z55-$AC55</x:f>
        <x:v>0</x:v>
      </x:c>
    </x:row>
    <x:row r="56" ht="15" hidden="0" customHeight="1">
      <x:c r="A56" t="str">
        <x:v>8vos</x:v>
      </x:c>
      <x:c r="B56" t="str">
        <x:v>O3</x:v>
      </x:c>
      <x:c r="C56" t="str">
        <x:v>Jorge</x:v>
      </x:c>
      <x:c r="D56" t="str">
        <x:v>Brasil</x:v>
      </x:c>
      <x:c r="E56" t="str">
        <x:v>Noruega</x:v>
      </x:c>
      <x:c r="F56" t="n">
        <x:v>3</x:v>
      </x:c>
      <x:c r="G56" t="n">
        <x:v>1</x:v>
      </x:c>
      <x:c r="H56" t="str">
        <x:v>Brasil</x:v>
      </x:c>
      <x:c r="I56" t="str">
        <x:v>90 minutos</x:v>
      </x:c>
      <x:c r="J56" t="n">
        <x:v>1</x:v>
      </x:c>
      <x:c r="K56" t="n">
        <x:v>2</x:v>
      </x:c>
      <x:c r="L56" t="str">
        <x:v>Noruega</x:v>
      </x:c>
      <x:c r="M56" t="str">
        <x:v>90 minutos</x:v>
      </x:c>
      <x:c r="N56" t="str">
        <x:v>Finalizado</x:v>
      </x:c>
      <x:c r="O56" t="str">
        <x:f>IF($H56="Sin envio","Sin envio",IF($I56="90 minutos",IF($F56&gt;$G56,"A",IF($G56&gt;$F56,"B","E")),"E"))</x:f>
        <x:v>A</x:v>
      </x:c>
      <x:c r="P56" t="str">
        <x:f>IF($M56="90 minutos",IF($J56&gt;$K56,"A",IF($K56&gt;$J56,"B","E")),"E")</x:f>
        <x:v>B</x:v>
      </x:c>
      <x:c r="Q56" t="str">
        <x:f>IF($H56="Sin envio","No",IF($H56=$L56,"Si","No"))</x:f>
        <x:v>No</x:v>
      </x:c>
      <x:c r="R56" t="str">
        <x:f>IF(AND($I56=$M56,NOT(AND($I56="Penales",$F56&lt;&gt;$G56))),"Si","No")</x:f>
        <x:v>Si</x:v>
      </x:c>
      <x:c r="S56" t="n">
        <x:f>IF(OR($N56&lt;&gt;"Finalizado",$Q56&lt;&gt;"Si"),0,IF($O56=$P56,Reglas!$B$2,0))</x:f>
        <x:v>0</x:v>
      </x:c>
      <x:c r="T56" t="n">
        <x:f>IF(OR($N56&lt;&gt;"Finalizado",$Q56&lt;&gt;"Si"),0,Reglas!$B$3)</x:f>
        <x:v>0</x:v>
      </x:c>
      <x:c r="U56" t="n">
        <x:f>IF(OR($N56&lt;&gt;"Finalizado",$Q56&lt;&gt;"Si"),0,IF($I56=$M56,Reglas!$B$4,0))</x:f>
        <x:v>0</x:v>
      </x:c>
      <x:c r="V56" t="n">
        <x:f>IF(OR($N56&lt;&gt;"Finalizado",$Q56&lt;&gt;"Si",$R56&lt;&gt;"Si"),0,IF(AND($F56=$J56,$G56=$K56),Reglas!$B$5,0))</x:f>
        <x:v>0</x:v>
      </x:c>
      <x:c r="W56" t="n">
        <x:f>IF(OR($N56&lt;&gt;"Finalizado",$Q56&lt;&gt;"Si",$R56&lt;&gt;"Si"),0,IF($F56-$G56=$J56-$K56,Reglas!$B$6,0))</x:f>
        <x:v>0</x:v>
      </x:c>
      <x:c r="X56" t="n">
        <x:f>IF(OR($N56&lt;&gt;"Finalizado",$Q56&lt;&gt;"Si",$R56&lt;&gt;"Si"),0,IF($F56=$J56,Reglas!$B$7,0))</x:f>
        <x:v>0</x:v>
      </x:c>
      <x:c r="Y56" t="n">
        <x:f>IF(OR($N56&lt;&gt;"Finalizado",$Q56&lt;&gt;"Si",$R56&lt;&gt;"Si"),0,IF($G56=$K56,Reglas!$B$8,0))</x:f>
        <x:v>0</x:v>
      </x:c>
      <x:c r="Z56" t="n">
        <x:f>SUM($S56:$Y56)</x:f>
        <x:v>0</x:v>
      </x:c>
      <x:c r="AA56" t="str">
        <x:f>IF($N56&lt;&gt;"Finalizado","Resultado pendiente",IF($H56="Sin envio","Sin respuesta",IF($Q56&lt;&gt;"Si","No acerto clasificado","OK")))</x:f>
        <x:v>No acerto clasificado</x:v>
      </x:c>
      <x:c r="AB56" t="str">
        <x:v>8vos detalle reconstruido</x:v>
      </x:c>
      <x:c r="AC56" t="n">
        <x:v>0</x:v>
      </x:c>
      <x:c r="AD56" t="n">
        <x:f>$Z56-$AC56</x:f>
        <x:v>0</x:v>
      </x:c>
    </x:row>
    <x:row r="57" ht="15" hidden="0" customHeight="1">
      <x:c r="A57" t="str">
        <x:v>8vos</x:v>
      </x:c>
      <x:c r="B57" t="str">
        <x:v>O3</x:v>
      </x:c>
      <x:c r="C57" t="str">
        <x:v>Daniel</x:v>
      </x:c>
      <x:c r="D57" t="str">
        <x:v>Brasil</x:v>
      </x:c>
      <x:c r="E57" t="str">
        <x:v>Noruega</x:v>
      </x:c>
      <x:c r="F57" t="n">
        <x:v>1</x:v>
      </x:c>
      <x:c r="G57" t="n">
        <x:v>1</x:v>
      </x:c>
      <x:c r="H57" t="str">
        <x:v>Brasil</x:v>
      </x:c>
      <x:c r="I57" t="str">
        <x:v>Penales</x:v>
      </x:c>
      <x:c r="J57" t="n">
        <x:v>1</x:v>
      </x:c>
      <x:c r="K57" t="n">
        <x:v>2</x:v>
      </x:c>
      <x:c r="L57" t="str">
        <x:v>Noruega</x:v>
      </x:c>
      <x:c r="M57" t="str">
        <x:v>90 minutos</x:v>
      </x:c>
      <x:c r="N57" t="str">
        <x:v>Finalizado</x:v>
      </x:c>
      <x:c r="O57" t="str">
        <x:f>IF($H57="Sin envio","Sin envio",IF($I57="90 minutos",IF($F57&gt;$G57,"A",IF($G57&gt;$F57,"B","E")),"E"))</x:f>
        <x:v>E</x:v>
      </x:c>
      <x:c r="P57" t="str">
        <x:f>IF($M57="90 minutos",IF($J57&gt;$K57,"A",IF($K57&gt;$J57,"B","E")),"E")</x:f>
        <x:v>B</x:v>
      </x:c>
      <x:c r="Q57" t="str">
        <x:f>IF($H57="Sin envio","No",IF($H57=$L57,"Si","No"))</x:f>
        <x:v>No</x:v>
      </x:c>
      <x:c r="R57" t="str">
        <x:f>IF(AND($I57=$M57,NOT(AND($I57="Penales",$F57&lt;&gt;$G57))),"Si","No")</x:f>
        <x:v>No</x:v>
      </x:c>
      <x:c r="S57" t="n">
        <x:f>IF(OR($N57&lt;&gt;"Finalizado",$Q57&lt;&gt;"Si"),0,IF($O57=$P57,Reglas!$B$2,0))</x:f>
        <x:v>0</x:v>
      </x:c>
      <x:c r="T57" t="n">
        <x:f>IF(OR($N57&lt;&gt;"Finalizado",$Q57&lt;&gt;"Si"),0,Reglas!$B$3)</x:f>
        <x:v>0</x:v>
      </x:c>
      <x:c r="U57" t="n">
        <x:f>IF(OR($N57&lt;&gt;"Finalizado",$Q57&lt;&gt;"Si"),0,IF($I57=$M57,Reglas!$B$4,0))</x:f>
        <x:v>0</x:v>
      </x:c>
      <x:c r="V57" t="n">
        <x:f>IF(OR($N57&lt;&gt;"Finalizado",$Q57&lt;&gt;"Si",$R57&lt;&gt;"Si"),0,IF(AND($F57=$J57,$G57=$K57),Reglas!$B$5,0))</x:f>
        <x:v>0</x:v>
      </x:c>
      <x:c r="W57" t="n">
        <x:f>IF(OR($N57&lt;&gt;"Finalizado",$Q57&lt;&gt;"Si",$R57&lt;&gt;"Si"),0,IF($F57-$G57=$J57-$K57,Reglas!$B$6,0))</x:f>
        <x:v>0</x:v>
      </x:c>
      <x:c r="X57" t="n">
        <x:f>IF(OR($N57&lt;&gt;"Finalizado",$Q57&lt;&gt;"Si",$R57&lt;&gt;"Si"),0,IF($F57=$J57,Reglas!$B$7,0))</x:f>
        <x:v>0</x:v>
      </x:c>
      <x:c r="Y57" t="n">
        <x:f>IF(OR($N57&lt;&gt;"Finalizado",$Q57&lt;&gt;"Si",$R57&lt;&gt;"Si"),0,IF($G57=$K57,Reglas!$B$8,0))</x:f>
        <x:v>0</x:v>
      </x:c>
      <x:c r="Z57" t="n">
        <x:f>SUM($S57:$Y57)</x:f>
        <x:v>0</x:v>
      </x:c>
      <x:c r="AA57" t="str">
        <x:f>IF($N57&lt;&gt;"Finalizado","Resultado pendiente",IF($H57="Sin envio","Sin respuesta",IF($Q57&lt;&gt;"Si","No acerto clasificado","OK")))</x:f>
        <x:v>No acerto clasificado</x:v>
      </x:c>
      <x:c r="AB57" t="str">
        <x:v>8vos detalle reconstruido</x:v>
      </x:c>
      <x:c r="AC57" t="n">
        <x:v>0</x:v>
      </x:c>
      <x:c r="AD57" t="n">
        <x:f>$Z57-$AC57</x:f>
        <x:v>0</x:v>
      </x:c>
    </x:row>
    <x:row r="58" ht="15" hidden="0" customHeight="1">
      <x:c r="A58" t="str">
        <x:v>8vos</x:v>
      </x:c>
      <x:c r="B58" t="str">
        <x:v>O3</x:v>
      </x:c>
      <x:c r="C58" t="str">
        <x:v>Arthur</x:v>
      </x:c>
      <x:c r="D58" t="str">
        <x:v>Brasil</x:v>
      </x:c>
      <x:c r="E58" t="str">
        <x:v>Noruega</x:v>
      </x:c>
      <x:c r="F58" t="n">
        <x:v>2</x:v>
      </x:c>
      <x:c r="G58" t="n">
        <x:v>1</x:v>
      </x:c>
      <x:c r="H58" t="str">
        <x:v>Brasil</x:v>
      </x:c>
      <x:c r="I58" t="str">
        <x:v>90 minutos</x:v>
      </x:c>
      <x:c r="J58" t="n">
        <x:v>1</x:v>
      </x:c>
      <x:c r="K58" t="n">
        <x:v>2</x:v>
      </x:c>
      <x:c r="L58" t="str">
        <x:v>Noruega</x:v>
      </x:c>
      <x:c r="M58" t="str">
        <x:v>90 minutos</x:v>
      </x:c>
      <x:c r="N58" t="str">
        <x:v>Finalizado</x:v>
      </x:c>
      <x:c r="O58" t="str">
        <x:f>IF($H58="Sin envio","Sin envio",IF($I58="90 minutos",IF($F58&gt;$G58,"A",IF($G58&gt;$F58,"B","E")),"E"))</x:f>
        <x:v>A</x:v>
      </x:c>
      <x:c r="P58" t="str">
        <x:f>IF($M58="90 minutos",IF($J58&gt;$K58,"A",IF($K58&gt;$J58,"B","E")),"E")</x:f>
        <x:v>B</x:v>
      </x:c>
      <x:c r="Q58" t="str">
        <x:f>IF($H58="Sin envio","No",IF($H58=$L58,"Si","No"))</x:f>
        <x:v>No</x:v>
      </x:c>
      <x:c r="R58" t="str">
        <x:f>IF(AND($I58=$M58,NOT(AND($I58="Penales",$F58&lt;&gt;$G58))),"Si","No")</x:f>
        <x:v>Si</x:v>
      </x:c>
      <x:c r="S58" t="n">
        <x:f>IF(OR($N58&lt;&gt;"Finalizado",$Q58&lt;&gt;"Si"),0,IF($O58=$P58,Reglas!$B$2,0))</x:f>
        <x:v>0</x:v>
      </x:c>
      <x:c r="T58" t="n">
        <x:f>IF(OR($N58&lt;&gt;"Finalizado",$Q58&lt;&gt;"Si"),0,Reglas!$B$3)</x:f>
        <x:v>0</x:v>
      </x:c>
      <x:c r="U58" t="n">
        <x:f>IF(OR($N58&lt;&gt;"Finalizado",$Q58&lt;&gt;"Si"),0,IF($I58=$M58,Reglas!$B$4,0))</x:f>
        <x:v>0</x:v>
      </x:c>
      <x:c r="V58" t="n">
        <x:f>IF(OR($N58&lt;&gt;"Finalizado",$Q58&lt;&gt;"Si",$R58&lt;&gt;"Si"),0,IF(AND($F58=$J58,$G58=$K58),Reglas!$B$5,0))</x:f>
        <x:v>0</x:v>
      </x:c>
      <x:c r="W58" t="n">
        <x:f>IF(OR($N58&lt;&gt;"Finalizado",$Q58&lt;&gt;"Si",$R58&lt;&gt;"Si"),0,IF($F58-$G58=$J58-$K58,Reglas!$B$6,0))</x:f>
        <x:v>0</x:v>
      </x:c>
      <x:c r="X58" t="n">
        <x:f>IF(OR($N58&lt;&gt;"Finalizado",$Q58&lt;&gt;"Si",$R58&lt;&gt;"Si"),0,IF($F58=$J58,Reglas!$B$7,0))</x:f>
        <x:v>0</x:v>
      </x:c>
      <x:c r="Y58" t="n">
        <x:f>IF(OR($N58&lt;&gt;"Finalizado",$Q58&lt;&gt;"Si",$R58&lt;&gt;"Si"),0,IF($G58=$K58,Reglas!$B$8,0))</x:f>
        <x:v>0</x:v>
      </x:c>
      <x:c r="Z58" t="n">
        <x:f>SUM($S58:$Y58)</x:f>
        <x:v>0</x:v>
      </x:c>
      <x:c r="AA58" t="str">
        <x:f>IF($N58&lt;&gt;"Finalizado","Resultado pendiente",IF($H58="Sin envio","Sin respuesta",IF($Q58&lt;&gt;"Si","No acerto clasificado","OK")))</x:f>
        <x:v>No acerto clasificado</x:v>
      </x:c>
      <x:c r="AB58" t="str">
        <x:v>8vos detalle reconstruido</x:v>
      </x:c>
      <x:c r="AC58" t="n">
        <x:v>0</x:v>
      </x:c>
      <x:c r="AD58" t="n">
        <x:f>$Z58-$AC58</x:f>
        <x:v>0</x:v>
      </x:c>
    </x:row>
    <x:row r="59" ht="15" hidden="0" customHeight="1">
      <x:c r="A59" t="str">
        <x:v>8vos</x:v>
      </x:c>
      <x:c r="B59" t="str">
        <x:v>O3</x:v>
      </x:c>
      <x:c r="C59" t="str">
        <x:v>José Luis</x:v>
      </x:c>
      <x:c r="D59" t="str">
        <x:v>Brasil</x:v>
      </x:c>
      <x:c r="E59" t="str">
        <x:v>Noruega</x:v>
      </x:c>
      <x:c r="F59"/>
      <x:c r="G59"/>
      <x:c r="H59" t="str">
        <x:v>Sin envio</x:v>
      </x:c>
      <x:c r="I59" t="str">
        <x:v>Sin envio</x:v>
      </x:c>
      <x:c r="J59" t="n">
        <x:v>1</x:v>
      </x:c>
      <x:c r="K59" t="n">
        <x:v>2</x:v>
      </x:c>
      <x:c r="L59" t="str">
        <x:v>Noruega</x:v>
      </x:c>
      <x:c r="M59" t="str">
        <x:v>90 minutos</x:v>
      </x:c>
      <x:c r="N59" t="str">
        <x:v>Finalizado</x:v>
      </x:c>
      <x:c r="O59" t="str">
        <x:f>IF($H59="Sin envio","Sin envio",IF($I59="90 minutos",IF($F59&gt;$G59,"A",IF($G59&gt;$F59,"B","E")),"E"))</x:f>
        <x:v>Sin envio</x:v>
      </x:c>
      <x:c r="P59" t="str">
        <x:f>IF($M59="90 minutos",IF($J59&gt;$K59,"A",IF($K59&gt;$J59,"B","E")),"E")</x:f>
        <x:v>B</x:v>
      </x:c>
      <x:c r="Q59" t="str">
        <x:f>IF($H59="Sin envio","No",IF($H59=$L59,"Si","No"))</x:f>
        <x:v>No</x:v>
      </x:c>
      <x:c r="R59" t="str">
        <x:f>IF(AND($I59=$M59,NOT(AND($I59="Penales",$F59&lt;&gt;$G59))),"Si","No")</x:f>
        <x:v>No</x:v>
      </x:c>
      <x:c r="S59" t="n">
        <x:f>IF(OR($N59&lt;&gt;"Finalizado",$Q59&lt;&gt;"Si"),0,IF($O59=$P59,Reglas!$B$2,0))</x:f>
        <x:v>0</x:v>
      </x:c>
      <x:c r="T59" t="n">
        <x:f>IF(OR($N59&lt;&gt;"Finalizado",$Q59&lt;&gt;"Si"),0,Reglas!$B$3)</x:f>
        <x:v>0</x:v>
      </x:c>
      <x:c r="U59" t="n">
        <x:f>IF(OR($N59&lt;&gt;"Finalizado",$Q59&lt;&gt;"Si"),0,IF($I59=$M59,Reglas!$B$4,0))</x:f>
        <x:v>0</x:v>
      </x:c>
      <x:c r="V59" t="n">
        <x:f>IF(OR($N59&lt;&gt;"Finalizado",$Q59&lt;&gt;"Si",$R59&lt;&gt;"Si"),0,IF(AND($F59=$J59,$G59=$K59),Reglas!$B$5,0))</x:f>
        <x:v>0</x:v>
      </x:c>
      <x:c r="W59" t="n">
        <x:f>IF(OR($N59&lt;&gt;"Finalizado",$Q59&lt;&gt;"Si",$R59&lt;&gt;"Si"),0,IF($F59-$G59=$J59-$K59,Reglas!$B$6,0))</x:f>
        <x:v>0</x:v>
      </x:c>
      <x:c r="X59" t="n">
        <x:f>IF(OR($N59&lt;&gt;"Finalizado",$Q59&lt;&gt;"Si",$R59&lt;&gt;"Si"),0,IF($F59=$J59,Reglas!$B$7,0))</x:f>
        <x:v>0</x:v>
      </x:c>
      <x:c r="Y59" t="n">
        <x:f>IF(OR($N59&lt;&gt;"Finalizado",$Q59&lt;&gt;"Si",$R59&lt;&gt;"Si"),0,IF($G59=$K59,Reglas!$B$8,0))</x:f>
        <x:v>0</x:v>
      </x:c>
      <x:c r="Z59" t="n">
        <x:f>SUM($S59:$Y59)</x:f>
        <x:v>0</x:v>
      </x:c>
      <x:c r="AA59" t="str">
        <x:f>IF($N59&lt;&gt;"Finalizado","Resultado pendiente",IF($H59="Sin envio","Sin respuesta",IF($Q59&lt;&gt;"Si","No acerto clasificado","OK")))</x:f>
        <x:v>Sin respuesta</x:v>
      </x:c>
      <x:c r="AB59" t="str">
        <x:v>8vos detalle reconstruido</x:v>
      </x:c>
      <x:c r="AC59" t="n">
        <x:v>0</x:v>
      </x:c>
      <x:c r="AD59" t="n">
        <x:f>$Z59-$AC59</x:f>
        <x:v>0</x:v>
      </x:c>
    </x:row>
    <x:row r="60" ht="15" hidden="0" customHeight="1">
      <x:c r="A60" t="str">
        <x:v>8vos</x:v>
      </x:c>
      <x:c r="B60" t="str">
        <x:v>O3</x:v>
      </x:c>
      <x:c r="C60" t="str">
        <x:v>Marcelo</x:v>
      </x:c>
      <x:c r="D60" t="str">
        <x:v>Brasil</x:v>
      </x:c>
      <x:c r="E60" t="str">
        <x:v>Noruega</x:v>
      </x:c>
      <x:c r="F60"/>
      <x:c r="G60"/>
      <x:c r="H60" t="str">
        <x:v>Sin envio</x:v>
      </x:c>
      <x:c r="I60" t="str">
        <x:v>Sin envio</x:v>
      </x:c>
      <x:c r="J60" t="n">
        <x:v>1</x:v>
      </x:c>
      <x:c r="K60" t="n">
        <x:v>2</x:v>
      </x:c>
      <x:c r="L60" t="str">
        <x:v>Noruega</x:v>
      </x:c>
      <x:c r="M60" t="str">
        <x:v>90 minutos</x:v>
      </x:c>
      <x:c r="N60" t="str">
        <x:v>Finalizado</x:v>
      </x:c>
      <x:c r="O60" t="str">
        <x:f>IF($H60="Sin envio","Sin envio",IF($I60="90 minutos",IF($F60&gt;$G60,"A",IF($G60&gt;$F60,"B","E")),"E"))</x:f>
        <x:v>Sin envio</x:v>
      </x:c>
      <x:c r="P60" t="str">
        <x:f>IF($M60="90 minutos",IF($J60&gt;$K60,"A",IF($K60&gt;$J60,"B","E")),"E")</x:f>
        <x:v>B</x:v>
      </x:c>
      <x:c r="Q60" t="str">
        <x:f>IF($H60="Sin envio","No",IF($H60=$L60,"Si","No"))</x:f>
        <x:v>No</x:v>
      </x:c>
      <x:c r="R60" t="str">
        <x:f>IF(AND($I60=$M60,NOT(AND($I60="Penales",$F60&lt;&gt;$G60))),"Si","No")</x:f>
        <x:v>No</x:v>
      </x:c>
      <x:c r="S60" t="n">
        <x:f>IF(OR($N60&lt;&gt;"Finalizado",$Q60&lt;&gt;"Si"),0,IF($O60=$P60,Reglas!$B$2,0))</x:f>
        <x:v>0</x:v>
      </x:c>
      <x:c r="T60" t="n">
        <x:f>IF(OR($N60&lt;&gt;"Finalizado",$Q60&lt;&gt;"Si"),0,Reglas!$B$3)</x:f>
        <x:v>0</x:v>
      </x:c>
      <x:c r="U60" t="n">
        <x:f>IF(OR($N60&lt;&gt;"Finalizado",$Q60&lt;&gt;"Si"),0,IF($I60=$M60,Reglas!$B$4,0))</x:f>
        <x:v>0</x:v>
      </x:c>
      <x:c r="V60" t="n">
        <x:f>IF(OR($N60&lt;&gt;"Finalizado",$Q60&lt;&gt;"Si",$R60&lt;&gt;"Si"),0,IF(AND($F60=$J60,$G60=$K60),Reglas!$B$5,0))</x:f>
        <x:v>0</x:v>
      </x:c>
      <x:c r="W60" t="n">
        <x:f>IF(OR($N60&lt;&gt;"Finalizado",$Q60&lt;&gt;"Si",$R60&lt;&gt;"Si"),0,IF($F60-$G60=$J60-$K60,Reglas!$B$6,0))</x:f>
        <x:v>0</x:v>
      </x:c>
      <x:c r="X60" t="n">
        <x:f>IF(OR($N60&lt;&gt;"Finalizado",$Q60&lt;&gt;"Si",$R60&lt;&gt;"Si"),0,IF($F60=$J60,Reglas!$B$7,0))</x:f>
        <x:v>0</x:v>
      </x:c>
      <x:c r="Y60" t="n">
        <x:f>IF(OR($N60&lt;&gt;"Finalizado",$Q60&lt;&gt;"Si",$R60&lt;&gt;"Si"),0,IF($G60=$K60,Reglas!$B$8,0))</x:f>
        <x:v>0</x:v>
      </x:c>
      <x:c r="Z60" t="n">
        <x:f>SUM($S60:$Y60)</x:f>
        <x:v>0</x:v>
      </x:c>
      <x:c r="AA60" t="str">
        <x:f>IF($N60&lt;&gt;"Finalizado","Resultado pendiente",IF($H60="Sin envio","Sin respuesta",IF($Q60&lt;&gt;"Si","No acerto clasificado","OK")))</x:f>
        <x:v>Sin respuesta</x:v>
      </x:c>
      <x:c r="AB60" t="str">
        <x:v>8vos detalle reconstruido</x:v>
      </x:c>
      <x:c r="AC60" t="n">
        <x:v>0</x:v>
      </x:c>
      <x:c r="AD60" t="n">
        <x:f>$Z60-$AC60</x:f>
        <x:v>0</x:v>
      </x:c>
    </x:row>
    <x:row r="61" ht="15" hidden="0" customHeight="1">
      <x:c r="A61" t="str">
        <x:v>8vos</x:v>
      </x:c>
      <x:c r="B61" t="str">
        <x:v>O3</x:v>
      </x:c>
      <x:c r="C61" t="str">
        <x:v>Anny</x:v>
      </x:c>
      <x:c r="D61" t="str">
        <x:v>Brasil</x:v>
      </x:c>
      <x:c r="E61" t="str">
        <x:v>Noruega</x:v>
      </x:c>
      <x:c r="F61" t="n">
        <x:v>3</x:v>
      </x:c>
      <x:c r="G61" t="n">
        <x:v>1</x:v>
      </x:c>
      <x:c r="H61" t="str">
        <x:v>Brasil</x:v>
      </x:c>
      <x:c r="I61" t="str">
        <x:v>90 minutos</x:v>
      </x:c>
      <x:c r="J61" t="n">
        <x:v>1</x:v>
      </x:c>
      <x:c r="K61" t="n">
        <x:v>2</x:v>
      </x:c>
      <x:c r="L61" t="str">
        <x:v>Noruega</x:v>
      </x:c>
      <x:c r="M61" t="str">
        <x:v>90 minutos</x:v>
      </x:c>
      <x:c r="N61" t="str">
        <x:v>Finalizado</x:v>
      </x:c>
      <x:c r="O61" t="str">
        <x:f>IF($H61="Sin envio","Sin envio",IF($I61="90 minutos",IF($F61&gt;$G61,"A",IF($G61&gt;$F61,"B","E")),"E"))</x:f>
        <x:v>A</x:v>
      </x:c>
      <x:c r="P61" t="str">
        <x:f>IF($M61="90 minutos",IF($J61&gt;$K61,"A",IF($K61&gt;$J61,"B","E")),"E")</x:f>
        <x:v>B</x:v>
      </x:c>
      <x:c r="Q61" t="str">
        <x:f>IF($H61="Sin envio","No",IF($H61=$L61,"Si","No"))</x:f>
        <x:v>No</x:v>
      </x:c>
      <x:c r="R61" t="str">
        <x:f>IF(AND($I61=$M61,NOT(AND($I61="Penales",$F61&lt;&gt;$G61))),"Si","No")</x:f>
        <x:v>Si</x:v>
      </x:c>
      <x:c r="S61" t="n">
        <x:f>IF(OR($N61&lt;&gt;"Finalizado",$Q61&lt;&gt;"Si"),0,IF($O61=$P61,Reglas!$B$2,0))</x:f>
        <x:v>0</x:v>
      </x:c>
      <x:c r="T61" t="n">
        <x:f>IF(OR($N61&lt;&gt;"Finalizado",$Q61&lt;&gt;"Si"),0,Reglas!$B$3)</x:f>
        <x:v>0</x:v>
      </x:c>
      <x:c r="U61" t="n">
        <x:f>IF(OR($N61&lt;&gt;"Finalizado",$Q61&lt;&gt;"Si"),0,IF($I61=$M61,Reglas!$B$4,0))</x:f>
        <x:v>0</x:v>
      </x:c>
      <x:c r="V61" t="n">
        <x:f>IF(OR($N61&lt;&gt;"Finalizado",$Q61&lt;&gt;"Si",$R61&lt;&gt;"Si"),0,IF(AND($F61=$J61,$G61=$K61),Reglas!$B$5,0))</x:f>
        <x:v>0</x:v>
      </x:c>
      <x:c r="W61" t="n">
        <x:f>IF(OR($N61&lt;&gt;"Finalizado",$Q61&lt;&gt;"Si",$R61&lt;&gt;"Si"),0,IF($F61-$G61=$J61-$K61,Reglas!$B$6,0))</x:f>
        <x:v>0</x:v>
      </x:c>
      <x:c r="X61" t="n">
        <x:f>IF(OR($N61&lt;&gt;"Finalizado",$Q61&lt;&gt;"Si",$R61&lt;&gt;"Si"),0,IF($F61=$J61,Reglas!$B$7,0))</x:f>
        <x:v>0</x:v>
      </x:c>
      <x:c r="Y61" t="n">
        <x:f>IF(OR($N61&lt;&gt;"Finalizado",$Q61&lt;&gt;"Si",$R61&lt;&gt;"Si"),0,IF($G61=$K61,Reglas!$B$8,0))</x:f>
        <x:v>0</x:v>
      </x:c>
      <x:c r="Z61" t="n">
        <x:f>SUM($S61:$Y61)</x:f>
        <x:v>0</x:v>
      </x:c>
      <x:c r="AA61" t="str">
        <x:f>IF($N61&lt;&gt;"Finalizado","Resultado pendiente",IF($H61="Sin envio","Sin respuesta",IF($Q61&lt;&gt;"Si","No acerto clasificado","OK")))</x:f>
        <x:v>No acerto clasificado</x:v>
      </x:c>
      <x:c r="AB61" t="str">
        <x:v>8vos detalle reconstruido</x:v>
      </x:c>
      <x:c r="AC61" t="n">
        <x:v>0</x:v>
      </x:c>
      <x:c r="AD61" t="n">
        <x:f>$Z61-$AC61</x:f>
        <x:v>0</x:v>
      </x:c>
    </x:row>
    <x:row r="62" ht="15" hidden="0" customHeight="1">
      <x:c r="A62" t="str">
        <x:v>8vos</x:v>
      </x:c>
      <x:c r="B62" t="str">
        <x:v>O3</x:v>
      </x:c>
      <x:c r="C62" t="str">
        <x:v>Moisés</x:v>
      </x:c>
      <x:c r="D62" t="str">
        <x:v>Brasil</x:v>
      </x:c>
      <x:c r="E62" t="str">
        <x:v>Noruega</x:v>
      </x:c>
      <x:c r="F62" t="n">
        <x:v>2</x:v>
      </x:c>
      <x:c r="G62" t="n">
        <x:v>1</x:v>
      </x:c>
      <x:c r="H62" t="str">
        <x:v>Brasil</x:v>
      </x:c>
      <x:c r="I62" t="str">
        <x:v>Penales</x:v>
      </x:c>
      <x:c r="J62" t="n">
        <x:v>1</x:v>
      </x:c>
      <x:c r="K62" t="n">
        <x:v>2</x:v>
      </x:c>
      <x:c r="L62" t="str">
        <x:v>Noruega</x:v>
      </x:c>
      <x:c r="M62" t="str">
        <x:v>90 minutos</x:v>
      </x:c>
      <x:c r="N62" t="str">
        <x:v>Finalizado</x:v>
      </x:c>
      <x:c r="O62" t="str">
        <x:f>IF($H62="Sin envio","Sin envio",IF($I62="90 minutos",IF($F62&gt;$G62,"A",IF($G62&gt;$F62,"B","E")),"E"))</x:f>
        <x:v>E</x:v>
      </x:c>
      <x:c r="P62" t="str">
        <x:f>IF($M62="90 minutos",IF($J62&gt;$K62,"A",IF($K62&gt;$J62,"B","E")),"E")</x:f>
        <x:v>B</x:v>
      </x:c>
      <x:c r="Q62" t="str">
        <x:f>IF($H62="Sin envio","No",IF($H62=$L62,"Si","No"))</x:f>
        <x:v>No</x:v>
      </x:c>
      <x:c r="R62" t="str">
        <x:f>IF(AND($I62=$M62,NOT(AND($I62="Penales",$F62&lt;&gt;$G62))),"Si","No")</x:f>
        <x:v>No</x:v>
      </x:c>
      <x:c r="S62" t="n">
        <x:f>IF(OR($N62&lt;&gt;"Finalizado",$Q62&lt;&gt;"Si"),0,IF($O62=$P62,Reglas!$B$2,0))</x:f>
        <x:v>0</x:v>
      </x:c>
      <x:c r="T62" t="n">
        <x:f>IF(OR($N62&lt;&gt;"Finalizado",$Q62&lt;&gt;"Si"),0,Reglas!$B$3)</x:f>
        <x:v>0</x:v>
      </x:c>
      <x:c r="U62" t="n">
        <x:f>IF(OR($N62&lt;&gt;"Finalizado",$Q62&lt;&gt;"Si"),0,IF($I62=$M62,Reglas!$B$4,0))</x:f>
        <x:v>0</x:v>
      </x:c>
      <x:c r="V62" t="n">
        <x:f>IF(OR($N62&lt;&gt;"Finalizado",$Q62&lt;&gt;"Si",$R62&lt;&gt;"Si"),0,IF(AND($F62=$J62,$G62=$K62),Reglas!$B$5,0))</x:f>
        <x:v>0</x:v>
      </x:c>
      <x:c r="W62" t="n">
        <x:f>IF(OR($N62&lt;&gt;"Finalizado",$Q62&lt;&gt;"Si",$R62&lt;&gt;"Si"),0,IF($F62-$G62=$J62-$K62,Reglas!$B$6,0))</x:f>
        <x:v>0</x:v>
      </x:c>
      <x:c r="X62" t="n">
        <x:f>IF(OR($N62&lt;&gt;"Finalizado",$Q62&lt;&gt;"Si",$R62&lt;&gt;"Si"),0,IF($F62=$J62,Reglas!$B$7,0))</x:f>
        <x:v>0</x:v>
      </x:c>
      <x:c r="Y62" t="n">
        <x:f>IF(OR($N62&lt;&gt;"Finalizado",$Q62&lt;&gt;"Si",$R62&lt;&gt;"Si"),0,IF($G62=$K62,Reglas!$B$8,0))</x:f>
        <x:v>0</x:v>
      </x:c>
      <x:c r="Z62" t="n">
        <x:f>SUM($S62:$Y62)</x:f>
        <x:v>0</x:v>
      </x:c>
      <x:c r="AA62" t="str">
        <x:f>IF($N62&lt;&gt;"Finalizado","Resultado pendiente",IF($H62="Sin envio","Sin respuesta",IF($Q62&lt;&gt;"Si","No acerto clasificado","OK")))</x:f>
        <x:v>No acerto clasificado</x:v>
      </x:c>
      <x:c r="AB62" t="str">
        <x:v>8vos detalle reconstruido</x:v>
      </x:c>
      <x:c r="AC62" t="n">
        <x:v>0</x:v>
      </x:c>
      <x:c r="AD62" t="n">
        <x:f>$Z62-$AC62</x:f>
        <x:v>0</x:v>
      </x:c>
    </x:row>
    <x:row r="63" ht="15" hidden="0" customHeight="1">
      <x:c r="A63" t="str">
        <x:v>8vos</x:v>
      </x:c>
      <x:c r="B63" t="str">
        <x:v>O3</x:v>
      </x:c>
      <x:c r="C63" t="str">
        <x:v>Alex</x:v>
      </x:c>
      <x:c r="D63" t="str">
        <x:v>Brasil</x:v>
      </x:c>
      <x:c r="E63" t="str">
        <x:v>Noruega</x:v>
      </x:c>
      <x:c r="F63" t="n">
        <x:v>2</x:v>
      </x:c>
      <x:c r="G63" t="n">
        <x:v>3</x:v>
      </x:c>
      <x:c r="H63" t="str">
        <x:v>Noruega</x:v>
      </x:c>
      <x:c r="I63" t="str">
        <x:v>Suplementario</x:v>
      </x:c>
      <x:c r="J63" t="n">
        <x:v>1</x:v>
      </x:c>
      <x:c r="K63" t="n">
        <x:v>2</x:v>
      </x:c>
      <x:c r="L63" t="str">
        <x:v>Noruega</x:v>
      </x:c>
      <x:c r="M63" t="str">
        <x:v>90 minutos</x:v>
      </x:c>
      <x:c r="N63" t="str">
        <x:v>Finalizado</x:v>
      </x:c>
      <x:c r="O63" t="str">
        <x:f>IF($H63="Sin envio","Sin envio",IF($I63="90 minutos",IF($F63&gt;$G63,"A",IF($G63&gt;$F63,"B","E")),"E"))</x:f>
        <x:v>E</x:v>
      </x:c>
      <x:c r="P63" t="str">
        <x:f>IF($M63="90 minutos",IF($J63&gt;$K63,"A",IF($K63&gt;$J63,"B","E")),"E")</x:f>
        <x:v>B</x:v>
      </x:c>
      <x:c r="Q63" t="str">
        <x:f>IF($H63="Sin envio","No",IF($H63=$L63,"Si","No"))</x:f>
        <x:v>Si</x:v>
      </x:c>
      <x:c r="R63" t="str">
        <x:f>IF(AND($I63=$M63,NOT(AND($I63="Penales",$F63&lt;&gt;$G63))),"Si","No")</x:f>
        <x:v>No</x:v>
      </x:c>
      <x:c r="S63" t="n">
        <x:f>IF(OR($N63&lt;&gt;"Finalizado",$Q63&lt;&gt;"Si"),0,IF($O63=$P63,Reglas!$B$2,0))</x:f>
        <x:v>0</x:v>
      </x:c>
      <x:c r="T63" t="n">
        <x:f>IF(OR($N63&lt;&gt;"Finalizado",$Q63&lt;&gt;"Si"),0,Reglas!$B$3)</x:f>
        <x:v>3</x:v>
      </x:c>
      <x:c r="U63" t="n">
        <x:f>IF(OR($N63&lt;&gt;"Finalizado",$Q63&lt;&gt;"Si"),0,IF($I63=$M63,Reglas!$B$4,0))</x:f>
        <x:v>0</x:v>
      </x:c>
      <x:c r="V63" t="n">
        <x:f>IF(OR($N63&lt;&gt;"Finalizado",$Q63&lt;&gt;"Si",$R63&lt;&gt;"Si"),0,IF(AND($F63=$J63,$G63=$K63),Reglas!$B$5,0))</x:f>
        <x:v>0</x:v>
      </x:c>
      <x:c r="W63" t="n">
        <x:f>IF(OR($N63&lt;&gt;"Finalizado",$Q63&lt;&gt;"Si",$R63&lt;&gt;"Si"),0,IF($F63-$G63=$J63-$K63,Reglas!$B$6,0))</x:f>
        <x:v>0</x:v>
      </x:c>
      <x:c r="X63" t="n">
        <x:f>IF(OR($N63&lt;&gt;"Finalizado",$Q63&lt;&gt;"Si",$R63&lt;&gt;"Si"),0,IF($F63=$J63,Reglas!$B$7,0))</x:f>
        <x:v>0</x:v>
      </x:c>
      <x:c r="Y63" t="n">
        <x:f>IF(OR($N63&lt;&gt;"Finalizado",$Q63&lt;&gt;"Si",$R63&lt;&gt;"Si"),0,IF($G63=$K63,Reglas!$B$8,0))</x:f>
        <x:v>0</x:v>
      </x:c>
      <x:c r="Z63" t="n">
        <x:f>SUM($S63:$Y63)</x:f>
        <x:v>3</x:v>
      </x:c>
      <x:c r="AA63" t="str">
        <x:f>IF($N63&lt;&gt;"Finalizado","Resultado pendiente",IF($H63="Sin envio","Sin respuesta",IF($Q63&lt;&gt;"Si","No acerto clasificado","OK")))</x:f>
        <x:v>OK</x:v>
      </x:c>
      <x:c r="AB63" t="str">
        <x:v>8vos detalle reconstruido</x:v>
      </x:c>
      <x:c r="AC63" t="n">
        <x:v>3</x:v>
      </x:c>
      <x:c r="AD63" t="n">
        <x:f>$Z63-$AC63</x:f>
        <x:v>0</x:v>
      </x:c>
    </x:row>
    <x:row r="64" ht="15" hidden="0" customHeight="1">
      <x:c r="A64" t="str">
        <x:v>8vos</x:v>
      </x:c>
      <x:c r="B64" t="str">
        <x:v>O3</x:v>
      </x:c>
      <x:c r="C64" t="str">
        <x:v>Omar</x:v>
      </x:c>
      <x:c r="D64" t="str">
        <x:v>Brasil</x:v>
      </x:c>
      <x:c r="E64" t="str">
        <x:v>Noruega</x:v>
      </x:c>
      <x:c r="F64"/>
      <x:c r="G64"/>
      <x:c r="H64" t="str">
        <x:v>Sin envio</x:v>
      </x:c>
      <x:c r="I64" t="str">
        <x:v>Sin envio</x:v>
      </x:c>
      <x:c r="J64" t="n">
        <x:v>1</x:v>
      </x:c>
      <x:c r="K64" t="n">
        <x:v>2</x:v>
      </x:c>
      <x:c r="L64" t="str">
        <x:v>Noruega</x:v>
      </x:c>
      <x:c r="M64" t="str">
        <x:v>90 minutos</x:v>
      </x:c>
      <x:c r="N64" t="str">
        <x:v>Finalizado</x:v>
      </x:c>
      <x:c r="O64" t="str">
        <x:f>IF($H64="Sin envio","Sin envio",IF($I64="90 minutos",IF($F64&gt;$G64,"A",IF($G64&gt;$F64,"B","E")),"E"))</x:f>
        <x:v>Sin envio</x:v>
      </x:c>
      <x:c r="P64" t="str">
        <x:f>IF($M64="90 minutos",IF($J64&gt;$K64,"A",IF($K64&gt;$J64,"B","E")),"E")</x:f>
        <x:v>B</x:v>
      </x:c>
      <x:c r="Q64" t="str">
        <x:f>IF($H64="Sin envio","No",IF($H64=$L64,"Si","No"))</x:f>
        <x:v>No</x:v>
      </x:c>
      <x:c r="R64" t="str">
        <x:f>IF(AND($I64=$M64,NOT(AND($I64="Penales",$F64&lt;&gt;$G64))),"Si","No")</x:f>
        <x:v>No</x:v>
      </x:c>
      <x:c r="S64" t="n">
        <x:f>IF(OR($N64&lt;&gt;"Finalizado",$Q64&lt;&gt;"Si"),0,IF($O64=$P64,Reglas!$B$2,0))</x:f>
        <x:v>0</x:v>
      </x:c>
      <x:c r="T64" t="n">
        <x:f>IF(OR($N64&lt;&gt;"Finalizado",$Q64&lt;&gt;"Si"),0,Reglas!$B$3)</x:f>
        <x:v>0</x:v>
      </x:c>
      <x:c r="U64" t="n">
        <x:f>IF(OR($N64&lt;&gt;"Finalizado",$Q64&lt;&gt;"Si"),0,IF($I64=$M64,Reglas!$B$4,0))</x:f>
        <x:v>0</x:v>
      </x:c>
      <x:c r="V64" t="n">
        <x:f>IF(OR($N64&lt;&gt;"Finalizado",$Q64&lt;&gt;"Si",$R64&lt;&gt;"Si"),0,IF(AND($F64=$J64,$G64=$K64),Reglas!$B$5,0))</x:f>
        <x:v>0</x:v>
      </x:c>
      <x:c r="W64" t="n">
        <x:f>IF(OR($N64&lt;&gt;"Finalizado",$Q64&lt;&gt;"Si",$R64&lt;&gt;"Si"),0,IF($F64-$G64=$J64-$K64,Reglas!$B$6,0))</x:f>
        <x:v>0</x:v>
      </x:c>
      <x:c r="X64" t="n">
        <x:f>IF(OR($N64&lt;&gt;"Finalizado",$Q64&lt;&gt;"Si",$R64&lt;&gt;"Si"),0,IF($F64=$J64,Reglas!$B$7,0))</x:f>
        <x:v>0</x:v>
      </x:c>
      <x:c r="Y64" t="n">
        <x:f>IF(OR($N64&lt;&gt;"Finalizado",$Q64&lt;&gt;"Si",$R64&lt;&gt;"Si"),0,IF($G64=$K64,Reglas!$B$8,0))</x:f>
        <x:v>0</x:v>
      </x:c>
      <x:c r="Z64" t="n">
        <x:f>SUM($S64:$Y64)</x:f>
        <x:v>0</x:v>
      </x:c>
      <x:c r="AA64" t="str">
        <x:f>IF($N64&lt;&gt;"Finalizado","Resultado pendiente",IF($H64="Sin envio","Sin respuesta",IF($Q64&lt;&gt;"Si","No acerto clasificado","OK")))</x:f>
        <x:v>Sin respuesta</x:v>
      </x:c>
      <x:c r="AB64" t="str">
        <x:v>8vos detalle reconstruido</x:v>
      </x:c>
      <x:c r="AC64" t="n">
        <x:v>0</x:v>
      </x:c>
      <x:c r="AD64" t="n">
        <x:f>$Z64-$AC64</x:f>
        <x:v>0</x:v>
      </x:c>
    </x:row>
    <x:row r="65" ht="15" hidden="0" customHeight="1">
      <x:c r="A65" t="str">
        <x:v>8vos</x:v>
      </x:c>
      <x:c r="B65" t="str">
        <x:v>O3</x:v>
      </x:c>
      <x:c r="C65" t="str">
        <x:v>Fernando</x:v>
      </x:c>
      <x:c r="D65" t="str">
        <x:v>Brasil</x:v>
      </x:c>
      <x:c r="E65" t="str">
        <x:v>Noruega</x:v>
      </x:c>
      <x:c r="F65" t="n">
        <x:v>2</x:v>
      </x:c>
      <x:c r="G65" t="n">
        <x:v>1</x:v>
      </x:c>
      <x:c r="H65" t="str">
        <x:v>Brasil</x:v>
      </x:c>
      <x:c r="I65" t="str">
        <x:v>90 minutos</x:v>
      </x:c>
      <x:c r="J65" t="n">
        <x:v>1</x:v>
      </x:c>
      <x:c r="K65" t="n">
        <x:v>2</x:v>
      </x:c>
      <x:c r="L65" t="str">
        <x:v>Noruega</x:v>
      </x:c>
      <x:c r="M65" t="str">
        <x:v>90 minutos</x:v>
      </x:c>
      <x:c r="N65" t="str">
        <x:v>Finalizado</x:v>
      </x:c>
      <x:c r="O65" t="str">
        <x:f>IF($H65="Sin envio","Sin envio",IF($I65="90 minutos",IF($F65&gt;$G65,"A",IF($G65&gt;$F65,"B","E")),"E"))</x:f>
        <x:v>A</x:v>
      </x:c>
      <x:c r="P65" t="str">
        <x:f>IF($M65="90 minutos",IF($J65&gt;$K65,"A",IF($K65&gt;$J65,"B","E")),"E")</x:f>
        <x:v>B</x:v>
      </x:c>
      <x:c r="Q65" t="str">
        <x:f>IF($H65="Sin envio","No",IF($H65=$L65,"Si","No"))</x:f>
        <x:v>No</x:v>
      </x:c>
      <x:c r="R65" t="str">
        <x:f>IF(AND($I65=$M65,NOT(AND($I65="Penales",$F65&lt;&gt;$G65))),"Si","No")</x:f>
        <x:v>Si</x:v>
      </x:c>
      <x:c r="S65" t="n">
        <x:f>IF(OR($N65&lt;&gt;"Finalizado",$Q65&lt;&gt;"Si"),0,IF($O65=$P65,Reglas!$B$2,0))</x:f>
        <x:v>0</x:v>
      </x:c>
      <x:c r="T65" t="n">
        <x:f>IF(OR($N65&lt;&gt;"Finalizado",$Q65&lt;&gt;"Si"),0,Reglas!$B$3)</x:f>
        <x:v>0</x:v>
      </x:c>
      <x:c r="U65" t="n">
        <x:f>IF(OR($N65&lt;&gt;"Finalizado",$Q65&lt;&gt;"Si"),0,IF($I65=$M65,Reglas!$B$4,0))</x:f>
        <x:v>0</x:v>
      </x:c>
      <x:c r="V65" t="n">
        <x:f>IF(OR($N65&lt;&gt;"Finalizado",$Q65&lt;&gt;"Si",$R65&lt;&gt;"Si"),0,IF(AND($F65=$J65,$G65=$K65),Reglas!$B$5,0))</x:f>
        <x:v>0</x:v>
      </x:c>
      <x:c r="W65" t="n">
        <x:f>IF(OR($N65&lt;&gt;"Finalizado",$Q65&lt;&gt;"Si",$R65&lt;&gt;"Si"),0,IF($F65-$G65=$J65-$K65,Reglas!$B$6,0))</x:f>
        <x:v>0</x:v>
      </x:c>
      <x:c r="X65" t="n">
        <x:f>IF(OR($N65&lt;&gt;"Finalizado",$Q65&lt;&gt;"Si",$R65&lt;&gt;"Si"),0,IF($F65=$J65,Reglas!$B$7,0))</x:f>
        <x:v>0</x:v>
      </x:c>
      <x:c r="Y65" t="n">
        <x:f>IF(OR($N65&lt;&gt;"Finalizado",$Q65&lt;&gt;"Si",$R65&lt;&gt;"Si"),0,IF($G65=$K65,Reglas!$B$8,0))</x:f>
        <x:v>0</x:v>
      </x:c>
      <x:c r="Z65" t="n">
        <x:f>SUM($S65:$Y65)</x:f>
        <x:v>0</x:v>
      </x:c>
      <x:c r="AA65" t="str">
        <x:f>IF($N65&lt;&gt;"Finalizado","Resultado pendiente",IF($H65="Sin envio","Sin respuesta",IF($Q65&lt;&gt;"Si","No acerto clasificado","OK")))</x:f>
        <x:v>No acerto clasificado</x:v>
      </x:c>
      <x:c r="AB65" t="str">
        <x:v>8vos detalle reconstruido</x:v>
      </x:c>
      <x:c r="AC65" t="n">
        <x:v>0</x:v>
      </x:c>
      <x:c r="AD65" t="n">
        <x:f>$Z65-$AC65</x:f>
        <x:v>0</x:v>
      </x:c>
    </x:row>
    <x:row r="66" ht="15" hidden="0" customHeight="1">
      <x:c r="A66" t="str">
        <x:v>8vos</x:v>
      </x:c>
      <x:c r="B66" t="str">
        <x:v>O3</x:v>
      </x:c>
      <x:c r="C66" t="str">
        <x:v>Diana</x:v>
      </x:c>
      <x:c r="D66" t="str">
        <x:v>Brasil</x:v>
      </x:c>
      <x:c r="E66" t="str">
        <x:v>Noruega</x:v>
      </x:c>
      <x:c r="F66" t="n">
        <x:v>0</x:v>
      </x:c>
      <x:c r="G66" t="n">
        <x:v>0</x:v>
      </x:c>
      <x:c r="H66" t="str">
        <x:v>Brasil</x:v>
      </x:c>
      <x:c r="I66" t="str">
        <x:v>Penales</x:v>
      </x:c>
      <x:c r="J66" t="n">
        <x:v>1</x:v>
      </x:c>
      <x:c r="K66" t="n">
        <x:v>2</x:v>
      </x:c>
      <x:c r="L66" t="str">
        <x:v>Noruega</x:v>
      </x:c>
      <x:c r="M66" t="str">
        <x:v>90 minutos</x:v>
      </x:c>
      <x:c r="N66" t="str">
        <x:v>Finalizado</x:v>
      </x:c>
      <x:c r="O66" t="str">
        <x:f>IF($H66="Sin envio","Sin envio",IF($I66="90 minutos",IF($F66&gt;$G66,"A",IF($G66&gt;$F66,"B","E")),"E"))</x:f>
        <x:v>E</x:v>
      </x:c>
      <x:c r="P66" t="str">
        <x:f>IF($M66="90 minutos",IF($J66&gt;$K66,"A",IF($K66&gt;$J66,"B","E")),"E")</x:f>
        <x:v>B</x:v>
      </x:c>
      <x:c r="Q66" t="str">
        <x:f>IF($H66="Sin envio","No",IF($H66=$L66,"Si","No"))</x:f>
        <x:v>No</x:v>
      </x:c>
      <x:c r="R66" t="str">
        <x:f>IF(AND($I66=$M66,NOT(AND($I66="Penales",$F66&lt;&gt;$G66))),"Si","No")</x:f>
        <x:v>No</x:v>
      </x:c>
      <x:c r="S66" t="n">
        <x:f>IF(OR($N66&lt;&gt;"Finalizado",$Q66&lt;&gt;"Si"),0,IF($O66=$P66,Reglas!$B$2,0))</x:f>
        <x:v>0</x:v>
      </x:c>
      <x:c r="T66" t="n">
        <x:f>IF(OR($N66&lt;&gt;"Finalizado",$Q66&lt;&gt;"Si"),0,Reglas!$B$3)</x:f>
        <x:v>0</x:v>
      </x:c>
      <x:c r="U66" t="n">
        <x:f>IF(OR($N66&lt;&gt;"Finalizado",$Q66&lt;&gt;"Si"),0,IF($I66=$M66,Reglas!$B$4,0))</x:f>
        <x:v>0</x:v>
      </x:c>
      <x:c r="V66" t="n">
        <x:f>IF(OR($N66&lt;&gt;"Finalizado",$Q66&lt;&gt;"Si",$R66&lt;&gt;"Si"),0,IF(AND($F66=$J66,$G66=$K66),Reglas!$B$5,0))</x:f>
        <x:v>0</x:v>
      </x:c>
      <x:c r="W66" t="n">
        <x:f>IF(OR($N66&lt;&gt;"Finalizado",$Q66&lt;&gt;"Si",$R66&lt;&gt;"Si"),0,IF($F66-$G66=$J66-$K66,Reglas!$B$6,0))</x:f>
        <x:v>0</x:v>
      </x:c>
      <x:c r="X66" t="n">
        <x:f>IF(OR($N66&lt;&gt;"Finalizado",$Q66&lt;&gt;"Si",$R66&lt;&gt;"Si"),0,IF($F66=$J66,Reglas!$B$7,0))</x:f>
        <x:v>0</x:v>
      </x:c>
      <x:c r="Y66" t="n">
        <x:f>IF(OR($N66&lt;&gt;"Finalizado",$Q66&lt;&gt;"Si",$R66&lt;&gt;"Si"),0,IF($G66=$K66,Reglas!$B$8,0))</x:f>
        <x:v>0</x:v>
      </x:c>
      <x:c r="Z66" t="n">
        <x:f>SUM($S66:$Y66)</x:f>
        <x:v>0</x:v>
      </x:c>
      <x:c r="AA66" t="str">
        <x:f>IF($N66&lt;&gt;"Finalizado","Resultado pendiente",IF($H66="Sin envio","Sin respuesta",IF($Q66&lt;&gt;"Si","No acerto clasificado","OK")))</x:f>
        <x:v>No acerto clasificado</x:v>
      </x:c>
      <x:c r="AB66" t="str">
        <x:v>8vos detalle reconstruido</x:v>
      </x:c>
      <x:c r="AC66" t="n">
        <x:v>0</x:v>
      </x:c>
      <x:c r="AD66" t="n">
        <x:f>$Z66-$AC66</x:f>
        <x:v>0</x:v>
      </x:c>
    </x:row>
    <x:row r="67" ht="15" hidden="0" customHeight="1">
      <x:c r="A67" t="str">
        <x:v>8vos</x:v>
      </x:c>
      <x:c r="B67" t="str">
        <x:v>O3</x:v>
      </x:c>
      <x:c r="C67" t="str">
        <x:v>Óscar</x:v>
      </x:c>
      <x:c r="D67" t="str">
        <x:v>Brasil</x:v>
      </x:c>
      <x:c r="E67" t="str">
        <x:v>Noruega</x:v>
      </x:c>
      <x:c r="F67" t="n">
        <x:v>3</x:v>
      </x:c>
      <x:c r="G67" t="n">
        <x:v>2</x:v>
      </x:c>
      <x:c r="H67" t="str">
        <x:v>Brasil</x:v>
      </x:c>
      <x:c r="I67" t="str">
        <x:v>Suplementario</x:v>
      </x:c>
      <x:c r="J67" t="n">
        <x:v>1</x:v>
      </x:c>
      <x:c r="K67" t="n">
        <x:v>2</x:v>
      </x:c>
      <x:c r="L67" t="str">
        <x:v>Noruega</x:v>
      </x:c>
      <x:c r="M67" t="str">
        <x:v>90 minutos</x:v>
      </x:c>
      <x:c r="N67" t="str">
        <x:v>Finalizado</x:v>
      </x:c>
      <x:c r="O67" t="str">
        <x:f>IF($H67="Sin envio","Sin envio",IF($I67="90 minutos",IF($F67&gt;$G67,"A",IF($G67&gt;$F67,"B","E")),"E"))</x:f>
        <x:v>E</x:v>
      </x:c>
      <x:c r="P67" t="str">
        <x:f>IF($M67="90 minutos",IF($J67&gt;$K67,"A",IF($K67&gt;$J67,"B","E")),"E")</x:f>
        <x:v>B</x:v>
      </x:c>
      <x:c r="Q67" t="str">
        <x:f>IF($H67="Sin envio","No",IF($H67=$L67,"Si","No"))</x:f>
        <x:v>No</x:v>
      </x:c>
      <x:c r="R67" t="str">
        <x:f>IF(AND($I67=$M67,NOT(AND($I67="Penales",$F67&lt;&gt;$G67))),"Si","No")</x:f>
        <x:v>No</x:v>
      </x:c>
      <x:c r="S67" t="n">
        <x:f>IF(OR($N67&lt;&gt;"Finalizado",$Q67&lt;&gt;"Si"),0,IF($O67=$P67,Reglas!$B$2,0))</x:f>
        <x:v>0</x:v>
      </x:c>
      <x:c r="T67" t="n">
        <x:f>IF(OR($N67&lt;&gt;"Finalizado",$Q67&lt;&gt;"Si"),0,Reglas!$B$3)</x:f>
        <x:v>0</x:v>
      </x:c>
      <x:c r="U67" t="n">
        <x:f>IF(OR($N67&lt;&gt;"Finalizado",$Q67&lt;&gt;"Si"),0,IF($I67=$M67,Reglas!$B$4,0))</x:f>
        <x:v>0</x:v>
      </x:c>
      <x:c r="V67" t="n">
        <x:f>IF(OR($N67&lt;&gt;"Finalizado",$Q67&lt;&gt;"Si",$R67&lt;&gt;"Si"),0,IF(AND($F67=$J67,$G67=$K67),Reglas!$B$5,0))</x:f>
        <x:v>0</x:v>
      </x:c>
      <x:c r="W67" t="n">
        <x:f>IF(OR($N67&lt;&gt;"Finalizado",$Q67&lt;&gt;"Si",$R67&lt;&gt;"Si"),0,IF($F67-$G67=$J67-$K67,Reglas!$B$6,0))</x:f>
        <x:v>0</x:v>
      </x:c>
      <x:c r="X67" t="n">
        <x:f>IF(OR($N67&lt;&gt;"Finalizado",$Q67&lt;&gt;"Si",$R67&lt;&gt;"Si"),0,IF($F67=$J67,Reglas!$B$7,0))</x:f>
        <x:v>0</x:v>
      </x:c>
      <x:c r="Y67" t="n">
        <x:f>IF(OR($N67&lt;&gt;"Finalizado",$Q67&lt;&gt;"Si",$R67&lt;&gt;"Si"),0,IF($G67=$K67,Reglas!$B$8,0))</x:f>
        <x:v>0</x:v>
      </x:c>
      <x:c r="Z67" t="n">
        <x:f>SUM($S67:$Y67)</x:f>
        <x:v>0</x:v>
      </x:c>
      <x:c r="AA67" t="str">
        <x:f>IF($N67&lt;&gt;"Finalizado","Resultado pendiente",IF($H67="Sin envio","Sin respuesta",IF($Q67&lt;&gt;"Si","No acerto clasificado","OK")))</x:f>
        <x:v>No acerto clasificado</x:v>
      </x:c>
      <x:c r="AB67" t="str">
        <x:v>8vos detalle reconstruido</x:v>
      </x:c>
      <x:c r="AC67" t="n">
        <x:v>0</x:v>
      </x:c>
      <x:c r="AD67" t="n">
        <x:f>$Z67-$AC67</x:f>
        <x:v>0</x:v>
      </x:c>
    </x:row>
    <x:row r="68" ht="15" hidden="0" customHeight="1">
      <x:c r="A68" t="str">
        <x:v>8vos</x:v>
      </x:c>
      <x:c r="B68" t="str">
        <x:v>O4</x:v>
      </x:c>
      <x:c r="C68" t="str">
        <x:v>Freddy</x:v>
      </x:c>
      <x:c r="D68" t="str">
        <x:v>Mexico</x:v>
      </x:c>
      <x:c r="E68" t="str">
        <x:v>Inglaterra</x:v>
      </x:c>
      <x:c r="F68" t="n">
        <x:v>1</x:v>
      </x:c>
      <x:c r="G68" t="n">
        <x:v>2</x:v>
      </x:c>
      <x:c r="H68" t="str">
        <x:v>Inglaterra</x:v>
      </x:c>
      <x:c r="I68" t="str">
        <x:v>90 minutos</x:v>
      </x:c>
      <x:c r="J68" t="n">
        <x:v>2</x:v>
      </x:c>
      <x:c r="K68" t="n">
        <x:v>3</x:v>
      </x:c>
      <x:c r="L68" t="str">
        <x:v>Inglaterra</x:v>
      </x:c>
      <x:c r="M68" t="str">
        <x:v>90 minutos</x:v>
      </x:c>
      <x:c r="N68" t="str">
        <x:v>Finalizado</x:v>
      </x:c>
      <x:c r="O68" t="str">
        <x:f>IF($H68="Sin envio","Sin envio",IF($I68="90 minutos",IF($F68&gt;$G68,"A",IF($G68&gt;$F68,"B","E")),"E"))</x:f>
        <x:v>B</x:v>
      </x:c>
      <x:c r="P68" t="str">
        <x:f>IF($M68="90 minutos",IF($J68&gt;$K68,"A",IF($K68&gt;$J68,"B","E")),"E")</x:f>
        <x:v>B</x:v>
      </x:c>
      <x:c r="Q68" t="str">
        <x:f>IF($H68="Sin envio","No",IF($H68=$L68,"Si","No"))</x:f>
        <x:v>Si</x:v>
      </x:c>
      <x:c r="R68" t="str">
        <x:f>IF(AND($I68=$M68,NOT(AND($I68="Penales",$F68&lt;&gt;$G68))),"Si","No")</x:f>
        <x:v>Si</x:v>
      </x:c>
      <x:c r="S68" t="n">
        <x:f>IF(OR($N68&lt;&gt;"Finalizado",$Q68&lt;&gt;"Si"),0,IF($O68=$P68,Reglas!$B$2,0))</x:f>
        <x:v>5</x:v>
      </x:c>
      <x:c r="T68" t="n">
        <x:f>IF(OR($N68&lt;&gt;"Finalizado",$Q68&lt;&gt;"Si"),0,Reglas!$B$3)</x:f>
        <x:v>3</x:v>
      </x:c>
      <x:c r="U68" t="n">
        <x:f>IF(OR($N68&lt;&gt;"Finalizado",$Q68&lt;&gt;"Si"),0,IF($I68=$M68,Reglas!$B$4,0))</x:f>
        <x:v>2</x:v>
      </x:c>
      <x:c r="V68" t="n">
        <x:f>IF(OR($N68&lt;&gt;"Finalizado",$Q68&lt;&gt;"Si",$R68&lt;&gt;"Si"),0,IF(AND($F68=$J68,$G68=$K68),Reglas!$B$5,0))</x:f>
        <x:v>0</x:v>
      </x:c>
      <x:c r="W68" t="n">
        <x:f>IF(OR($N68&lt;&gt;"Finalizado",$Q68&lt;&gt;"Si",$R68&lt;&gt;"Si"),0,IF($F68-$G68=$J68-$K68,Reglas!$B$6,0))</x:f>
        <x:v>2</x:v>
      </x:c>
      <x:c r="X68" t="n">
        <x:f>IF(OR($N68&lt;&gt;"Finalizado",$Q68&lt;&gt;"Si",$R68&lt;&gt;"Si"),0,IF($F68=$J68,Reglas!$B$7,0))</x:f>
        <x:v>0</x:v>
      </x:c>
      <x:c r="Y68" t="n">
        <x:f>IF(OR($N68&lt;&gt;"Finalizado",$Q68&lt;&gt;"Si",$R68&lt;&gt;"Si"),0,IF($G68=$K68,Reglas!$B$8,0))</x:f>
        <x:v>0</x:v>
      </x:c>
      <x:c r="Z68" t="n">
        <x:f>SUM($S68:$Y68)</x:f>
        <x:v>12</x:v>
      </x:c>
      <x:c r="AA68" t="str">
        <x:f>IF($N68&lt;&gt;"Finalizado","Resultado pendiente",IF($H68="Sin envio","Sin respuesta",IF($Q68&lt;&gt;"Si","No acerto clasificado","OK")))</x:f>
        <x:v>OK</x:v>
      </x:c>
      <x:c r="AB68" t="str">
        <x:v>8vos detalle reconstruido</x:v>
      </x:c>
      <x:c r="AC68" t="n">
        <x:v>12</x:v>
      </x:c>
      <x:c r="AD68" t="n">
        <x:f>$Z68-$AC68</x:f>
        <x:v>0</x:v>
      </x:c>
    </x:row>
    <x:row r="69" ht="15" hidden="0" customHeight="1">
      <x:c r="A69" t="str">
        <x:v>8vos</x:v>
      </x:c>
      <x:c r="B69" t="str">
        <x:v>O4</x:v>
      </x:c>
      <x:c r="C69" t="str">
        <x:v>Gabriela</x:v>
      </x:c>
      <x:c r="D69" t="str">
        <x:v>Mexico</x:v>
      </x:c>
      <x:c r="E69" t="str">
        <x:v>Inglaterra</x:v>
      </x:c>
      <x:c r="F69" t="n">
        <x:v>1</x:v>
      </x:c>
      <x:c r="G69" t="n">
        <x:v>3</x:v>
      </x:c>
      <x:c r="H69" t="str">
        <x:v>Inglaterra</x:v>
      </x:c>
      <x:c r="I69" t="str">
        <x:v>90 minutos</x:v>
      </x:c>
      <x:c r="J69" t="n">
        <x:v>2</x:v>
      </x:c>
      <x:c r="K69" t="n">
        <x:v>3</x:v>
      </x:c>
      <x:c r="L69" t="str">
        <x:v>Inglaterra</x:v>
      </x:c>
      <x:c r="M69" t="str">
        <x:v>90 minutos</x:v>
      </x:c>
      <x:c r="N69" t="str">
        <x:v>Finalizado</x:v>
      </x:c>
      <x:c r="O69" t="str">
        <x:f>IF($H69="Sin envio","Sin envio",IF($I69="90 minutos",IF($F69&gt;$G69,"A",IF($G69&gt;$F69,"B","E")),"E"))</x:f>
        <x:v>B</x:v>
      </x:c>
      <x:c r="P69" t="str">
        <x:f>IF($M69="90 minutos",IF($J69&gt;$K69,"A",IF($K69&gt;$J69,"B","E")),"E")</x:f>
        <x:v>B</x:v>
      </x:c>
      <x:c r="Q69" t="str">
        <x:f>IF($H69="Sin envio","No",IF($H69=$L69,"Si","No"))</x:f>
        <x:v>Si</x:v>
      </x:c>
      <x:c r="R69" t="str">
        <x:f>IF(AND($I69=$M69,NOT(AND($I69="Penales",$F69&lt;&gt;$G69))),"Si","No")</x:f>
        <x:v>Si</x:v>
      </x:c>
      <x:c r="S69" t="n">
        <x:f>IF(OR($N69&lt;&gt;"Finalizado",$Q69&lt;&gt;"Si"),0,IF($O69=$P69,Reglas!$B$2,0))</x:f>
        <x:v>5</x:v>
      </x:c>
      <x:c r="T69" t="n">
        <x:f>IF(OR($N69&lt;&gt;"Finalizado",$Q69&lt;&gt;"Si"),0,Reglas!$B$3)</x:f>
        <x:v>3</x:v>
      </x:c>
      <x:c r="U69" t="n">
        <x:f>IF(OR($N69&lt;&gt;"Finalizado",$Q69&lt;&gt;"Si"),0,IF($I69=$M69,Reglas!$B$4,0))</x:f>
        <x:v>2</x:v>
      </x:c>
      <x:c r="V69" t="n">
        <x:f>IF(OR($N69&lt;&gt;"Finalizado",$Q69&lt;&gt;"Si",$R69&lt;&gt;"Si"),0,IF(AND($F69=$J69,$G69=$K69),Reglas!$B$5,0))</x:f>
        <x:v>0</x:v>
      </x:c>
      <x:c r="W69" t="n">
        <x:f>IF(OR($N69&lt;&gt;"Finalizado",$Q69&lt;&gt;"Si",$R69&lt;&gt;"Si"),0,IF($F69-$G69=$J69-$K69,Reglas!$B$6,0))</x:f>
        <x:v>0</x:v>
      </x:c>
      <x:c r="X69" t="n">
        <x:f>IF(OR($N69&lt;&gt;"Finalizado",$Q69&lt;&gt;"Si",$R69&lt;&gt;"Si"),0,IF($F69=$J69,Reglas!$B$7,0))</x:f>
        <x:v>0</x:v>
      </x:c>
      <x:c r="Y69" t="n">
        <x:f>IF(OR($N69&lt;&gt;"Finalizado",$Q69&lt;&gt;"Si",$R69&lt;&gt;"Si"),0,IF($G69=$K69,Reglas!$B$8,0))</x:f>
        <x:v>1</x:v>
      </x:c>
      <x:c r="Z69" t="n">
        <x:f>SUM($S69:$Y69)</x:f>
        <x:v>11</x:v>
      </x:c>
      <x:c r="AA69" t="str">
        <x:f>IF($N69&lt;&gt;"Finalizado","Resultado pendiente",IF($H69="Sin envio","Sin respuesta",IF($Q69&lt;&gt;"Si","No acerto clasificado","OK")))</x:f>
        <x:v>OK</x:v>
      </x:c>
      <x:c r="AB69" t="str">
        <x:v>8vos detalle reconstruido</x:v>
      </x:c>
      <x:c r="AC69" t="n">
        <x:v>11</x:v>
      </x:c>
      <x:c r="AD69" t="n">
        <x:f>$Z69-$AC69</x:f>
        <x:v>0</x:v>
      </x:c>
    </x:row>
    <x:row r="70" ht="15" hidden="0" customHeight="1">
      <x:c r="A70" t="str">
        <x:v>8vos</x:v>
      </x:c>
      <x:c r="B70" t="str">
        <x:v>O4</x:v>
      </x:c>
      <x:c r="C70" t="str">
        <x:v>Jean</x:v>
      </x:c>
      <x:c r="D70" t="str">
        <x:v>Mexico</x:v>
      </x:c>
      <x:c r="E70" t="str">
        <x:v>Inglaterra</x:v>
      </x:c>
      <x:c r="F70" t="n">
        <x:v>0</x:v>
      </x:c>
      <x:c r="G70" t="n">
        <x:v>1</x:v>
      </x:c>
      <x:c r="H70" t="str">
        <x:v>Inglaterra</x:v>
      </x:c>
      <x:c r="I70" t="str">
        <x:v>90 minutos</x:v>
      </x:c>
      <x:c r="J70" t="n">
        <x:v>2</x:v>
      </x:c>
      <x:c r="K70" t="n">
        <x:v>3</x:v>
      </x:c>
      <x:c r="L70" t="str">
        <x:v>Inglaterra</x:v>
      </x:c>
      <x:c r="M70" t="str">
        <x:v>90 minutos</x:v>
      </x:c>
      <x:c r="N70" t="str">
        <x:v>Finalizado</x:v>
      </x:c>
      <x:c r="O70" t="str">
        <x:f>IF($H70="Sin envio","Sin envio",IF($I70="90 minutos",IF($F70&gt;$G70,"A",IF($G70&gt;$F70,"B","E")),"E"))</x:f>
        <x:v>B</x:v>
      </x:c>
      <x:c r="P70" t="str">
        <x:f>IF($M70="90 minutos",IF($J70&gt;$K70,"A",IF($K70&gt;$J70,"B","E")),"E")</x:f>
        <x:v>B</x:v>
      </x:c>
      <x:c r="Q70" t="str">
        <x:f>IF($H70="Sin envio","No",IF($H70=$L70,"Si","No"))</x:f>
        <x:v>Si</x:v>
      </x:c>
      <x:c r="R70" t="str">
        <x:f>IF(AND($I70=$M70,NOT(AND($I70="Penales",$F70&lt;&gt;$G70))),"Si","No")</x:f>
        <x:v>Si</x:v>
      </x:c>
      <x:c r="S70" t="n">
        <x:f>IF(OR($N70&lt;&gt;"Finalizado",$Q70&lt;&gt;"Si"),0,IF($O70=$P70,Reglas!$B$2,0))</x:f>
        <x:v>5</x:v>
      </x:c>
      <x:c r="T70" t="n">
        <x:f>IF(OR($N70&lt;&gt;"Finalizado",$Q70&lt;&gt;"Si"),0,Reglas!$B$3)</x:f>
        <x:v>3</x:v>
      </x:c>
      <x:c r="U70" t="n">
        <x:f>IF(OR($N70&lt;&gt;"Finalizado",$Q70&lt;&gt;"Si"),0,IF($I70=$M70,Reglas!$B$4,0))</x:f>
        <x:v>2</x:v>
      </x:c>
      <x:c r="V70" t="n">
        <x:f>IF(OR($N70&lt;&gt;"Finalizado",$Q70&lt;&gt;"Si",$R70&lt;&gt;"Si"),0,IF(AND($F70=$J70,$G70=$K70),Reglas!$B$5,0))</x:f>
        <x:v>0</x:v>
      </x:c>
      <x:c r="W70" t="n">
        <x:f>IF(OR($N70&lt;&gt;"Finalizado",$Q70&lt;&gt;"Si",$R70&lt;&gt;"Si"),0,IF($F70-$G70=$J70-$K70,Reglas!$B$6,0))</x:f>
        <x:v>2</x:v>
      </x:c>
      <x:c r="X70" t="n">
        <x:f>IF(OR($N70&lt;&gt;"Finalizado",$Q70&lt;&gt;"Si",$R70&lt;&gt;"Si"),0,IF($F70=$J70,Reglas!$B$7,0))</x:f>
        <x:v>0</x:v>
      </x:c>
      <x:c r="Y70" t="n">
        <x:f>IF(OR($N70&lt;&gt;"Finalizado",$Q70&lt;&gt;"Si",$R70&lt;&gt;"Si"),0,IF($G70=$K70,Reglas!$B$8,0))</x:f>
        <x:v>0</x:v>
      </x:c>
      <x:c r="Z70" t="n">
        <x:f>SUM($S70:$Y70)</x:f>
        <x:v>12</x:v>
      </x:c>
      <x:c r="AA70" t="str">
        <x:f>IF($N70&lt;&gt;"Finalizado","Resultado pendiente",IF($H70="Sin envio","Sin respuesta",IF($Q70&lt;&gt;"Si","No acerto clasificado","OK")))</x:f>
        <x:v>OK</x:v>
      </x:c>
      <x:c r="AB70" t="str">
        <x:v>8vos detalle reconstruido</x:v>
      </x:c>
      <x:c r="AC70" t="n">
        <x:v>12</x:v>
      </x:c>
      <x:c r="AD70" t="n">
        <x:f>$Z70-$AC70</x:f>
        <x:v>0</x:v>
      </x:c>
    </x:row>
    <x:row r="71" ht="15" hidden="0" customHeight="1">
      <x:c r="A71" t="str">
        <x:v>8vos</x:v>
      </x:c>
      <x:c r="B71" t="str">
        <x:v>O4</x:v>
      </x:c>
      <x:c r="C71" t="str">
        <x:v>Juan</x:v>
      </x:c>
      <x:c r="D71" t="str">
        <x:v>Mexico</x:v>
      </x:c>
      <x:c r="E71" t="str">
        <x:v>Inglaterra</x:v>
      </x:c>
      <x:c r="F71" t="n">
        <x:v>2</x:v>
      </x:c>
      <x:c r="G71" t="n">
        <x:v>2</x:v>
      </x:c>
      <x:c r="H71" t="str">
        <x:v>Mexico</x:v>
      </x:c>
      <x:c r="I71" t="str">
        <x:v>Penales</x:v>
      </x:c>
      <x:c r="J71" t="n">
        <x:v>2</x:v>
      </x:c>
      <x:c r="K71" t="n">
        <x:v>3</x:v>
      </x:c>
      <x:c r="L71" t="str">
        <x:v>Inglaterra</x:v>
      </x:c>
      <x:c r="M71" t="str">
        <x:v>90 minutos</x:v>
      </x:c>
      <x:c r="N71" t="str">
        <x:v>Finalizado</x:v>
      </x:c>
      <x:c r="O71" t="str">
        <x:f>IF($H71="Sin envio","Sin envio",IF($I71="90 minutos",IF($F71&gt;$G71,"A",IF($G71&gt;$F71,"B","E")),"E"))</x:f>
        <x:v>E</x:v>
      </x:c>
      <x:c r="P71" t="str">
        <x:f>IF($M71="90 minutos",IF($J71&gt;$K71,"A",IF($K71&gt;$J71,"B","E")),"E")</x:f>
        <x:v>B</x:v>
      </x:c>
      <x:c r="Q71" t="str">
        <x:f>IF($H71="Sin envio","No",IF($H71=$L71,"Si","No"))</x:f>
        <x:v>No</x:v>
      </x:c>
      <x:c r="R71" t="str">
        <x:f>IF(AND($I71=$M71,NOT(AND($I71="Penales",$F71&lt;&gt;$G71))),"Si","No")</x:f>
        <x:v>No</x:v>
      </x:c>
      <x:c r="S71" t="n">
        <x:f>IF(OR($N71&lt;&gt;"Finalizado",$Q71&lt;&gt;"Si"),0,IF($O71=$P71,Reglas!$B$2,0))</x:f>
        <x:v>0</x:v>
      </x:c>
      <x:c r="T71" t="n">
        <x:f>IF(OR($N71&lt;&gt;"Finalizado",$Q71&lt;&gt;"Si"),0,Reglas!$B$3)</x:f>
        <x:v>0</x:v>
      </x:c>
      <x:c r="U71" t="n">
        <x:f>IF(OR($N71&lt;&gt;"Finalizado",$Q71&lt;&gt;"Si"),0,IF($I71=$M71,Reglas!$B$4,0))</x:f>
        <x:v>0</x:v>
      </x:c>
      <x:c r="V71" t="n">
        <x:f>IF(OR($N71&lt;&gt;"Finalizado",$Q71&lt;&gt;"Si",$R71&lt;&gt;"Si"),0,IF(AND($F71=$J71,$G71=$K71),Reglas!$B$5,0))</x:f>
        <x:v>0</x:v>
      </x:c>
      <x:c r="W71" t="n">
        <x:f>IF(OR($N71&lt;&gt;"Finalizado",$Q71&lt;&gt;"Si",$R71&lt;&gt;"Si"),0,IF($F71-$G71=$J71-$K71,Reglas!$B$6,0))</x:f>
        <x:v>0</x:v>
      </x:c>
      <x:c r="X71" t="n">
        <x:f>IF(OR($N71&lt;&gt;"Finalizado",$Q71&lt;&gt;"Si",$R71&lt;&gt;"Si"),0,IF($F71=$J71,Reglas!$B$7,0))</x:f>
        <x:v>0</x:v>
      </x:c>
      <x:c r="Y71" t="n">
        <x:f>IF(OR($N71&lt;&gt;"Finalizado",$Q71&lt;&gt;"Si",$R71&lt;&gt;"Si"),0,IF($G71=$K71,Reglas!$B$8,0))</x:f>
        <x:v>0</x:v>
      </x:c>
      <x:c r="Z71" t="n">
        <x:f>SUM($S71:$Y71)</x:f>
        <x:v>0</x:v>
      </x:c>
      <x:c r="AA71" t="str">
        <x:f>IF($N71&lt;&gt;"Finalizado","Resultado pendiente",IF($H71="Sin envio","Sin respuesta",IF($Q71&lt;&gt;"Si","No acerto clasificado","OK")))</x:f>
        <x:v>No acerto clasificado</x:v>
      </x:c>
      <x:c r="AB71" t="str">
        <x:v>8vos detalle reconstruido</x:v>
      </x:c>
      <x:c r="AC71" t="n">
        <x:v>0</x:v>
      </x:c>
      <x:c r="AD71" t="n">
        <x:f>$Z71-$AC71</x:f>
        <x:v>0</x:v>
      </x:c>
    </x:row>
    <x:row r="72" ht="15" hidden="0" customHeight="1">
      <x:c r="A72" t="str">
        <x:v>8vos</x:v>
      </x:c>
      <x:c r="B72" t="str">
        <x:v>O4</x:v>
      </x:c>
      <x:c r="C72" t="str">
        <x:v>Jesús</x:v>
      </x:c>
      <x:c r="D72" t="str">
        <x:v>Mexico</x:v>
      </x:c>
      <x:c r="E72" t="str">
        <x:v>Inglaterra</x:v>
      </x:c>
      <x:c r="F72" t="n">
        <x:v>1</x:v>
      </x:c>
      <x:c r="G72" t="n">
        <x:v>3</x:v>
      </x:c>
      <x:c r="H72" t="str">
        <x:v>Inglaterra</x:v>
      </x:c>
      <x:c r="I72" t="str">
        <x:v>90 minutos</x:v>
      </x:c>
      <x:c r="J72" t="n">
        <x:v>2</x:v>
      </x:c>
      <x:c r="K72" t="n">
        <x:v>3</x:v>
      </x:c>
      <x:c r="L72" t="str">
        <x:v>Inglaterra</x:v>
      </x:c>
      <x:c r="M72" t="str">
        <x:v>90 minutos</x:v>
      </x:c>
      <x:c r="N72" t="str">
        <x:v>Finalizado</x:v>
      </x:c>
      <x:c r="O72" t="str">
        <x:f>IF($H72="Sin envio","Sin envio",IF($I72="90 minutos",IF($F72&gt;$G72,"A",IF($G72&gt;$F72,"B","E")),"E"))</x:f>
        <x:v>B</x:v>
      </x:c>
      <x:c r="P72" t="str">
        <x:f>IF($M72="90 minutos",IF($J72&gt;$K72,"A",IF($K72&gt;$J72,"B","E")),"E")</x:f>
        <x:v>B</x:v>
      </x:c>
      <x:c r="Q72" t="str">
        <x:f>IF($H72="Sin envio","No",IF($H72=$L72,"Si","No"))</x:f>
        <x:v>Si</x:v>
      </x:c>
      <x:c r="R72" t="str">
        <x:f>IF(AND($I72=$M72,NOT(AND($I72="Penales",$F72&lt;&gt;$G72))),"Si","No")</x:f>
        <x:v>Si</x:v>
      </x:c>
      <x:c r="S72" t="n">
        <x:f>IF(OR($N72&lt;&gt;"Finalizado",$Q72&lt;&gt;"Si"),0,IF($O72=$P72,Reglas!$B$2,0))</x:f>
        <x:v>5</x:v>
      </x:c>
      <x:c r="T72" t="n">
        <x:f>IF(OR($N72&lt;&gt;"Finalizado",$Q72&lt;&gt;"Si"),0,Reglas!$B$3)</x:f>
        <x:v>3</x:v>
      </x:c>
      <x:c r="U72" t="n">
        <x:f>IF(OR($N72&lt;&gt;"Finalizado",$Q72&lt;&gt;"Si"),0,IF($I72=$M72,Reglas!$B$4,0))</x:f>
        <x:v>2</x:v>
      </x:c>
      <x:c r="V72" t="n">
        <x:f>IF(OR($N72&lt;&gt;"Finalizado",$Q72&lt;&gt;"Si",$R72&lt;&gt;"Si"),0,IF(AND($F72=$J72,$G72=$K72),Reglas!$B$5,0))</x:f>
        <x:v>0</x:v>
      </x:c>
      <x:c r="W72" t="n">
        <x:f>IF(OR($N72&lt;&gt;"Finalizado",$Q72&lt;&gt;"Si",$R72&lt;&gt;"Si"),0,IF($F72-$G72=$J72-$K72,Reglas!$B$6,0))</x:f>
        <x:v>0</x:v>
      </x:c>
      <x:c r="X72" t="n">
        <x:f>IF(OR($N72&lt;&gt;"Finalizado",$Q72&lt;&gt;"Si",$R72&lt;&gt;"Si"),0,IF($F72=$J72,Reglas!$B$7,0))</x:f>
        <x:v>0</x:v>
      </x:c>
      <x:c r="Y72" t="n">
        <x:f>IF(OR($N72&lt;&gt;"Finalizado",$Q72&lt;&gt;"Si",$R72&lt;&gt;"Si"),0,IF($G72=$K72,Reglas!$B$8,0))</x:f>
        <x:v>1</x:v>
      </x:c>
      <x:c r="Z72" t="n">
        <x:f>SUM($S72:$Y72)</x:f>
        <x:v>11</x:v>
      </x:c>
      <x:c r="AA72" t="str">
        <x:f>IF($N72&lt;&gt;"Finalizado","Resultado pendiente",IF($H72="Sin envio","Sin respuesta",IF($Q72&lt;&gt;"Si","No acerto clasificado","OK")))</x:f>
        <x:v>OK</x:v>
      </x:c>
      <x:c r="AB72" t="str">
        <x:v>8vos detalle reconstruido</x:v>
      </x:c>
      <x:c r="AC72" t="n">
        <x:v>11</x:v>
      </x:c>
      <x:c r="AD72" t="n">
        <x:f>$Z72-$AC72</x:f>
        <x:v>0</x:v>
      </x:c>
    </x:row>
    <x:row r="73" ht="15" hidden="0" customHeight="1">
      <x:c r="A73" t="str">
        <x:v>8vos</x:v>
      </x:c>
      <x:c r="B73" t="str">
        <x:v>O4</x:v>
      </x:c>
      <x:c r="C73" t="str">
        <x:v>Diego</x:v>
      </x:c>
      <x:c r="D73" t="str">
        <x:v>Mexico</x:v>
      </x:c>
      <x:c r="E73" t="str">
        <x:v>Inglaterra</x:v>
      </x:c>
      <x:c r="F73" t="n">
        <x:v>0</x:v>
      </x:c>
      <x:c r="G73" t="n">
        <x:v>2</x:v>
      </x:c>
      <x:c r="H73" t="str">
        <x:v>Inglaterra</x:v>
      </x:c>
      <x:c r="I73" t="str">
        <x:v>90 minutos</x:v>
      </x:c>
      <x:c r="J73" t="n">
        <x:v>2</x:v>
      </x:c>
      <x:c r="K73" t="n">
        <x:v>3</x:v>
      </x:c>
      <x:c r="L73" t="str">
        <x:v>Inglaterra</x:v>
      </x:c>
      <x:c r="M73" t="str">
        <x:v>90 minutos</x:v>
      </x:c>
      <x:c r="N73" t="str">
        <x:v>Finalizado</x:v>
      </x:c>
      <x:c r="O73" t="str">
        <x:f>IF($H73="Sin envio","Sin envio",IF($I73="90 minutos",IF($F73&gt;$G73,"A",IF($G73&gt;$F73,"B","E")),"E"))</x:f>
        <x:v>B</x:v>
      </x:c>
      <x:c r="P73" t="str">
        <x:f>IF($M73="90 minutos",IF($J73&gt;$K73,"A",IF($K73&gt;$J73,"B","E")),"E")</x:f>
        <x:v>B</x:v>
      </x:c>
      <x:c r="Q73" t="str">
        <x:f>IF($H73="Sin envio","No",IF($H73=$L73,"Si","No"))</x:f>
        <x:v>Si</x:v>
      </x:c>
      <x:c r="R73" t="str">
        <x:f>IF(AND($I73=$M73,NOT(AND($I73="Penales",$F73&lt;&gt;$G73))),"Si","No")</x:f>
        <x:v>Si</x:v>
      </x:c>
      <x:c r="S73" t="n">
        <x:f>IF(OR($N73&lt;&gt;"Finalizado",$Q73&lt;&gt;"Si"),0,IF($O73=$P73,Reglas!$B$2,0))</x:f>
        <x:v>5</x:v>
      </x:c>
      <x:c r="T73" t="n">
        <x:f>IF(OR($N73&lt;&gt;"Finalizado",$Q73&lt;&gt;"Si"),0,Reglas!$B$3)</x:f>
        <x:v>3</x:v>
      </x:c>
      <x:c r="U73" t="n">
        <x:f>IF(OR($N73&lt;&gt;"Finalizado",$Q73&lt;&gt;"Si"),0,IF($I73=$M73,Reglas!$B$4,0))</x:f>
        <x:v>2</x:v>
      </x:c>
      <x:c r="V73" t="n">
        <x:f>IF(OR($N73&lt;&gt;"Finalizado",$Q73&lt;&gt;"Si",$R73&lt;&gt;"Si"),0,IF(AND($F73=$J73,$G73=$K73),Reglas!$B$5,0))</x:f>
        <x:v>0</x:v>
      </x:c>
      <x:c r="W73" t="n">
        <x:f>IF(OR($N73&lt;&gt;"Finalizado",$Q73&lt;&gt;"Si",$R73&lt;&gt;"Si"),0,IF($F73-$G73=$J73-$K73,Reglas!$B$6,0))</x:f>
        <x:v>0</x:v>
      </x:c>
      <x:c r="X73" t="n">
        <x:f>IF(OR($N73&lt;&gt;"Finalizado",$Q73&lt;&gt;"Si",$R73&lt;&gt;"Si"),0,IF($F73=$J73,Reglas!$B$7,0))</x:f>
        <x:v>0</x:v>
      </x:c>
      <x:c r="Y73" t="n">
        <x:f>IF(OR($N73&lt;&gt;"Finalizado",$Q73&lt;&gt;"Si",$R73&lt;&gt;"Si"),0,IF($G73=$K73,Reglas!$B$8,0))</x:f>
        <x:v>0</x:v>
      </x:c>
      <x:c r="Z73" t="n">
        <x:f>SUM($S73:$Y73)</x:f>
        <x:v>10</x:v>
      </x:c>
      <x:c r="AA73" t="str">
        <x:f>IF($N73&lt;&gt;"Finalizado","Resultado pendiente",IF($H73="Sin envio","Sin respuesta",IF($Q73&lt;&gt;"Si","No acerto clasificado","OK")))</x:f>
        <x:v>OK</x:v>
      </x:c>
      <x:c r="AB73" t="str">
        <x:v>8vos detalle reconstruido</x:v>
      </x:c>
      <x:c r="AC73" t="n">
        <x:v>10</x:v>
      </x:c>
      <x:c r="AD73" t="n">
        <x:f>$Z73-$AC73</x:f>
        <x:v>0</x:v>
      </x:c>
    </x:row>
    <x:row r="74" ht="15" hidden="0" customHeight="1">
      <x:c r="A74" t="str">
        <x:v>8vos</x:v>
      </x:c>
      <x:c r="B74" t="str">
        <x:v>O4</x:v>
      </x:c>
      <x:c r="C74" t="str">
        <x:v>Aldo</x:v>
      </x:c>
      <x:c r="D74" t="str">
        <x:v>Mexico</x:v>
      </x:c>
      <x:c r="E74" t="str">
        <x:v>Inglaterra</x:v>
      </x:c>
      <x:c r="F74" t="n">
        <x:v>1</x:v>
      </x:c>
      <x:c r="G74" t="n">
        <x:v>2</x:v>
      </x:c>
      <x:c r="H74" t="str">
        <x:v>Inglaterra</x:v>
      </x:c>
      <x:c r="I74" t="str">
        <x:v>90 minutos</x:v>
      </x:c>
      <x:c r="J74" t="n">
        <x:v>2</x:v>
      </x:c>
      <x:c r="K74" t="n">
        <x:v>3</x:v>
      </x:c>
      <x:c r="L74" t="str">
        <x:v>Inglaterra</x:v>
      </x:c>
      <x:c r="M74" t="str">
        <x:v>90 minutos</x:v>
      </x:c>
      <x:c r="N74" t="str">
        <x:v>Finalizado</x:v>
      </x:c>
      <x:c r="O74" t="str">
        <x:f>IF($H74="Sin envio","Sin envio",IF($I74="90 minutos",IF($F74&gt;$G74,"A",IF($G74&gt;$F74,"B","E")),"E"))</x:f>
        <x:v>B</x:v>
      </x:c>
      <x:c r="P74" t="str">
        <x:f>IF($M74="90 minutos",IF($J74&gt;$K74,"A",IF($K74&gt;$J74,"B","E")),"E")</x:f>
        <x:v>B</x:v>
      </x:c>
      <x:c r="Q74" t="str">
        <x:f>IF($H74="Sin envio","No",IF($H74=$L74,"Si","No"))</x:f>
        <x:v>Si</x:v>
      </x:c>
      <x:c r="R74" t="str">
        <x:f>IF(AND($I74=$M74,NOT(AND($I74="Penales",$F74&lt;&gt;$G74))),"Si","No")</x:f>
        <x:v>Si</x:v>
      </x:c>
      <x:c r="S74" t="n">
        <x:f>IF(OR($N74&lt;&gt;"Finalizado",$Q74&lt;&gt;"Si"),0,IF($O74=$P74,Reglas!$B$2,0))</x:f>
        <x:v>5</x:v>
      </x:c>
      <x:c r="T74" t="n">
        <x:f>IF(OR($N74&lt;&gt;"Finalizado",$Q74&lt;&gt;"Si"),0,Reglas!$B$3)</x:f>
        <x:v>3</x:v>
      </x:c>
      <x:c r="U74" t="n">
        <x:f>IF(OR($N74&lt;&gt;"Finalizado",$Q74&lt;&gt;"Si"),0,IF($I74=$M74,Reglas!$B$4,0))</x:f>
        <x:v>2</x:v>
      </x:c>
      <x:c r="V74" t="n">
        <x:f>IF(OR($N74&lt;&gt;"Finalizado",$Q74&lt;&gt;"Si",$R74&lt;&gt;"Si"),0,IF(AND($F74=$J74,$G74=$K74),Reglas!$B$5,0))</x:f>
        <x:v>0</x:v>
      </x:c>
      <x:c r="W74" t="n">
        <x:f>IF(OR($N74&lt;&gt;"Finalizado",$Q74&lt;&gt;"Si",$R74&lt;&gt;"Si"),0,IF($F74-$G74=$J74-$K74,Reglas!$B$6,0))</x:f>
        <x:v>2</x:v>
      </x:c>
      <x:c r="X74" t="n">
        <x:f>IF(OR($N74&lt;&gt;"Finalizado",$Q74&lt;&gt;"Si",$R74&lt;&gt;"Si"),0,IF($F74=$J74,Reglas!$B$7,0))</x:f>
        <x:v>0</x:v>
      </x:c>
      <x:c r="Y74" t="n">
        <x:f>IF(OR($N74&lt;&gt;"Finalizado",$Q74&lt;&gt;"Si",$R74&lt;&gt;"Si"),0,IF($G74=$K74,Reglas!$B$8,0))</x:f>
        <x:v>0</x:v>
      </x:c>
      <x:c r="Z74" t="n">
        <x:f>SUM($S74:$Y74)</x:f>
        <x:v>12</x:v>
      </x:c>
      <x:c r="AA74" t="str">
        <x:f>IF($N74&lt;&gt;"Finalizado","Resultado pendiente",IF($H74="Sin envio","Sin respuesta",IF($Q74&lt;&gt;"Si","No acerto clasificado","OK")))</x:f>
        <x:v>OK</x:v>
      </x:c>
      <x:c r="AB74" t="str">
        <x:v>8vos detalle reconstruido</x:v>
      </x:c>
      <x:c r="AC74" t="n">
        <x:v>12</x:v>
      </x:c>
      <x:c r="AD74" t="n">
        <x:f>$Z74-$AC74</x:f>
        <x:v>0</x:v>
      </x:c>
    </x:row>
    <x:row r="75" ht="15" hidden="0" customHeight="1">
      <x:c r="A75" t="str">
        <x:v>8vos</x:v>
      </x:c>
      <x:c r="B75" t="str">
        <x:v>O4</x:v>
      </x:c>
      <x:c r="C75" t="str">
        <x:v>Javier</x:v>
      </x:c>
      <x:c r="D75" t="str">
        <x:v>Mexico</x:v>
      </x:c>
      <x:c r="E75" t="str">
        <x:v>Inglaterra</x:v>
      </x:c>
      <x:c r="F75" t="n">
        <x:v>1</x:v>
      </x:c>
      <x:c r="G75" t="n">
        <x:v>1</x:v>
      </x:c>
      <x:c r="H75" t="str">
        <x:v>Inglaterra</x:v>
      </x:c>
      <x:c r="I75" t="str">
        <x:v>Penales</x:v>
      </x:c>
      <x:c r="J75" t="n">
        <x:v>2</x:v>
      </x:c>
      <x:c r="K75" t="n">
        <x:v>3</x:v>
      </x:c>
      <x:c r="L75" t="str">
        <x:v>Inglaterra</x:v>
      </x:c>
      <x:c r="M75" t="str">
        <x:v>90 minutos</x:v>
      </x:c>
      <x:c r="N75" t="str">
        <x:v>Finalizado</x:v>
      </x:c>
      <x:c r="O75" t="str">
        <x:f>IF($H75="Sin envio","Sin envio",IF($I75="90 minutos",IF($F75&gt;$G75,"A",IF($G75&gt;$F75,"B","E")),"E"))</x:f>
        <x:v>E</x:v>
      </x:c>
      <x:c r="P75" t="str">
        <x:f>IF($M75="90 minutos",IF($J75&gt;$K75,"A",IF($K75&gt;$J75,"B","E")),"E")</x:f>
        <x:v>B</x:v>
      </x:c>
      <x:c r="Q75" t="str">
        <x:f>IF($H75="Sin envio","No",IF($H75=$L75,"Si","No"))</x:f>
        <x:v>Si</x:v>
      </x:c>
      <x:c r="R75" t="str">
        <x:f>IF(AND($I75=$M75,NOT(AND($I75="Penales",$F75&lt;&gt;$G75))),"Si","No")</x:f>
        <x:v>No</x:v>
      </x:c>
      <x:c r="S75" t="n">
        <x:f>IF(OR($N75&lt;&gt;"Finalizado",$Q75&lt;&gt;"Si"),0,IF($O75=$P75,Reglas!$B$2,0))</x:f>
        <x:v>0</x:v>
      </x:c>
      <x:c r="T75" t="n">
        <x:f>IF(OR($N75&lt;&gt;"Finalizado",$Q75&lt;&gt;"Si"),0,Reglas!$B$3)</x:f>
        <x:v>3</x:v>
      </x:c>
      <x:c r="U75" t="n">
        <x:f>IF(OR($N75&lt;&gt;"Finalizado",$Q75&lt;&gt;"Si"),0,IF($I75=$M75,Reglas!$B$4,0))</x:f>
        <x:v>0</x:v>
      </x:c>
      <x:c r="V75" t="n">
        <x:f>IF(OR($N75&lt;&gt;"Finalizado",$Q75&lt;&gt;"Si",$R75&lt;&gt;"Si"),0,IF(AND($F75=$J75,$G75=$K75),Reglas!$B$5,0))</x:f>
        <x:v>0</x:v>
      </x:c>
      <x:c r="W75" t="n">
        <x:f>IF(OR($N75&lt;&gt;"Finalizado",$Q75&lt;&gt;"Si",$R75&lt;&gt;"Si"),0,IF($F75-$G75=$J75-$K75,Reglas!$B$6,0))</x:f>
        <x:v>0</x:v>
      </x:c>
      <x:c r="X75" t="n">
        <x:f>IF(OR($N75&lt;&gt;"Finalizado",$Q75&lt;&gt;"Si",$R75&lt;&gt;"Si"),0,IF($F75=$J75,Reglas!$B$7,0))</x:f>
        <x:v>0</x:v>
      </x:c>
      <x:c r="Y75" t="n">
        <x:f>IF(OR($N75&lt;&gt;"Finalizado",$Q75&lt;&gt;"Si",$R75&lt;&gt;"Si"),0,IF($G75=$K75,Reglas!$B$8,0))</x:f>
        <x:v>0</x:v>
      </x:c>
      <x:c r="Z75" t="n">
        <x:f>SUM($S75:$Y75)</x:f>
        <x:v>3</x:v>
      </x:c>
      <x:c r="AA75" t="str">
        <x:f>IF($N75&lt;&gt;"Finalizado","Resultado pendiente",IF($H75="Sin envio","Sin respuesta",IF($Q75&lt;&gt;"Si","No acerto clasificado","OK")))</x:f>
        <x:v>OK</x:v>
      </x:c>
      <x:c r="AB75" t="str">
        <x:v>8vos detalle reconstruido</x:v>
      </x:c>
      <x:c r="AC75" t="n">
        <x:v>3</x:v>
      </x:c>
      <x:c r="AD75" t="n">
        <x:f>$Z75-$AC75</x:f>
        <x:v>0</x:v>
      </x:c>
    </x:row>
    <x:row r="76" ht="15" hidden="0" customHeight="1">
      <x:c r="A76" t="str">
        <x:v>8vos</x:v>
      </x:c>
      <x:c r="B76" t="str">
        <x:v>O4</x:v>
      </x:c>
      <x:c r="C76" t="str">
        <x:v>Gino</x:v>
      </x:c>
      <x:c r="D76" t="str">
        <x:v>Mexico</x:v>
      </x:c>
      <x:c r="E76" t="str">
        <x:v>Inglaterra</x:v>
      </x:c>
      <x:c r="F76" t="n">
        <x:v>1</x:v>
      </x:c>
      <x:c r="G76" t="n">
        <x:v>2</x:v>
      </x:c>
      <x:c r="H76" t="str">
        <x:v>Inglaterra</x:v>
      </x:c>
      <x:c r="I76" t="str">
        <x:v>Suplementario</x:v>
      </x:c>
      <x:c r="J76" t="n">
        <x:v>2</x:v>
      </x:c>
      <x:c r="K76" t="n">
        <x:v>3</x:v>
      </x:c>
      <x:c r="L76" t="str">
        <x:v>Inglaterra</x:v>
      </x:c>
      <x:c r="M76" t="str">
        <x:v>90 minutos</x:v>
      </x:c>
      <x:c r="N76" t="str">
        <x:v>Finalizado</x:v>
      </x:c>
      <x:c r="O76" t="str">
        <x:f>IF($H76="Sin envio","Sin envio",IF($I76="90 minutos",IF($F76&gt;$G76,"A",IF($G76&gt;$F76,"B","E")),"E"))</x:f>
        <x:v>E</x:v>
      </x:c>
      <x:c r="P76" t="str">
        <x:f>IF($M76="90 minutos",IF($J76&gt;$K76,"A",IF($K76&gt;$J76,"B","E")),"E")</x:f>
        <x:v>B</x:v>
      </x:c>
      <x:c r="Q76" t="str">
        <x:f>IF($H76="Sin envio","No",IF($H76=$L76,"Si","No"))</x:f>
        <x:v>Si</x:v>
      </x:c>
      <x:c r="R76" t="str">
        <x:f>IF(AND($I76=$M76,NOT(AND($I76="Penales",$F76&lt;&gt;$G76))),"Si","No")</x:f>
        <x:v>No</x:v>
      </x:c>
      <x:c r="S76" t="n">
        <x:f>IF(OR($N76&lt;&gt;"Finalizado",$Q76&lt;&gt;"Si"),0,IF($O76=$P76,Reglas!$B$2,0))</x:f>
        <x:v>0</x:v>
      </x:c>
      <x:c r="T76" t="n">
        <x:f>IF(OR($N76&lt;&gt;"Finalizado",$Q76&lt;&gt;"Si"),0,Reglas!$B$3)</x:f>
        <x:v>3</x:v>
      </x:c>
      <x:c r="U76" t="n">
        <x:f>IF(OR($N76&lt;&gt;"Finalizado",$Q76&lt;&gt;"Si"),0,IF($I76=$M76,Reglas!$B$4,0))</x:f>
        <x:v>0</x:v>
      </x:c>
      <x:c r="V76" t="n">
        <x:f>IF(OR($N76&lt;&gt;"Finalizado",$Q76&lt;&gt;"Si",$R76&lt;&gt;"Si"),0,IF(AND($F76=$J76,$G76=$K76),Reglas!$B$5,0))</x:f>
        <x:v>0</x:v>
      </x:c>
      <x:c r="W76" t="n">
        <x:f>IF(OR($N76&lt;&gt;"Finalizado",$Q76&lt;&gt;"Si",$R76&lt;&gt;"Si"),0,IF($F76-$G76=$J76-$K76,Reglas!$B$6,0))</x:f>
        <x:v>0</x:v>
      </x:c>
      <x:c r="X76" t="n">
        <x:f>IF(OR($N76&lt;&gt;"Finalizado",$Q76&lt;&gt;"Si",$R76&lt;&gt;"Si"),0,IF($F76=$J76,Reglas!$B$7,0))</x:f>
        <x:v>0</x:v>
      </x:c>
      <x:c r="Y76" t="n">
        <x:f>IF(OR($N76&lt;&gt;"Finalizado",$Q76&lt;&gt;"Si",$R76&lt;&gt;"Si"),0,IF($G76=$K76,Reglas!$B$8,0))</x:f>
        <x:v>0</x:v>
      </x:c>
      <x:c r="Z76" t="n">
        <x:f>SUM($S76:$Y76)</x:f>
        <x:v>3</x:v>
      </x:c>
      <x:c r="AA76" t="str">
        <x:f>IF($N76&lt;&gt;"Finalizado","Resultado pendiente",IF($H76="Sin envio","Sin respuesta",IF($Q76&lt;&gt;"Si","No acerto clasificado","OK")))</x:f>
        <x:v>OK</x:v>
      </x:c>
      <x:c r="AB76" t="str">
        <x:v>8vos detalle reconstruido</x:v>
      </x:c>
      <x:c r="AC76" t="n">
        <x:v>3</x:v>
      </x:c>
      <x:c r="AD76" t="n">
        <x:f>$Z76-$AC76</x:f>
        <x:v>0</x:v>
      </x:c>
    </x:row>
    <x:row r="77" ht="15" hidden="0" customHeight="1">
      <x:c r="A77" t="str">
        <x:v>8vos</x:v>
      </x:c>
      <x:c r="B77" t="str">
        <x:v>O4</x:v>
      </x:c>
      <x:c r="C77" t="str">
        <x:v>Manuel</x:v>
      </x:c>
      <x:c r="D77" t="str">
        <x:v>Mexico</x:v>
      </x:c>
      <x:c r="E77" t="str">
        <x:v>Inglaterra</x:v>
      </x:c>
      <x:c r="F77" t="n">
        <x:v>2</x:v>
      </x:c>
      <x:c r="G77" t="n">
        <x:v>3</x:v>
      </x:c>
      <x:c r="H77" t="str">
        <x:v>Inglaterra</x:v>
      </x:c>
      <x:c r="I77" t="str">
        <x:v>Suplementario</x:v>
      </x:c>
      <x:c r="J77" t="n">
        <x:v>2</x:v>
      </x:c>
      <x:c r="K77" t="n">
        <x:v>3</x:v>
      </x:c>
      <x:c r="L77" t="str">
        <x:v>Inglaterra</x:v>
      </x:c>
      <x:c r="M77" t="str">
        <x:v>90 minutos</x:v>
      </x:c>
      <x:c r="N77" t="str">
        <x:v>Finalizado</x:v>
      </x:c>
      <x:c r="O77" t="str">
        <x:f>IF($H77="Sin envio","Sin envio",IF($I77="90 minutos",IF($F77&gt;$G77,"A",IF($G77&gt;$F77,"B","E")),"E"))</x:f>
        <x:v>E</x:v>
      </x:c>
      <x:c r="P77" t="str">
        <x:f>IF($M77="90 minutos",IF($J77&gt;$K77,"A",IF($K77&gt;$J77,"B","E")),"E")</x:f>
        <x:v>B</x:v>
      </x:c>
      <x:c r="Q77" t="str">
        <x:f>IF($H77="Sin envio","No",IF($H77=$L77,"Si","No"))</x:f>
        <x:v>Si</x:v>
      </x:c>
      <x:c r="R77" t="str">
        <x:f>IF(AND($I77=$M77,NOT(AND($I77="Penales",$F77&lt;&gt;$G77))),"Si","No")</x:f>
        <x:v>No</x:v>
      </x:c>
      <x:c r="S77" t="n">
        <x:f>IF(OR($N77&lt;&gt;"Finalizado",$Q77&lt;&gt;"Si"),0,IF($O77=$P77,Reglas!$B$2,0))</x:f>
        <x:v>0</x:v>
      </x:c>
      <x:c r="T77" t="n">
        <x:f>IF(OR($N77&lt;&gt;"Finalizado",$Q77&lt;&gt;"Si"),0,Reglas!$B$3)</x:f>
        <x:v>3</x:v>
      </x:c>
      <x:c r="U77" t="n">
        <x:f>IF(OR($N77&lt;&gt;"Finalizado",$Q77&lt;&gt;"Si"),0,IF($I77=$M77,Reglas!$B$4,0))</x:f>
        <x:v>0</x:v>
      </x:c>
      <x:c r="V77" t="n">
        <x:f>IF(OR($N77&lt;&gt;"Finalizado",$Q77&lt;&gt;"Si",$R77&lt;&gt;"Si"),0,IF(AND($F77=$J77,$G77=$K77),Reglas!$B$5,0))</x:f>
        <x:v>0</x:v>
      </x:c>
      <x:c r="W77" t="n">
        <x:f>IF(OR($N77&lt;&gt;"Finalizado",$Q77&lt;&gt;"Si",$R77&lt;&gt;"Si"),0,IF($F77-$G77=$J77-$K77,Reglas!$B$6,0))</x:f>
        <x:v>0</x:v>
      </x:c>
      <x:c r="X77" t="n">
        <x:f>IF(OR($N77&lt;&gt;"Finalizado",$Q77&lt;&gt;"Si",$R77&lt;&gt;"Si"),0,IF($F77=$J77,Reglas!$B$7,0))</x:f>
        <x:v>0</x:v>
      </x:c>
      <x:c r="Y77" t="n">
        <x:f>IF(OR($N77&lt;&gt;"Finalizado",$Q77&lt;&gt;"Si",$R77&lt;&gt;"Si"),0,IF($G77=$K77,Reglas!$B$8,0))</x:f>
        <x:v>0</x:v>
      </x:c>
      <x:c r="Z77" t="n">
        <x:f>SUM($S77:$Y77)</x:f>
        <x:v>3</x:v>
      </x:c>
      <x:c r="AA77" t="str">
        <x:f>IF($N77&lt;&gt;"Finalizado","Resultado pendiente",IF($H77="Sin envio","Sin respuesta",IF($Q77&lt;&gt;"Si","No acerto clasificado","OK")))</x:f>
        <x:v>OK</x:v>
      </x:c>
      <x:c r="AB77" t="str">
        <x:v>8vos detalle reconstruido</x:v>
      </x:c>
      <x:c r="AC77" t="n">
        <x:v>3</x:v>
      </x:c>
      <x:c r="AD77" t="n">
        <x:f>$Z77-$AC77</x:f>
        <x:v>0</x:v>
      </x:c>
    </x:row>
    <x:row r="78" ht="15" hidden="0" customHeight="1">
      <x:c r="A78" t="str">
        <x:v>8vos</x:v>
      </x:c>
      <x:c r="B78" t="str">
        <x:v>O4</x:v>
      </x:c>
      <x:c r="C78" t="str">
        <x:v>Jorge</x:v>
      </x:c>
      <x:c r="D78" t="str">
        <x:v>Mexico</x:v>
      </x:c>
      <x:c r="E78" t="str">
        <x:v>Inglaterra</x:v>
      </x:c>
      <x:c r="F78" t="n">
        <x:v>1</x:v>
      </x:c>
      <x:c r="G78" t="n">
        <x:v>2</x:v>
      </x:c>
      <x:c r="H78" t="str">
        <x:v>Inglaterra</x:v>
      </x:c>
      <x:c r="I78" t="str">
        <x:v>Suplementario</x:v>
      </x:c>
      <x:c r="J78" t="n">
        <x:v>2</x:v>
      </x:c>
      <x:c r="K78" t="n">
        <x:v>3</x:v>
      </x:c>
      <x:c r="L78" t="str">
        <x:v>Inglaterra</x:v>
      </x:c>
      <x:c r="M78" t="str">
        <x:v>90 minutos</x:v>
      </x:c>
      <x:c r="N78" t="str">
        <x:v>Finalizado</x:v>
      </x:c>
      <x:c r="O78" t="str">
        <x:f>IF($H78="Sin envio","Sin envio",IF($I78="90 minutos",IF($F78&gt;$G78,"A",IF($G78&gt;$F78,"B","E")),"E"))</x:f>
        <x:v>E</x:v>
      </x:c>
      <x:c r="P78" t="str">
        <x:f>IF($M78="90 minutos",IF($J78&gt;$K78,"A",IF($K78&gt;$J78,"B","E")),"E")</x:f>
        <x:v>B</x:v>
      </x:c>
      <x:c r="Q78" t="str">
        <x:f>IF($H78="Sin envio","No",IF($H78=$L78,"Si","No"))</x:f>
        <x:v>Si</x:v>
      </x:c>
      <x:c r="R78" t="str">
        <x:f>IF(AND($I78=$M78,NOT(AND($I78="Penales",$F78&lt;&gt;$G78))),"Si","No")</x:f>
        <x:v>No</x:v>
      </x:c>
      <x:c r="S78" t="n">
        <x:f>IF(OR($N78&lt;&gt;"Finalizado",$Q78&lt;&gt;"Si"),0,IF($O78=$P78,Reglas!$B$2,0))</x:f>
        <x:v>0</x:v>
      </x:c>
      <x:c r="T78" t="n">
        <x:f>IF(OR($N78&lt;&gt;"Finalizado",$Q78&lt;&gt;"Si"),0,Reglas!$B$3)</x:f>
        <x:v>3</x:v>
      </x:c>
      <x:c r="U78" t="n">
        <x:f>IF(OR($N78&lt;&gt;"Finalizado",$Q78&lt;&gt;"Si"),0,IF($I78=$M78,Reglas!$B$4,0))</x:f>
        <x:v>0</x:v>
      </x:c>
      <x:c r="V78" t="n">
        <x:f>IF(OR($N78&lt;&gt;"Finalizado",$Q78&lt;&gt;"Si",$R78&lt;&gt;"Si"),0,IF(AND($F78=$J78,$G78=$K78),Reglas!$B$5,0))</x:f>
        <x:v>0</x:v>
      </x:c>
      <x:c r="W78" t="n">
        <x:f>IF(OR($N78&lt;&gt;"Finalizado",$Q78&lt;&gt;"Si",$R78&lt;&gt;"Si"),0,IF($F78-$G78=$J78-$K78,Reglas!$B$6,0))</x:f>
        <x:v>0</x:v>
      </x:c>
      <x:c r="X78" t="n">
        <x:f>IF(OR($N78&lt;&gt;"Finalizado",$Q78&lt;&gt;"Si",$R78&lt;&gt;"Si"),0,IF($F78=$J78,Reglas!$B$7,0))</x:f>
        <x:v>0</x:v>
      </x:c>
      <x:c r="Y78" t="n">
        <x:f>IF(OR($N78&lt;&gt;"Finalizado",$Q78&lt;&gt;"Si",$R78&lt;&gt;"Si"),0,IF($G78=$K78,Reglas!$B$8,0))</x:f>
        <x:v>0</x:v>
      </x:c>
      <x:c r="Z78" t="n">
        <x:f>SUM($S78:$Y78)</x:f>
        <x:v>3</x:v>
      </x:c>
      <x:c r="AA78" t="str">
        <x:f>IF($N78&lt;&gt;"Finalizado","Resultado pendiente",IF($H78="Sin envio","Sin respuesta",IF($Q78&lt;&gt;"Si","No acerto clasificado","OK")))</x:f>
        <x:v>OK</x:v>
      </x:c>
      <x:c r="AB78" t="str">
        <x:v>8vos detalle reconstruido</x:v>
      </x:c>
      <x:c r="AC78" t="n">
        <x:v>3</x:v>
      </x:c>
      <x:c r="AD78" t="n">
        <x:f>$Z78-$AC78</x:f>
        <x:v>0</x:v>
      </x:c>
    </x:row>
    <x:row r="79" ht="15" hidden="0" customHeight="1">
      <x:c r="A79" t="str">
        <x:v>8vos</x:v>
      </x:c>
      <x:c r="B79" t="str">
        <x:v>O4</x:v>
      </x:c>
      <x:c r="C79" t="str">
        <x:v>Daniel</x:v>
      </x:c>
      <x:c r="D79" t="str">
        <x:v>Mexico</x:v>
      </x:c>
      <x:c r="E79" t="str">
        <x:v>Inglaterra</x:v>
      </x:c>
      <x:c r="F79" t="n">
        <x:v>1</x:v>
      </x:c>
      <x:c r="G79" t="n">
        <x:v>1</x:v>
      </x:c>
      <x:c r="H79" t="str">
        <x:v>Mexico</x:v>
      </x:c>
      <x:c r="I79" t="str">
        <x:v>Penales</x:v>
      </x:c>
      <x:c r="J79" t="n">
        <x:v>2</x:v>
      </x:c>
      <x:c r="K79" t="n">
        <x:v>3</x:v>
      </x:c>
      <x:c r="L79" t="str">
        <x:v>Inglaterra</x:v>
      </x:c>
      <x:c r="M79" t="str">
        <x:v>90 minutos</x:v>
      </x:c>
      <x:c r="N79" t="str">
        <x:v>Finalizado</x:v>
      </x:c>
      <x:c r="O79" t="str">
        <x:f>IF($H79="Sin envio","Sin envio",IF($I79="90 minutos",IF($F79&gt;$G79,"A",IF($G79&gt;$F79,"B","E")),"E"))</x:f>
        <x:v>E</x:v>
      </x:c>
      <x:c r="P79" t="str">
        <x:f>IF($M79="90 minutos",IF($J79&gt;$K79,"A",IF($K79&gt;$J79,"B","E")),"E")</x:f>
        <x:v>B</x:v>
      </x:c>
      <x:c r="Q79" t="str">
        <x:f>IF($H79="Sin envio","No",IF($H79=$L79,"Si","No"))</x:f>
        <x:v>No</x:v>
      </x:c>
      <x:c r="R79" t="str">
        <x:f>IF(AND($I79=$M79,NOT(AND($I79="Penales",$F79&lt;&gt;$G79))),"Si","No")</x:f>
        <x:v>No</x:v>
      </x:c>
      <x:c r="S79" t="n">
        <x:f>IF(OR($N79&lt;&gt;"Finalizado",$Q79&lt;&gt;"Si"),0,IF($O79=$P79,Reglas!$B$2,0))</x:f>
        <x:v>0</x:v>
      </x:c>
      <x:c r="T79" t="n">
        <x:f>IF(OR($N79&lt;&gt;"Finalizado",$Q79&lt;&gt;"Si"),0,Reglas!$B$3)</x:f>
        <x:v>0</x:v>
      </x:c>
      <x:c r="U79" t="n">
        <x:f>IF(OR($N79&lt;&gt;"Finalizado",$Q79&lt;&gt;"Si"),0,IF($I79=$M79,Reglas!$B$4,0))</x:f>
        <x:v>0</x:v>
      </x:c>
      <x:c r="V79" t="n">
        <x:f>IF(OR($N79&lt;&gt;"Finalizado",$Q79&lt;&gt;"Si",$R79&lt;&gt;"Si"),0,IF(AND($F79=$J79,$G79=$K79),Reglas!$B$5,0))</x:f>
        <x:v>0</x:v>
      </x:c>
      <x:c r="W79" t="n">
        <x:f>IF(OR($N79&lt;&gt;"Finalizado",$Q79&lt;&gt;"Si",$R79&lt;&gt;"Si"),0,IF($F79-$G79=$J79-$K79,Reglas!$B$6,0))</x:f>
        <x:v>0</x:v>
      </x:c>
      <x:c r="X79" t="n">
        <x:f>IF(OR($N79&lt;&gt;"Finalizado",$Q79&lt;&gt;"Si",$R79&lt;&gt;"Si"),0,IF($F79=$J79,Reglas!$B$7,0))</x:f>
        <x:v>0</x:v>
      </x:c>
      <x:c r="Y79" t="n">
        <x:f>IF(OR($N79&lt;&gt;"Finalizado",$Q79&lt;&gt;"Si",$R79&lt;&gt;"Si"),0,IF($G79=$K79,Reglas!$B$8,0))</x:f>
        <x:v>0</x:v>
      </x:c>
      <x:c r="Z79" t="n">
        <x:f>SUM($S79:$Y79)</x:f>
        <x:v>0</x:v>
      </x:c>
      <x:c r="AA79" t="str">
        <x:f>IF($N79&lt;&gt;"Finalizado","Resultado pendiente",IF($H79="Sin envio","Sin respuesta",IF($Q79&lt;&gt;"Si","No acerto clasificado","OK")))</x:f>
        <x:v>No acerto clasificado</x:v>
      </x:c>
      <x:c r="AB79" t="str">
        <x:v>8vos detalle reconstruido</x:v>
      </x:c>
      <x:c r="AC79" t="n">
        <x:v>0</x:v>
      </x:c>
      <x:c r="AD79" t="n">
        <x:f>$Z79-$AC79</x:f>
        <x:v>0</x:v>
      </x:c>
    </x:row>
    <x:row r="80" ht="15" hidden="0" customHeight="1">
      <x:c r="A80" t="str">
        <x:v>8vos</x:v>
      </x:c>
      <x:c r="B80" t="str">
        <x:v>O4</x:v>
      </x:c>
      <x:c r="C80" t="str">
        <x:v>Arthur</x:v>
      </x:c>
      <x:c r="D80" t="str">
        <x:v>Mexico</x:v>
      </x:c>
      <x:c r="E80" t="str">
        <x:v>Inglaterra</x:v>
      </x:c>
      <x:c r="F80" t="n">
        <x:v>2</x:v>
      </x:c>
      <x:c r="G80" t="n">
        <x:v>4</x:v>
      </x:c>
      <x:c r="H80" t="str">
        <x:v>Inglaterra</x:v>
      </x:c>
      <x:c r="I80" t="str">
        <x:v>Penales</x:v>
      </x:c>
      <x:c r="J80" t="n">
        <x:v>2</x:v>
      </x:c>
      <x:c r="K80" t="n">
        <x:v>3</x:v>
      </x:c>
      <x:c r="L80" t="str">
        <x:v>Inglaterra</x:v>
      </x:c>
      <x:c r="M80" t="str">
        <x:v>90 minutos</x:v>
      </x:c>
      <x:c r="N80" t="str">
        <x:v>Finalizado</x:v>
      </x:c>
      <x:c r="O80" t="str">
        <x:f>IF($H80="Sin envio","Sin envio",IF($I80="90 minutos",IF($F80&gt;$G80,"A",IF($G80&gt;$F80,"B","E")),"E"))</x:f>
        <x:v>E</x:v>
      </x:c>
      <x:c r="P80" t="str">
        <x:f>IF($M80="90 minutos",IF($J80&gt;$K80,"A",IF($K80&gt;$J80,"B","E")),"E")</x:f>
        <x:v>B</x:v>
      </x:c>
      <x:c r="Q80" t="str">
        <x:f>IF($H80="Sin envio","No",IF($H80=$L80,"Si","No"))</x:f>
        <x:v>Si</x:v>
      </x:c>
      <x:c r="R80" t="str">
        <x:f>IF(AND($I80=$M80,NOT(AND($I80="Penales",$F80&lt;&gt;$G80))),"Si","No")</x:f>
        <x:v>No</x:v>
      </x:c>
      <x:c r="S80" t="n">
        <x:f>IF(OR($N80&lt;&gt;"Finalizado",$Q80&lt;&gt;"Si"),0,IF($O80=$P80,Reglas!$B$2,0))</x:f>
        <x:v>0</x:v>
      </x:c>
      <x:c r="T80" t="n">
        <x:f>IF(OR($N80&lt;&gt;"Finalizado",$Q80&lt;&gt;"Si"),0,Reglas!$B$3)</x:f>
        <x:v>3</x:v>
      </x:c>
      <x:c r="U80" t="n">
        <x:f>IF(OR($N80&lt;&gt;"Finalizado",$Q80&lt;&gt;"Si"),0,IF($I80=$M80,Reglas!$B$4,0))</x:f>
        <x:v>0</x:v>
      </x:c>
      <x:c r="V80" t="n">
        <x:f>IF(OR($N80&lt;&gt;"Finalizado",$Q80&lt;&gt;"Si",$R80&lt;&gt;"Si"),0,IF(AND($F80=$J80,$G80=$K80),Reglas!$B$5,0))</x:f>
        <x:v>0</x:v>
      </x:c>
      <x:c r="W80" t="n">
        <x:f>IF(OR($N80&lt;&gt;"Finalizado",$Q80&lt;&gt;"Si",$R80&lt;&gt;"Si"),0,IF($F80-$G80=$J80-$K80,Reglas!$B$6,0))</x:f>
        <x:v>0</x:v>
      </x:c>
      <x:c r="X80" t="n">
        <x:f>IF(OR($N80&lt;&gt;"Finalizado",$Q80&lt;&gt;"Si",$R80&lt;&gt;"Si"),0,IF($F80=$J80,Reglas!$B$7,0))</x:f>
        <x:v>0</x:v>
      </x:c>
      <x:c r="Y80" t="n">
        <x:f>IF(OR($N80&lt;&gt;"Finalizado",$Q80&lt;&gt;"Si",$R80&lt;&gt;"Si"),0,IF($G80=$K80,Reglas!$B$8,0))</x:f>
        <x:v>0</x:v>
      </x:c>
      <x:c r="Z80" t="n">
        <x:f>SUM($S80:$Y80)</x:f>
        <x:v>3</x:v>
      </x:c>
      <x:c r="AA80" t="str">
        <x:f>IF($N80&lt;&gt;"Finalizado","Resultado pendiente",IF($H80="Sin envio","Sin respuesta",IF($Q80&lt;&gt;"Si","No acerto clasificado","OK")))</x:f>
        <x:v>OK</x:v>
      </x:c>
      <x:c r="AB80" t="str">
        <x:v>8vos detalle reconstruido</x:v>
      </x:c>
      <x:c r="AC80" t="n">
        <x:v>3</x:v>
      </x:c>
      <x:c r="AD80" t="n">
        <x:f>$Z80-$AC80</x:f>
        <x:v>0</x:v>
      </x:c>
    </x:row>
    <x:row r="81" ht="15" hidden="0" customHeight="1">
      <x:c r="A81" t="str">
        <x:v>8vos</x:v>
      </x:c>
      <x:c r="B81" t="str">
        <x:v>O4</x:v>
      </x:c>
      <x:c r="C81" t="str">
        <x:v>José Luis</x:v>
      </x:c>
      <x:c r="D81" t="str">
        <x:v>Mexico</x:v>
      </x:c>
      <x:c r="E81" t="str">
        <x:v>Inglaterra</x:v>
      </x:c>
      <x:c r="F81"/>
      <x:c r="G81"/>
      <x:c r="H81" t="str">
        <x:v>Sin envio</x:v>
      </x:c>
      <x:c r="I81" t="str">
        <x:v>Sin envio</x:v>
      </x:c>
      <x:c r="J81" t="n">
        <x:v>2</x:v>
      </x:c>
      <x:c r="K81" t="n">
        <x:v>3</x:v>
      </x:c>
      <x:c r="L81" t="str">
        <x:v>Inglaterra</x:v>
      </x:c>
      <x:c r="M81" t="str">
        <x:v>90 minutos</x:v>
      </x:c>
      <x:c r="N81" t="str">
        <x:v>Finalizado</x:v>
      </x:c>
      <x:c r="O81" t="str">
        <x:f>IF($H81="Sin envio","Sin envio",IF($I81="90 minutos",IF($F81&gt;$G81,"A",IF($G81&gt;$F81,"B","E")),"E"))</x:f>
        <x:v>Sin envio</x:v>
      </x:c>
      <x:c r="P81" t="str">
        <x:f>IF($M81="90 minutos",IF($J81&gt;$K81,"A",IF($K81&gt;$J81,"B","E")),"E")</x:f>
        <x:v>B</x:v>
      </x:c>
      <x:c r="Q81" t="str">
        <x:f>IF($H81="Sin envio","No",IF($H81=$L81,"Si","No"))</x:f>
        <x:v>No</x:v>
      </x:c>
      <x:c r="R81" t="str">
        <x:f>IF(AND($I81=$M81,NOT(AND($I81="Penales",$F81&lt;&gt;$G81))),"Si","No")</x:f>
        <x:v>No</x:v>
      </x:c>
      <x:c r="S81" t="n">
        <x:f>IF(OR($N81&lt;&gt;"Finalizado",$Q81&lt;&gt;"Si"),0,IF($O81=$P81,Reglas!$B$2,0))</x:f>
        <x:v>0</x:v>
      </x:c>
      <x:c r="T81" t="n">
        <x:f>IF(OR($N81&lt;&gt;"Finalizado",$Q81&lt;&gt;"Si"),0,Reglas!$B$3)</x:f>
        <x:v>0</x:v>
      </x:c>
      <x:c r="U81" t="n">
        <x:f>IF(OR($N81&lt;&gt;"Finalizado",$Q81&lt;&gt;"Si"),0,IF($I81=$M81,Reglas!$B$4,0))</x:f>
        <x:v>0</x:v>
      </x:c>
      <x:c r="V81" t="n">
        <x:f>IF(OR($N81&lt;&gt;"Finalizado",$Q81&lt;&gt;"Si",$R81&lt;&gt;"Si"),0,IF(AND($F81=$J81,$G81=$K81),Reglas!$B$5,0))</x:f>
        <x:v>0</x:v>
      </x:c>
      <x:c r="W81" t="n">
        <x:f>IF(OR($N81&lt;&gt;"Finalizado",$Q81&lt;&gt;"Si",$R81&lt;&gt;"Si"),0,IF($F81-$G81=$J81-$K81,Reglas!$B$6,0))</x:f>
        <x:v>0</x:v>
      </x:c>
      <x:c r="X81" t="n">
        <x:f>IF(OR($N81&lt;&gt;"Finalizado",$Q81&lt;&gt;"Si",$R81&lt;&gt;"Si"),0,IF($F81=$J81,Reglas!$B$7,0))</x:f>
        <x:v>0</x:v>
      </x:c>
      <x:c r="Y81" t="n">
        <x:f>IF(OR($N81&lt;&gt;"Finalizado",$Q81&lt;&gt;"Si",$R81&lt;&gt;"Si"),0,IF($G81=$K81,Reglas!$B$8,0))</x:f>
        <x:v>0</x:v>
      </x:c>
      <x:c r="Z81" t="n">
        <x:f>SUM($S81:$Y81)</x:f>
        <x:v>0</x:v>
      </x:c>
      <x:c r="AA81" t="str">
        <x:f>IF($N81&lt;&gt;"Finalizado","Resultado pendiente",IF($H81="Sin envio","Sin respuesta",IF($Q81&lt;&gt;"Si","No acerto clasificado","OK")))</x:f>
        <x:v>Sin respuesta</x:v>
      </x:c>
      <x:c r="AB81" t="str">
        <x:v>8vos detalle reconstruido</x:v>
      </x:c>
      <x:c r="AC81" t="n">
        <x:v>0</x:v>
      </x:c>
      <x:c r="AD81" t="n">
        <x:f>$Z81-$AC81</x:f>
        <x:v>0</x:v>
      </x:c>
    </x:row>
    <x:row r="82" ht="15" hidden="0" customHeight="1">
      <x:c r="A82" t="str">
        <x:v>8vos</x:v>
      </x:c>
      <x:c r="B82" t="str">
        <x:v>O4</x:v>
      </x:c>
      <x:c r="C82" t="str">
        <x:v>Marcelo</x:v>
      </x:c>
      <x:c r="D82" t="str">
        <x:v>Mexico</x:v>
      </x:c>
      <x:c r="E82" t="str">
        <x:v>Inglaterra</x:v>
      </x:c>
      <x:c r="F82"/>
      <x:c r="G82"/>
      <x:c r="H82" t="str">
        <x:v>Sin envio</x:v>
      </x:c>
      <x:c r="I82" t="str">
        <x:v>Sin envio</x:v>
      </x:c>
      <x:c r="J82" t="n">
        <x:v>2</x:v>
      </x:c>
      <x:c r="K82" t="n">
        <x:v>3</x:v>
      </x:c>
      <x:c r="L82" t="str">
        <x:v>Inglaterra</x:v>
      </x:c>
      <x:c r="M82" t="str">
        <x:v>90 minutos</x:v>
      </x:c>
      <x:c r="N82" t="str">
        <x:v>Finalizado</x:v>
      </x:c>
      <x:c r="O82" t="str">
        <x:f>IF($H82="Sin envio","Sin envio",IF($I82="90 minutos",IF($F82&gt;$G82,"A",IF($G82&gt;$F82,"B","E")),"E"))</x:f>
        <x:v>Sin envio</x:v>
      </x:c>
      <x:c r="P82" t="str">
        <x:f>IF($M82="90 minutos",IF($J82&gt;$K82,"A",IF($K82&gt;$J82,"B","E")),"E")</x:f>
        <x:v>B</x:v>
      </x:c>
      <x:c r="Q82" t="str">
        <x:f>IF($H82="Sin envio","No",IF($H82=$L82,"Si","No"))</x:f>
        <x:v>No</x:v>
      </x:c>
      <x:c r="R82" t="str">
        <x:f>IF(AND($I82=$M82,NOT(AND($I82="Penales",$F82&lt;&gt;$G82))),"Si","No")</x:f>
        <x:v>No</x:v>
      </x:c>
      <x:c r="S82" t="n">
        <x:f>IF(OR($N82&lt;&gt;"Finalizado",$Q82&lt;&gt;"Si"),0,IF($O82=$P82,Reglas!$B$2,0))</x:f>
        <x:v>0</x:v>
      </x:c>
      <x:c r="T82" t="n">
        <x:f>IF(OR($N82&lt;&gt;"Finalizado",$Q82&lt;&gt;"Si"),0,Reglas!$B$3)</x:f>
        <x:v>0</x:v>
      </x:c>
      <x:c r="U82" t="n">
        <x:f>IF(OR($N82&lt;&gt;"Finalizado",$Q82&lt;&gt;"Si"),0,IF($I82=$M82,Reglas!$B$4,0))</x:f>
        <x:v>0</x:v>
      </x:c>
      <x:c r="V82" t="n">
        <x:f>IF(OR($N82&lt;&gt;"Finalizado",$Q82&lt;&gt;"Si",$R82&lt;&gt;"Si"),0,IF(AND($F82=$J82,$G82=$K82),Reglas!$B$5,0))</x:f>
        <x:v>0</x:v>
      </x:c>
      <x:c r="W82" t="n">
        <x:f>IF(OR($N82&lt;&gt;"Finalizado",$Q82&lt;&gt;"Si",$R82&lt;&gt;"Si"),0,IF($F82-$G82=$J82-$K82,Reglas!$B$6,0))</x:f>
        <x:v>0</x:v>
      </x:c>
      <x:c r="X82" t="n">
        <x:f>IF(OR($N82&lt;&gt;"Finalizado",$Q82&lt;&gt;"Si",$R82&lt;&gt;"Si"),0,IF($F82=$J82,Reglas!$B$7,0))</x:f>
        <x:v>0</x:v>
      </x:c>
      <x:c r="Y82" t="n">
        <x:f>IF(OR($N82&lt;&gt;"Finalizado",$Q82&lt;&gt;"Si",$R82&lt;&gt;"Si"),0,IF($G82=$K82,Reglas!$B$8,0))</x:f>
        <x:v>0</x:v>
      </x:c>
      <x:c r="Z82" t="n">
        <x:f>SUM($S82:$Y82)</x:f>
        <x:v>0</x:v>
      </x:c>
      <x:c r="AA82" t="str">
        <x:f>IF($N82&lt;&gt;"Finalizado","Resultado pendiente",IF($H82="Sin envio","Sin respuesta",IF($Q82&lt;&gt;"Si","No acerto clasificado","OK")))</x:f>
        <x:v>Sin respuesta</x:v>
      </x:c>
      <x:c r="AB82" t="str">
        <x:v>8vos detalle reconstruido</x:v>
      </x:c>
      <x:c r="AC82" t="n">
        <x:v>0</x:v>
      </x:c>
      <x:c r="AD82" t="n">
        <x:f>$Z82-$AC82</x:f>
        <x:v>0</x:v>
      </x:c>
    </x:row>
    <x:row r="83" ht="15" hidden="0" customHeight="1">
      <x:c r="A83" t="str">
        <x:v>8vos</x:v>
      </x:c>
      <x:c r="B83" t="str">
        <x:v>O4</x:v>
      </x:c>
      <x:c r="C83" t="str">
        <x:v>Anny</x:v>
      </x:c>
      <x:c r="D83" t="str">
        <x:v>Mexico</x:v>
      </x:c>
      <x:c r="E83" t="str">
        <x:v>Inglaterra</x:v>
      </x:c>
      <x:c r="F83" t="n">
        <x:v>1</x:v>
      </x:c>
      <x:c r="G83" t="n">
        <x:v>2</x:v>
      </x:c>
      <x:c r="H83" t="str">
        <x:v>Inglaterra</x:v>
      </x:c>
      <x:c r="I83" t="str">
        <x:v>90 minutos</x:v>
      </x:c>
      <x:c r="J83" t="n">
        <x:v>2</x:v>
      </x:c>
      <x:c r="K83" t="n">
        <x:v>3</x:v>
      </x:c>
      <x:c r="L83" t="str">
        <x:v>Inglaterra</x:v>
      </x:c>
      <x:c r="M83" t="str">
        <x:v>90 minutos</x:v>
      </x:c>
      <x:c r="N83" t="str">
        <x:v>Finalizado</x:v>
      </x:c>
      <x:c r="O83" t="str">
        <x:f>IF($H83="Sin envio","Sin envio",IF($I83="90 minutos",IF($F83&gt;$G83,"A",IF($G83&gt;$F83,"B","E")),"E"))</x:f>
        <x:v>B</x:v>
      </x:c>
      <x:c r="P83" t="str">
        <x:f>IF($M83="90 minutos",IF($J83&gt;$K83,"A",IF($K83&gt;$J83,"B","E")),"E")</x:f>
        <x:v>B</x:v>
      </x:c>
      <x:c r="Q83" t="str">
        <x:f>IF($H83="Sin envio","No",IF($H83=$L83,"Si","No"))</x:f>
        <x:v>Si</x:v>
      </x:c>
      <x:c r="R83" t="str">
        <x:f>IF(AND($I83=$M83,NOT(AND($I83="Penales",$F83&lt;&gt;$G83))),"Si","No")</x:f>
        <x:v>Si</x:v>
      </x:c>
      <x:c r="S83" t="n">
        <x:f>IF(OR($N83&lt;&gt;"Finalizado",$Q83&lt;&gt;"Si"),0,IF($O83=$P83,Reglas!$B$2,0))</x:f>
        <x:v>5</x:v>
      </x:c>
      <x:c r="T83" t="n">
        <x:f>IF(OR($N83&lt;&gt;"Finalizado",$Q83&lt;&gt;"Si"),0,Reglas!$B$3)</x:f>
        <x:v>3</x:v>
      </x:c>
      <x:c r="U83" t="n">
        <x:f>IF(OR($N83&lt;&gt;"Finalizado",$Q83&lt;&gt;"Si"),0,IF($I83=$M83,Reglas!$B$4,0))</x:f>
        <x:v>2</x:v>
      </x:c>
      <x:c r="V83" t="n">
        <x:f>IF(OR($N83&lt;&gt;"Finalizado",$Q83&lt;&gt;"Si",$R83&lt;&gt;"Si"),0,IF(AND($F83=$J83,$G83=$K83),Reglas!$B$5,0))</x:f>
        <x:v>0</x:v>
      </x:c>
      <x:c r="W83" t="n">
        <x:f>IF(OR($N83&lt;&gt;"Finalizado",$Q83&lt;&gt;"Si",$R83&lt;&gt;"Si"),0,IF($F83-$G83=$J83-$K83,Reglas!$B$6,0))</x:f>
        <x:v>2</x:v>
      </x:c>
      <x:c r="X83" t="n">
        <x:f>IF(OR($N83&lt;&gt;"Finalizado",$Q83&lt;&gt;"Si",$R83&lt;&gt;"Si"),0,IF($F83=$J83,Reglas!$B$7,0))</x:f>
        <x:v>0</x:v>
      </x:c>
      <x:c r="Y83" t="n">
        <x:f>IF(OR($N83&lt;&gt;"Finalizado",$Q83&lt;&gt;"Si",$R83&lt;&gt;"Si"),0,IF($G83=$K83,Reglas!$B$8,0))</x:f>
        <x:v>0</x:v>
      </x:c>
      <x:c r="Z83" t="n">
        <x:f>SUM($S83:$Y83)</x:f>
        <x:v>12</x:v>
      </x:c>
      <x:c r="AA83" t="str">
        <x:f>IF($N83&lt;&gt;"Finalizado","Resultado pendiente",IF($H83="Sin envio","Sin respuesta",IF($Q83&lt;&gt;"Si","No acerto clasificado","OK")))</x:f>
        <x:v>OK</x:v>
      </x:c>
      <x:c r="AB83" t="str">
        <x:v>8vos detalle reconstruido</x:v>
      </x:c>
      <x:c r="AC83" t="n">
        <x:v>12</x:v>
      </x:c>
      <x:c r="AD83" t="n">
        <x:f>$Z83-$AC83</x:f>
        <x:v>0</x:v>
      </x:c>
    </x:row>
    <x:row r="84" ht="15" hidden="0" customHeight="1">
      <x:c r="A84" t="str">
        <x:v>8vos</x:v>
      </x:c>
      <x:c r="B84" t="str">
        <x:v>O4</x:v>
      </x:c>
      <x:c r="C84" t="str">
        <x:v>Moisés</x:v>
      </x:c>
      <x:c r="D84" t="str">
        <x:v>Mexico</x:v>
      </x:c>
      <x:c r="E84" t="str">
        <x:v>Inglaterra</x:v>
      </x:c>
      <x:c r="F84" t="n">
        <x:v>2</x:v>
      </x:c>
      <x:c r="G84" t="n">
        <x:v>3</x:v>
      </x:c>
      <x:c r="H84" t="str">
        <x:v>Inglaterra</x:v>
      </x:c>
      <x:c r="I84" t="str">
        <x:v>Penales</x:v>
      </x:c>
      <x:c r="J84" t="n">
        <x:v>2</x:v>
      </x:c>
      <x:c r="K84" t="n">
        <x:v>3</x:v>
      </x:c>
      <x:c r="L84" t="str">
        <x:v>Inglaterra</x:v>
      </x:c>
      <x:c r="M84" t="str">
        <x:v>90 minutos</x:v>
      </x:c>
      <x:c r="N84" t="str">
        <x:v>Finalizado</x:v>
      </x:c>
      <x:c r="O84" t="str">
        <x:f>IF($H84="Sin envio","Sin envio",IF($I84="90 minutos",IF($F84&gt;$G84,"A",IF($G84&gt;$F84,"B","E")),"E"))</x:f>
        <x:v>E</x:v>
      </x:c>
      <x:c r="P84" t="str">
        <x:f>IF($M84="90 minutos",IF($J84&gt;$K84,"A",IF($K84&gt;$J84,"B","E")),"E")</x:f>
        <x:v>B</x:v>
      </x:c>
      <x:c r="Q84" t="str">
        <x:f>IF($H84="Sin envio","No",IF($H84=$L84,"Si","No"))</x:f>
        <x:v>Si</x:v>
      </x:c>
      <x:c r="R84" t="str">
        <x:f>IF(AND($I84=$M84,NOT(AND($I84="Penales",$F84&lt;&gt;$G84))),"Si","No")</x:f>
        <x:v>No</x:v>
      </x:c>
      <x:c r="S84" t="n">
        <x:f>IF(OR($N84&lt;&gt;"Finalizado",$Q84&lt;&gt;"Si"),0,IF($O84=$P84,Reglas!$B$2,0))</x:f>
        <x:v>0</x:v>
      </x:c>
      <x:c r="T84" t="n">
        <x:f>IF(OR($N84&lt;&gt;"Finalizado",$Q84&lt;&gt;"Si"),0,Reglas!$B$3)</x:f>
        <x:v>3</x:v>
      </x:c>
      <x:c r="U84" t="n">
        <x:f>IF(OR($N84&lt;&gt;"Finalizado",$Q84&lt;&gt;"Si"),0,IF($I84=$M84,Reglas!$B$4,0))</x:f>
        <x:v>0</x:v>
      </x:c>
      <x:c r="V84" t="n">
        <x:f>IF(OR($N84&lt;&gt;"Finalizado",$Q84&lt;&gt;"Si",$R84&lt;&gt;"Si"),0,IF(AND($F84=$J84,$G84=$K84),Reglas!$B$5,0))</x:f>
        <x:v>0</x:v>
      </x:c>
      <x:c r="W84" t="n">
        <x:f>IF(OR($N84&lt;&gt;"Finalizado",$Q84&lt;&gt;"Si",$R84&lt;&gt;"Si"),0,IF($F84-$G84=$J84-$K84,Reglas!$B$6,0))</x:f>
        <x:v>0</x:v>
      </x:c>
      <x:c r="X84" t="n">
        <x:f>IF(OR($N84&lt;&gt;"Finalizado",$Q84&lt;&gt;"Si",$R84&lt;&gt;"Si"),0,IF($F84=$J84,Reglas!$B$7,0))</x:f>
        <x:v>0</x:v>
      </x:c>
      <x:c r="Y84" t="n">
        <x:f>IF(OR($N84&lt;&gt;"Finalizado",$Q84&lt;&gt;"Si",$R84&lt;&gt;"Si"),0,IF($G84=$K84,Reglas!$B$8,0))</x:f>
        <x:v>0</x:v>
      </x:c>
      <x:c r="Z84" t="n">
        <x:f>SUM($S84:$Y84)</x:f>
        <x:v>3</x:v>
      </x:c>
      <x:c r="AA84" t="str">
        <x:f>IF($N84&lt;&gt;"Finalizado","Resultado pendiente",IF($H84="Sin envio","Sin respuesta",IF($Q84&lt;&gt;"Si","No acerto clasificado","OK")))</x:f>
        <x:v>OK</x:v>
      </x:c>
      <x:c r="AB84" t="str">
        <x:v>8vos detalle reconstruido</x:v>
      </x:c>
      <x:c r="AC84" t="n">
        <x:v>3</x:v>
      </x:c>
      <x:c r="AD84" t="n">
        <x:f>$Z84-$AC84</x:f>
        <x:v>0</x:v>
      </x:c>
    </x:row>
    <x:row r="85" ht="15" hidden="0" customHeight="1">
      <x:c r="A85" t="str">
        <x:v>8vos</x:v>
      </x:c>
      <x:c r="B85" t="str">
        <x:v>O4</x:v>
      </x:c>
      <x:c r="C85" t="str">
        <x:v>Alex</x:v>
      </x:c>
      <x:c r="D85" t="str">
        <x:v>Mexico</x:v>
      </x:c>
      <x:c r="E85" t="str">
        <x:v>Inglaterra</x:v>
      </x:c>
      <x:c r="F85" t="n">
        <x:v>2</x:v>
      </x:c>
      <x:c r="G85" t="n">
        <x:v>3</x:v>
      </x:c>
      <x:c r="H85" t="str">
        <x:v>Inglaterra</x:v>
      </x:c>
      <x:c r="I85" t="str">
        <x:v>Suplementario</x:v>
      </x:c>
      <x:c r="J85" t="n">
        <x:v>2</x:v>
      </x:c>
      <x:c r="K85" t="n">
        <x:v>3</x:v>
      </x:c>
      <x:c r="L85" t="str">
        <x:v>Inglaterra</x:v>
      </x:c>
      <x:c r="M85" t="str">
        <x:v>90 minutos</x:v>
      </x:c>
      <x:c r="N85" t="str">
        <x:v>Finalizado</x:v>
      </x:c>
      <x:c r="O85" t="str">
        <x:f>IF($H85="Sin envio","Sin envio",IF($I85="90 minutos",IF($F85&gt;$G85,"A",IF($G85&gt;$F85,"B","E")),"E"))</x:f>
        <x:v>E</x:v>
      </x:c>
      <x:c r="P85" t="str">
        <x:f>IF($M85="90 minutos",IF($J85&gt;$K85,"A",IF($K85&gt;$J85,"B","E")),"E")</x:f>
        <x:v>B</x:v>
      </x:c>
      <x:c r="Q85" t="str">
        <x:f>IF($H85="Sin envio","No",IF($H85=$L85,"Si","No"))</x:f>
        <x:v>Si</x:v>
      </x:c>
      <x:c r="R85" t="str">
        <x:f>IF(AND($I85=$M85,NOT(AND($I85="Penales",$F85&lt;&gt;$G85))),"Si","No")</x:f>
        <x:v>No</x:v>
      </x:c>
      <x:c r="S85" t="n">
        <x:f>IF(OR($N85&lt;&gt;"Finalizado",$Q85&lt;&gt;"Si"),0,IF($O85=$P85,Reglas!$B$2,0))</x:f>
        <x:v>0</x:v>
      </x:c>
      <x:c r="T85" t="n">
        <x:f>IF(OR($N85&lt;&gt;"Finalizado",$Q85&lt;&gt;"Si"),0,Reglas!$B$3)</x:f>
        <x:v>3</x:v>
      </x:c>
      <x:c r="U85" t="n">
        <x:f>IF(OR($N85&lt;&gt;"Finalizado",$Q85&lt;&gt;"Si"),0,IF($I85=$M85,Reglas!$B$4,0))</x:f>
        <x:v>0</x:v>
      </x:c>
      <x:c r="V85" t="n">
        <x:f>IF(OR($N85&lt;&gt;"Finalizado",$Q85&lt;&gt;"Si",$R85&lt;&gt;"Si"),0,IF(AND($F85=$J85,$G85=$K85),Reglas!$B$5,0))</x:f>
        <x:v>0</x:v>
      </x:c>
      <x:c r="W85" t="n">
        <x:f>IF(OR($N85&lt;&gt;"Finalizado",$Q85&lt;&gt;"Si",$R85&lt;&gt;"Si"),0,IF($F85-$G85=$J85-$K85,Reglas!$B$6,0))</x:f>
        <x:v>0</x:v>
      </x:c>
      <x:c r="X85" t="n">
        <x:f>IF(OR($N85&lt;&gt;"Finalizado",$Q85&lt;&gt;"Si",$R85&lt;&gt;"Si"),0,IF($F85=$J85,Reglas!$B$7,0))</x:f>
        <x:v>0</x:v>
      </x:c>
      <x:c r="Y85" t="n">
        <x:f>IF(OR($N85&lt;&gt;"Finalizado",$Q85&lt;&gt;"Si",$R85&lt;&gt;"Si"),0,IF($G85=$K85,Reglas!$B$8,0))</x:f>
        <x:v>0</x:v>
      </x:c>
      <x:c r="Z85" t="n">
        <x:f>SUM($S85:$Y85)</x:f>
        <x:v>3</x:v>
      </x:c>
      <x:c r="AA85" t="str">
        <x:f>IF($N85&lt;&gt;"Finalizado","Resultado pendiente",IF($H85="Sin envio","Sin respuesta",IF($Q85&lt;&gt;"Si","No acerto clasificado","OK")))</x:f>
        <x:v>OK</x:v>
      </x:c>
      <x:c r="AB85" t="str">
        <x:v>8vos detalle reconstruido</x:v>
      </x:c>
      <x:c r="AC85" t="n">
        <x:v>3</x:v>
      </x:c>
      <x:c r="AD85" t="n">
        <x:f>$Z85-$AC85</x:f>
        <x:v>0</x:v>
      </x:c>
    </x:row>
    <x:row r="86" ht="15" hidden="0" customHeight="1">
      <x:c r="A86" t="str">
        <x:v>8vos</x:v>
      </x:c>
      <x:c r="B86" t="str">
        <x:v>O4</x:v>
      </x:c>
      <x:c r="C86" t="str">
        <x:v>Omar</x:v>
      </x:c>
      <x:c r="D86" t="str">
        <x:v>Mexico</x:v>
      </x:c>
      <x:c r="E86" t="str">
        <x:v>Inglaterra</x:v>
      </x:c>
      <x:c r="F86"/>
      <x:c r="G86"/>
      <x:c r="H86" t="str">
        <x:v>Sin envio</x:v>
      </x:c>
      <x:c r="I86" t="str">
        <x:v>Sin envio</x:v>
      </x:c>
      <x:c r="J86" t="n">
        <x:v>2</x:v>
      </x:c>
      <x:c r="K86" t="n">
        <x:v>3</x:v>
      </x:c>
      <x:c r="L86" t="str">
        <x:v>Inglaterra</x:v>
      </x:c>
      <x:c r="M86" t="str">
        <x:v>90 minutos</x:v>
      </x:c>
      <x:c r="N86" t="str">
        <x:v>Finalizado</x:v>
      </x:c>
      <x:c r="O86" t="str">
        <x:f>IF($H86="Sin envio","Sin envio",IF($I86="90 minutos",IF($F86&gt;$G86,"A",IF($G86&gt;$F86,"B","E")),"E"))</x:f>
        <x:v>Sin envio</x:v>
      </x:c>
      <x:c r="P86" t="str">
        <x:f>IF($M86="90 minutos",IF($J86&gt;$K86,"A",IF($K86&gt;$J86,"B","E")),"E")</x:f>
        <x:v>B</x:v>
      </x:c>
      <x:c r="Q86" t="str">
        <x:f>IF($H86="Sin envio","No",IF($H86=$L86,"Si","No"))</x:f>
        <x:v>No</x:v>
      </x:c>
      <x:c r="R86" t="str">
        <x:f>IF(AND($I86=$M86,NOT(AND($I86="Penales",$F86&lt;&gt;$G86))),"Si","No")</x:f>
        <x:v>No</x:v>
      </x:c>
      <x:c r="S86" t="n">
        <x:f>IF(OR($N86&lt;&gt;"Finalizado",$Q86&lt;&gt;"Si"),0,IF($O86=$P86,Reglas!$B$2,0))</x:f>
        <x:v>0</x:v>
      </x:c>
      <x:c r="T86" t="n">
        <x:f>IF(OR($N86&lt;&gt;"Finalizado",$Q86&lt;&gt;"Si"),0,Reglas!$B$3)</x:f>
        <x:v>0</x:v>
      </x:c>
      <x:c r="U86" t="n">
        <x:f>IF(OR($N86&lt;&gt;"Finalizado",$Q86&lt;&gt;"Si"),0,IF($I86=$M86,Reglas!$B$4,0))</x:f>
        <x:v>0</x:v>
      </x:c>
      <x:c r="V86" t="n">
        <x:f>IF(OR($N86&lt;&gt;"Finalizado",$Q86&lt;&gt;"Si",$R86&lt;&gt;"Si"),0,IF(AND($F86=$J86,$G86=$K86),Reglas!$B$5,0))</x:f>
        <x:v>0</x:v>
      </x:c>
      <x:c r="W86" t="n">
        <x:f>IF(OR($N86&lt;&gt;"Finalizado",$Q86&lt;&gt;"Si",$R86&lt;&gt;"Si"),0,IF($F86-$G86=$J86-$K86,Reglas!$B$6,0))</x:f>
        <x:v>0</x:v>
      </x:c>
      <x:c r="X86" t="n">
        <x:f>IF(OR($N86&lt;&gt;"Finalizado",$Q86&lt;&gt;"Si",$R86&lt;&gt;"Si"),0,IF($F86=$J86,Reglas!$B$7,0))</x:f>
        <x:v>0</x:v>
      </x:c>
      <x:c r="Y86" t="n">
        <x:f>IF(OR($N86&lt;&gt;"Finalizado",$Q86&lt;&gt;"Si",$R86&lt;&gt;"Si"),0,IF($G86=$K86,Reglas!$B$8,0))</x:f>
        <x:v>0</x:v>
      </x:c>
      <x:c r="Z86" t="n">
        <x:f>SUM($S86:$Y86)</x:f>
        <x:v>0</x:v>
      </x:c>
      <x:c r="AA86" t="str">
        <x:f>IF($N86&lt;&gt;"Finalizado","Resultado pendiente",IF($H86="Sin envio","Sin respuesta",IF($Q86&lt;&gt;"Si","No acerto clasificado","OK")))</x:f>
        <x:v>Sin respuesta</x:v>
      </x:c>
      <x:c r="AB86" t="str">
        <x:v>8vos detalle reconstruido</x:v>
      </x:c>
      <x:c r="AC86" t="n">
        <x:v>0</x:v>
      </x:c>
      <x:c r="AD86" t="n">
        <x:f>$Z86-$AC86</x:f>
        <x:v>0</x:v>
      </x:c>
    </x:row>
    <x:row r="87" ht="15" hidden="0" customHeight="1">
      <x:c r="A87" t="str">
        <x:v>8vos</x:v>
      </x:c>
      <x:c r="B87" t="str">
        <x:v>O4</x:v>
      </x:c>
      <x:c r="C87" t="str">
        <x:v>Fernando</x:v>
      </x:c>
      <x:c r="D87" t="str">
        <x:v>Mexico</x:v>
      </x:c>
      <x:c r="E87" t="str">
        <x:v>Inglaterra</x:v>
      </x:c>
      <x:c r="F87" t="n">
        <x:v>1</x:v>
      </x:c>
      <x:c r="G87" t="n">
        <x:v>2</x:v>
      </x:c>
      <x:c r="H87" t="str">
        <x:v>Inglaterra</x:v>
      </x:c>
      <x:c r="I87" t="str">
        <x:v>Suplementario</x:v>
      </x:c>
      <x:c r="J87" t="n">
        <x:v>2</x:v>
      </x:c>
      <x:c r="K87" t="n">
        <x:v>3</x:v>
      </x:c>
      <x:c r="L87" t="str">
        <x:v>Inglaterra</x:v>
      </x:c>
      <x:c r="M87" t="str">
        <x:v>90 minutos</x:v>
      </x:c>
      <x:c r="N87" t="str">
        <x:v>Finalizado</x:v>
      </x:c>
      <x:c r="O87" t="str">
        <x:f>IF($H87="Sin envio","Sin envio",IF($I87="90 minutos",IF($F87&gt;$G87,"A",IF($G87&gt;$F87,"B","E")),"E"))</x:f>
        <x:v>E</x:v>
      </x:c>
      <x:c r="P87" t="str">
        <x:f>IF($M87="90 minutos",IF($J87&gt;$K87,"A",IF($K87&gt;$J87,"B","E")),"E")</x:f>
        <x:v>B</x:v>
      </x:c>
      <x:c r="Q87" t="str">
        <x:f>IF($H87="Sin envio","No",IF($H87=$L87,"Si","No"))</x:f>
        <x:v>Si</x:v>
      </x:c>
      <x:c r="R87" t="str">
        <x:f>IF(AND($I87=$M87,NOT(AND($I87="Penales",$F87&lt;&gt;$G87))),"Si","No")</x:f>
        <x:v>No</x:v>
      </x:c>
      <x:c r="S87" t="n">
        <x:f>IF(OR($N87&lt;&gt;"Finalizado",$Q87&lt;&gt;"Si"),0,IF($O87=$P87,Reglas!$B$2,0))</x:f>
        <x:v>0</x:v>
      </x:c>
      <x:c r="T87" t="n">
        <x:f>IF(OR($N87&lt;&gt;"Finalizado",$Q87&lt;&gt;"Si"),0,Reglas!$B$3)</x:f>
        <x:v>3</x:v>
      </x:c>
      <x:c r="U87" t="n">
        <x:f>IF(OR($N87&lt;&gt;"Finalizado",$Q87&lt;&gt;"Si"),0,IF($I87=$M87,Reglas!$B$4,0))</x:f>
        <x:v>0</x:v>
      </x:c>
      <x:c r="V87" t="n">
        <x:f>IF(OR($N87&lt;&gt;"Finalizado",$Q87&lt;&gt;"Si",$R87&lt;&gt;"Si"),0,IF(AND($F87=$J87,$G87=$K87),Reglas!$B$5,0))</x:f>
        <x:v>0</x:v>
      </x:c>
      <x:c r="W87" t="n">
        <x:f>IF(OR($N87&lt;&gt;"Finalizado",$Q87&lt;&gt;"Si",$R87&lt;&gt;"Si"),0,IF($F87-$G87=$J87-$K87,Reglas!$B$6,0))</x:f>
        <x:v>0</x:v>
      </x:c>
      <x:c r="X87" t="n">
        <x:f>IF(OR($N87&lt;&gt;"Finalizado",$Q87&lt;&gt;"Si",$R87&lt;&gt;"Si"),0,IF($F87=$J87,Reglas!$B$7,0))</x:f>
        <x:v>0</x:v>
      </x:c>
      <x:c r="Y87" t="n">
        <x:f>IF(OR($N87&lt;&gt;"Finalizado",$Q87&lt;&gt;"Si",$R87&lt;&gt;"Si"),0,IF($G87=$K87,Reglas!$B$8,0))</x:f>
        <x:v>0</x:v>
      </x:c>
      <x:c r="Z87" t="n">
        <x:f>SUM($S87:$Y87)</x:f>
        <x:v>3</x:v>
      </x:c>
      <x:c r="AA87" t="str">
        <x:f>IF($N87&lt;&gt;"Finalizado","Resultado pendiente",IF($H87="Sin envio","Sin respuesta",IF($Q87&lt;&gt;"Si","No acerto clasificado","OK")))</x:f>
        <x:v>OK</x:v>
      </x:c>
      <x:c r="AB87" t="str">
        <x:v>8vos detalle reconstruido</x:v>
      </x:c>
      <x:c r="AC87" t="n">
        <x:v>3</x:v>
      </x:c>
      <x:c r="AD87" t="n">
        <x:f>$Z87-$AC87</x:f>
        <x:v>0</x:v>
      </x:c>
    </x:row>
    <x:row r="88" ht="15" hidden="0" customHeight="1">
      <x:c r="A88" t="str">
        <x:v>8vos</x:v>
      </x:c>
      <x:c r="B88" t="str">
        <x:v>O4</x:v>
      </x:c>
      <x:c r="C88" t="str">
        <x:v>Diana</x:v>
      </x:c>
      <x:c r="D88" t="str">
        <x:v>Mexico</x:v>
      </x:c>
      <x:c r="E88" t="str">
        <x:v>Inglaterra</x:v>
      </x:c>
      <x:c r="F88" t="n">
        <x:v>0</x:v>
      </x:c>
      <x:c r="G88" t="n">
        <x:v>0</x:v>
      </x:c>
      <x:c r="H88" t="str">
        <x:v>Mexico</x:v>
      </x:c>
      <x:c r="I88" t="str">
        <x:v>Penales</x:v>
      </x:c>
      <x:c r="J88" t="n">
        <x:v>2</x:v>
      </x:c>
      <x:c r="K88" t="n">
        <x:v>3</x:v>
      </x:c>
      <x:c r="L88" t="str">
        <x:v>Inglaterra</x:v>
      </x:c>
      <x:c r="M88" t="str">
        <x:v>90 minutos</x:v>
      </x:c>
      <x:c r="N88" t="str">
        <x:v>Finalizado</x:v>
      </x:c>
      <x:c r="O88" t="str">
        <x:f>IF($H88="Sin envio","Sin envio",IF($I88="90 minutos",IF($F88&gt;$G88,"A",IF($G88&gt;$F88,"B","E")),"E"))</x:f>
        <x:v>E</x:v>
      </x:c>
      <x:c r="P88" t="str">
        <x:f>IF($M88="90 minutos",IF($J88&gt;$K88,"A",IF($K88&gt;$J88,"B","E")),"E")</x:f>
        <x:v>B</x:v>
      </x:c>
      <x:c r="Q88" t="str">
        <x:f>IF($H88="Sin envio","No",IF($H88=$L88,"Si","No"))</x:f>
        <x:v>No</x:v>
      </x:c>
      <x:c r="R88" t="str">
        <x:f>IF(AND($I88=$M88,NOT(AND($I88="Penales",$F88&lt;&gt;$G88))),"Si","No")</x:f>
        <x:v>No</x:v>
      </x:c>
      <x:c r="S88" t="n">
        <x:f>IF(OR($N88&lt;&gt;"Finalizado",$Q88&lt;&gt;"Si"),0,IF($O88=$P88,Reglas!$B$2,0))</x:f>
        <x:v>0</x:v>
      </x:c>
      <x:c r="T88" t="n">
        <x:f>IF(OR($N88&lt;&gt;"Finalizado",$Q88&lt;&gt;"Si"),0,Reglas!$B$3)</x:f>
        <x:v>0</x:v>
      </x:c>
      <x:c r="U88" t="n">
        <x:f>IF(OR($N88&lt;&gt;"Finalizado",$Q88&lt;&gt;"Si"),0,IF($I88=$M88,Reglas!$B$4,0))</x:f>
        <x:v>0</x:v>
      </x:c>
      <x:c r="V88" t="n">
        <x:f>IF(OR($N88&lt;&gt;"Finalizado",$Q88&lt;&gt;"Si",$R88&lt;&gt;"Si"),0,IF(AND($F88=$J88,$G88=$K88),Reglas!$B$5,0))</x:f>
        <x:v>0</x:v>
      </x:c>
      <x:c r="W88" t="n">
        <x:f>IF(OR($N88&lt;&gt;"Finalizado",$Q88&lt;&gt;"Si",$R88&lt;&gt;"Si"),0,IF($F88-$G88=$J88-$K88,Reglas!$B$6,0))</x:f>
        <x:v>0</x:v>
      </x:c>
      <x:c r="X88" t="n">
        <x:f>IF(OR($N88&lt;&gt;"Finalizado",$Q88&lt;&gt;"Si",$R88&lt;&gt;"Si"),0,IF($F88=$J88,Reglas!$B$7,0))</x:f>
        <x:v>0</x:v>
      </x:c>
      <x:c r="Y88" t="n">
        <x:f>IF(OR($N88&lt;&gt;"Finalizado",$Q88&lt;&gt;"Si",$R88&lt;&gt;"Si"),0,IF($G88=$K88,Reglas!$B$8,0))</x:f>
        <x:v>0</x:v>
      </x:c>
      <x:c r="Z88" t="n">
        <x:f>SUM($S88:$Y88)</x:f>
        <x:v>0</x:v>
      </x:c>
      <x:c r="AA88" t="str">
        <x:f>IF($N88&lt;&gt;"Finalizado","Resultado pendiente",IF($H88="Sin envio","Sin respuesta",IF($Q88&lt;&gt;"Si","No acerto clasificado","OK")))</x:f>
        <x:v>No acerto clasificado</x:v>
      </x:c>
      <x:c r="AB88" t="str">
        <x:v>8vos detalle reconstruido</x:v>
      </x:c>
      <x:c r="AC88" t="n">
        <x:v>0</x:v>
      </x:c>
      <x:c r="AD88" t="n">
        <x:f>$Z88-$AC88</x:f>
        <x:v>0</x:v>
      </x:c>
    </x:row>
    <x:row r="89" ht="15" hidden="0" customHeight="1">
      <x:c r="A89" t="str">
        <x:v>8vos</x:v>
      </x:c>
      <x:c r="B89" t="str">
        <x:v>O4</x:v>
      </x:c>
      <x:c r="C89" t="str">
        <x:v>Óscar</x:v>
      </x:c>
      <x:c r="D89" t="str">
        <x:v>Mexico</x:v>
      </x:c>
      <x:c r="E89" t="str">
        <x:v>Inglaterra</x:v>
      </x:c>
      <x:c r="F89" t="n">
        <x:v>1</x:v>
      </x:c>
      <x:c r="G89" t="n">
        <x:v>2</x:v>
      </x:c>
      <x:c r="H89" t="str">
        <x:v>Inglaterra</x:v>
      </x:c>
      <x:c r="I89" t="str">
        <x:v>Suplementario</x:v>
      </x:c>
      <x:c r="J89" t="n">
        <x:v>2</x:v>
      </x:c>
      <x:c r="K89" t="n">
        <x:v>3</x:v>
      </x:c>
      <x:c r="L89" t="str">
        <x:v>Inglaterra</x:v>
      </x:c>
      <x:c r="M89" t="str">
        <x:v>90 minutos</x:v>
      </x:c>
      <x:c r="N89" t="str">
        <x:v>Finalizado</x:v>
      </x:c>
      <x:c r="O89" t="str">
        <x:f>IF($H89="Sin envio","Sin envio",IF($I89="90 minutos",IF($F89&gt;$G89,"A",IF($G89&gt;$F89,"B","E")),"E"))</x:f>
        <x:v>E</x:v>
      </x:c>
      <x:c r="P89" t="str">
        <x:f>IF($M89="90 minutos",IF($J89&gt;$K89,"A",IF($K89&gt;$J89,"B","E")),"E")</x:f>
        <x:v>B</x:v>
      </x:c>
      <x:c r="Q89" t="str">
        <x:f>IF($H89="Sin envio","No",IF($H89=$L89,"Si","No"))</x:f>
        <x:v>Si</x:v>
      </x:c>
      <x:c r="R89" t="str">
        <x:f>IF(AND($I89=$M89,NOT(AND($I89="Penales",$F89&lt;&gt;$G89))),"Si","No")</x:f>
        <x:v>No</x:v>
      </x:c>
      <x:c r="S89" t="n">
        <x:f>IF(OR($N89&lt;&gt;"Finalizado",$Q89&lt;&gt;"Si"),0,IF($O89=$P89,Reglas!$B$2,0))</x:f>
        <x:v>0</x:v>
      </x:c>
      <x:c r="T89" t="n">
        <x:f>IF(OR($N89&lt;&gt;"Finalizado",$Q89&lt;&gt;"Si"),0,Reglas!$B$3)</x:f>
        <x:v>3</x:v>
      </x:c>
      <x:c r="U89" t="n">
        <x:f>IF(OR($N89&lt;&gt;"Finalizado",$Q89&lt;&gt;"Si"),0,IF($I89=$M89,Reglas!$B$4,0))</x:f>
        <x:v>0</x:v>
      </x:c>
      <x:c r="V89" t="n">
        <x:f>IF(OR($N89&lt;&gt;"Finalizado",$Q89&lt;&gt;"Si",$R89&lt;&gt;"Si"),0,IF(AND($F89=$J89,$G89=$K89),Reglas!$B$5,0))</x:f>
        <x:v>0</x:v>
      </x:c>
      <x:c r="W89" t="n">
        <x:f>IF(OR($N89&lt;&gt;"Finalizado",$Q89&lt;&gt;"Si",$R89&lt;&gt;"Si"),0,IF($F89-$G89=$J89-$K89,Reglas!$B$6,0))</x:f>
        <x:v>0</x:v>
      </x:c>
      <x:c r="X89" t="n">
        <x:f>IF(OR($N89&lt;&gt;"Finalizado",$Q89&lt;&gt;"Si",$R89&lt;&gt;"Si"),0,IF($F89=$J89,Reglas!$B$7,0))</x:f>
        <x:v>0</x:v>
      </x:c>
      <x:c r="Y89" t="n">
        <x:f>IF(OR($N89&lt;&gt;"Finalizado",$Q89&lt;&gt;"Si",$R89&lt;&gt;"Si"),0,IF($G89=$K89,Reglas!$B$8,0))</x:f>
        <x:v>0</x:v>
      </x:c>
      <x:c r="Z89" t="n">
        <x:f>SUM($S89:$Y89)</x:f>
        <x:v>3</x:v>
      </x:c>
      <x:c r="AA89" t="str">
        <x:f>IF($N89&lt;&gt;"Finalizado","Resultado pendiente",IF($H89="Sin envio","Sin respuesta",IF($Q89&lt;&gt;"Si","No acerto clasificado","OK")))</x:f>
        <x:v>OK</x:v>
      </x:c>
      <x:c r="AB89" t="str">
        <x:v>8vos detalle reconstruido</x:v>
      </x:c>
      <x:c r="AC89" t="n">
        <x:v>3</x:v>
      </x:c>
      <x:c r="AD89" t="n">
        <x:f>$Z89-$AC89</x:f>
        <x:v>0</x:v>
      </x:c>
    </x:row>
    <x:row r="90" ht="15" hidden="0" customHeight="1">
      <x:c r="A90" t="str">
        <x:v>8vos</x:v>
      </x:c>
      <x:c r="B90" t="str">
        <x:v>O5</x:v>
      </x:c>
      <x:c r="C90" t="str">
        <x:v>Freddy</x:v>
      </x:c>
      <x:c r="D90" t="str">
        <x:v>Estados Unidos</x:v>
      </x:c>
      <x:c r="E90" t="str">
        <x:v>Belgica</x:v>
      </x:c>
      <x:c r="F90" t="n">
        <x:v>1</x:v>
      </x:c>
      <x:c r="G90" t="n">
        <x:v>2</x:v>
      </x:c>
      <x:c r="H90" t="str">
        <x:v>Belgica</x:v>
      </x:c>
      <x:c r="I90" t="str">
        <x:v>90 minutos</x:v>
      </x:c>
      <x:c r="J90" t="n">
        <x:v>1</x:v>
      </x:c>
      <x:c r="K90" t="n">
        <x:v>4</x:v>
      </x:c>
      <x:c r="L90" t="str">
        <x:v>Belgica</x:v>
      </x:c>
      <x:c r="M90" t="str">
        <x:v>90 minutos</x:v>
      </x:c>
      <x:c r="N90" t="str">
        <x:v>Finalizado</x:v>
      </x:c>
      <x:c r="O90" t="str">
        <x:f>IF($H90="Sin envio","Sin envio",IF($I90="90 minutos",IF($F90&gt;$G90,"A",IF($G90&gt;$F90,"B","E")),"E"))</x:f>
        <x:v>B</x:v>
      </x:c>
      <x:c r="P90" t="str">
        <x:f>IF($M90="90 minutos",IF($J90&gt;$K90,"A",IF($K90&gt;$J90,"B","E")),"E")</x:f>
        <x:v>B</x:v>
      </x:c>
      <x:c r="Q90" t="str">
        <x:f>IF($H90="Sin envio","No",IF($H90=$L90,"Si","No"))</x:f>
        <x:v>Si</x:v>
      </x:c>
      <x:c r="R90" t="str">
        <x:f>IF(AND($I90=$M90,NOT(AND($I90="Penales",$F90&lt;&gt;$G90))),"Si","No")</x:f>
        <x:v>Si</x:v>
      </x:c>
      <x:c r="S90" t="n">
        <x:f>IF(OR($N90&lt;&gt;"Finalizado",$Q90&lt;&gt;"Si"),0,IF($O90=$P90,Reglas!$B$2,0))</x:f>
        <x:v>5</x:v>
      </x:c>
      <x:c r="T90" t="n">
        <x:f>IF(OR($N90&lt;&gt;"Finalizado",$Q90&lt;&gt;"Si"),0,Reglas!$B$3)</x:f>
        <x:v>3</x:v>
      </x:c>
      <x:c r="U90" t="n">
        <x:f>IF(OR($N90&lt;&gt;"Finalizado",$Q90&lt;&gt;"Si"),0,IF($I90=$M90,Reglas!$B$4,0))</x:f>
        <x:v>2</x:v>
      </x:c>
      <x:c r="V90" t="n">
        <x:f>IF(OR($N90&lt;&gt;"Finalizado",$Q90&lt;&gt;"Si",$R90&lt;&gt;"Si"),0,IF(AND($F90=$J90,$G90=$K90),Reglas!$B$5,0))</x:f>
        <x:v>0</x:v>
      </x:c>
      <x:c r="W90" t="n">
        <x:f>IF(OR($N90&lt;&gt;"Finalizado",$Q90&lt;&gt;"Si",$R90&lt;&gt;"Si"),0,IF($F90-$G90=$J90-$K90,Reglas!$B$6,0))</x:f>
        <x:v>0</x:v>
      </x:c>
      <x:c r="X90" t="n">
        <x:f>IF(OR($N90&lt;&gt;"Finalizado",$Q90&lt;&gt;"Si",$R90&lt;&gt;"Si"),0,IF($F90=$J90,Reglas!$B$7,0))</x:f>
        <x:v>1</x:v>
      </x:c>
      <x:c r="Y90" t="n">
        <x:f>IF(OR($N90&lt;&gt;"Finalizado",$Q90&lt;&gt;"Si",$R90&lt;&gt;"Si"),0,IF($G90=$K90,Reglas!$B$8,0))</x:f>
        <x:v>0</x:v>
      </x:c>
      <x:c r="Z90" t="n">
        <x:f>SUM($S90:$Y90)</x:f>
        <x:v>11</x:v>
      </x:c>
      <x:c r="AA90" t="str">
        <x:f>IF($N90&lt;&gt;"Finalizado","Resultado pendiente",IF($H90="Sin envio","Sin respuesta",IF($Q90&lt;&gt;"Si","No acerto clasificado","OK")))</x:f>
        <x:v>OK</x:v>
      </x:c>
      <x:c r="AB90" t="str">
        <x:v>8vos detalle reconstruido</x:v>
      </x:c>
      <x:c r="AC90" t="n">
        <x:v>11</x:v>
      </x:c>
      <x:c r="AD90" t="n">
        <x:f>$Z90-$AC90</x:f>
        <x:v>0</x:v>
      </x:c>
    </x:row>
    <x:row r="91" ht="15" hidden="0" customHeight="1">
      <x:c r="A91" t="str">
        <x:v>8vos</x:v>
      </x:c>
      <x:c r="B91" t="str">
        <x:v>O5</x:v>
      </x:c>
      <x:c r="C91" t="str">
        <x:v>Gabriela</x:v>
      </x:c>
      <x:c r="D91" t="str">
        <x:v>Estados Unidos</x:v>
      </x:c>
      <x:c r="E91" t="str">
        <x:v>Belgica</x:v>
      </x:c>
      <x:c r="F91" t="n">
        <x:v>2</x:v>
      </x:c>
      <x:c r="G91" t="n">
        <x:v>3</x:v>
      </x:c>
      <x:c r="H91" t="str">
        <x:v>Belgica</x:v>
      </x:c>
      <x:c r="I91" t="str">
        <x:v>90 minutos</x:v>
      </x:c>
      <x:c r="J91" t="n">
        <x:v>1</x:v>
      </x:c>
      <x:c r="K91" t="n">
        <x:v>4</x:v>
      </x:c>
      <x:c r="L91" t="str">
        <x:v>Belgica</x:v>
      </x:c>
      <x:c r="M91" t="str">
        <x:v>90 minutos</x:v>
      </x:c>
      <x:c r="N91" t="str">
        <x:v>Finalizado</x:v>
      </x:c>
      <x:c r="O91" t="str">
        <x:f>IF($H91="Sin envio","Sin envio",IF($I91="90 minutos",IF($F91&gt;$G91,"A",IF($G91&gt;$F91,"B","E")),"E"))</x:f>
        <x:v>B</x:v>
      </x:c>
      <x:c r="P91" t="str">
        <x:f>IF($M91="90 minutos",IF($J91&gt;$K91,"A",IF($K91&gt;$J91,"B","E")),"E")</x:f>
        <x:v>B</x:v>
      </x:c>
      <x:c r="Q91" t="str">
        <x:f>IF($H91="Sin envio","No",IF($H91=$L91,"Si","No"))</x:f>
        <x:v>Si</x:v>
      </x:c>
      <x:c r="R91" t="str">
        <x:f>IF(AND($I91=$M91,NOT(AND($I91="Penales",$F91&lt;&gt;$G91))),"Si","No")</x:f>
        <x:v>Si</x:v>
      </x:c>
      <x:c r="S91" t="n">
        <x:f>IF(OR($N91&lt;&gt;"Finalizado",$Q91&lt;&gt;"Si"),0,IF($O91=$P91,Reglas!$B$2,0))</x:f>
        <x:v>5</x:v>
      </x:c>
      <x:c r="T91" t="n">
        <x:f>IF(OR($N91&lt;&gt;"Finalizado",$Q91&lt;&gt;"Si"),0,Reglas!$B$3)</x:f>
        <x:v>3</x:v>
      </x:c>
      <x:c r="U91" t="n">
        <x:f>IF(OR($N91&lt;&gt;"Finalizado",$Q91&lt;&gt;"Si"),0,IF($I91=$M91,Reglas!$B$4,0))</x:f>
        <x:v>2</x:v>
      </x:c>
      <x:c r="V91" t="n">
        <x:f>IF(OR($N91&lt;&gt;"Finalizado",$Q91&lt;&gt;"Si",$R91&lt;&gt;"Si"),0,IF(AND($F91=$J91,$G91=$K91),Reglas!$B$5,0))</x:f>
        <x:v>0</x:v>
      </x:c>
      <x:c r="W91" t="n">
        <x:f>IF(OR($N91&lt;&gt;"Finalizado",$Q91&lt;&gt;"Si",$R91&lt;&gt;"Si"),0,IF($F91-$G91=$J91-$K91,Reglas!$B$6,0))</x:f>
        <x:v>0</x:v>
      </x:c>
      <x:c r="X91" t="n">
        <x:f>IF(OR($N91&lt;&gt;"Finalizado",$Q91&lt;&gt;"Si",$R91&lt;&gt;"Si"),0,IF($F91=$J91,Reglas!$B$7,0))</x:f>
        <x:v>0</x:v>
      </x:c>
      <x:c r="Y91" t="n">
        <x:f>IF(OR($N91&lt;&gt;"Finalizado",$Q91&lt;&gt;"Si",$R91&lt;&gt;"Si"),0,IF($G91=$K91,Reglas!$B$8,0))</x:f>
        <x:v>0</x:v>
      </x:c>
      <x:c r="Z91" t="n">
        <x:f>SUM($S91:$Y91)</x:f>
        <x:v>10</x:v>
      </x:c>
      <x:c r="AA91" t="str">
        <x:f>IF($N91&lt;&gt;"Finalizado","Resultado pendiente",IF($H91="Sin envio","Sin respuesta",IF($Q91&lt;&gt;"Si","No acerto clasificado","OK")))</x:f>
        <x:v>OK</x:v>
      </x:c>
      <x:c r="AB91" t="str">
        <x:v>8vos detalle reconstruido</x:v>
      </x:c>
      <x:c r="AC91" t="n">
        <x:v>10</x:v>
      </x:c>
      <x:c r="AD91" t="n">
        <x:f>$Z91-$AC91</x:f>
        <x:v>0</x:v>
      </x:c>
    </x:row>
    <x:row r="92" ht="15" hidden="0" customHeight="1">
      <x:c r="A92" t="str">
        <x:v>8vos</x:v>
      </x:c>
      <x:c r="B92" t="str">
        <x:v>O5</x:v>
      </x:c>
      <x:c r="C92" t="str">
        <x:v>Jean</x:v>
      </x:c>
      <x:c r="D92" t="str">
        <x:v>Estados Unidos</x:v>
      </x:c>
      <x:c r="E92" t="str">
        <x:v>Belgica</x:v>
      </x:c>
      <x:c r="F92" t="n">
        <x:v>0</x:v>
      </x:c>
      <x:c r="G92" t="n">
        <x:v>1</x:v>
      </x:c>
      <x:c r="H92" t="str">
        <x:v>Belgica</x:v>
      </x:c>
      <x:c r="I92" t="str">
        <x:v>90 minutos</x:v>
      </x:c>
      <x:c r="J92" t="n">
        <x:v>1</x:v>
      </x:c>
      <x:c r="K92" t="n">
        <x:v>4</x:v>
      </x:c>
      <x:c r="L92" t="str">
        <x:v>Belgica</x:v>
      </x:c>
      <x:c r="M92" t="str">
        <x:v>90 minutos</x:v>
      </x:c>
      <x:c r="N92" t="str">
        <x:v>Finalizado</x:v>
      </x:c>
      <x:c r="O92" t="str">
        <x:f>IF($H92="Sin envio","Sin envio",IF($I92="90 minutos",IF($F92&gt;$G92,"A",IF($G92&gt;$F92,"B","E")),"E"))</x:f>
        <x:v>B</x:v>
      </x:c>
      <x:c r="P92" t="str">
        <x:f>IF($M92="90 minutos",IF($J92&gt;$K92,"A",IF($K92&gt;$J92,"B","E")),"E")</x:f>
        <x:v>B</x:v>
      </x:c>
      <x:c r="Q92" t="str">
        <x:f>IF($H92="Sin envio","No",IF($H92=$L92,"Si","No"))</x:f>
        <x:v>Si</x:v>
      </x:c>
      <x:c r="R92" t="str">
        <x:f>IF(AND($I92=$M92,NOT(AND($I92="Penales",$F92&lt;&gt;$G92))),"Si","No")</x:f>
        <x:v>Si</x:v>
      </x:c>
      <x:c r="S92" t="n">
        <x:f>IF(OR($N92&lt;&gt;"Finalizado",$Q92&lt;&gt;"Si"),0,IF($O92=$P92,Reglas!$B$2,0))</x:f>
        <x:v>5</x:v>
      </x:c>
      <x:c r="T92" t="n">
        <x:f>IF(OR($N92&lt;&gt;"Finalizado",$Q92&lt;&gt;"Si"),0,Reglas!$B$3)</x:f>
        <x:v>3</x:v>
      </x:c>
      <x:c r="U92" t="n">
        <x:f>IF(OR($N92&lt;&gt;"Finalizado",$Q92&lt;&gt;"Si"),0,IF($I92=$M92,Reglas!$B$4,0))</x:f>
        <x:v>2</x:v>
      </x:c>
      <x:c r="V92" t="n">
        <x:f>IF(OR($N92&lt;&gt;"Finalizado",$Q92&lt;&gt;"Si",$R92&lt;&gt;"Si"),0,IF(AND($F92=$J92,$G92=$K92),Reglas!$B$5,0))</x:f>
        <x:v>0</x:v>
      </x:c>
      <x:c r="W92" t="n">
        <x:f>IF(OR($N92&lt;&gt;"Finalizado",$Q92&lt;&gt;"Si",$R92&lt;&gt;"Si"),0,IF($F92-$G92=$J92-$K92,Reglas!$B$6,0))</x:f>
        <x:v>0</x:v>
      </x:c>
      <x:c r="X92" t="n">
        <x:f>IF(OR($N92&lt;&gt;"Finalizado",$Q92&lt;&gt;"Si",$R92&lt;&gt;"Si"),0,IF($F92=$J92,Reglas!$B$7,0))</x:f>
        <x:v>0</x:v>
      </x:c>
      <x:c r="Y92" t="n">
        <x:f>IF(OR($N92&lt;&gt;"Finalizado",$Q92&lt;&gt;"Si",$R92&lt;&gt;"Si"),0,IF($G92=$K92,Reglas!$B$8,0))</x:f>
        <x:v>0</x:v>
      </x:c>
      <x:c r="Z92" t="n">
        <x:f>SUM($S92:$Y92)</x:f>
        <x:v>10</x:v>
      </x:c>
      <x:c r="AA92" t="str">
        <x:f>IF($N92&lt;&gt;"Finalizado","Resultado pendiente",IF($H92="Sin envio","Sin respuesta",IF($Q92&lt;&gt;"Si","No acerto clasificado","OK")))</x:f>
        <x:v>OK</x:v>
      </x:c>
      <x:c r="AB92" t="str">
        <x:v>8vos detalle reconstruido</x:v>
      </x:c>
      <x:c r="AC92" t="n">
        <x:v>10</x:v>
      </x:c>
      <x:c r="AD92" t="n">
        <x:f>$Z92-$AC92</x:f>
        <x:v>0</x:v>
      </x:c>
    </x:row>
    <x:row r="93" ht="15" hidden="0" customHeight="1">
      <x:c r="A93" t="str">
        <x:v>8vos</x:v>
      </x:c>
      <x:c r="B93" t="str">
        <x:v>O5</x:v>
      </x:c>
      <x:c r="C93" t="str">
        <x:v>Juan</x:v>
      </x:c>
      <x:c r="D93" t="str">
        <x:v>Estados Unidos</x:v>
      </x:c>
      <x:c r="E93" t="str">
        <x:v>Belgica</x:v>
      </x:c>
      <x:c r="F93" t="n">
        <x:v>1</x:v>
      </x:c>
      <x:c r="G93" t="n">
        <x:v>1</x:v>
      </x:c>
      <x:c r="H93" t="str">
        <x:v>EEUU</x:v>
      </x:c>
      <x:c r="I93" t="str">
        <x:v>Penales</x:v>
      </x:c>
      <x:c r="J93" t="n">
        <x:v>1</x:v>
      </x:c>
      <x:c r="K93" t="n">
        <x:v>4</x:v>
      </x:c>
      <x:c r="L93" t="str">
        <x:v>Belgica</x:v>
      </x:c>
      <x:c r="M93" t="str">
        <x:v>90 minutos</x:v>
      </x:c>
      <x:c r="N93" t="str">
        <x:v>Finalizado</x:v>
      </x:c>
      <x:c r="O93" t="str">
        <x:f>IF($H93="Sin envio","Sin envio",IF($I93="90 minutos",IF($F93&gt;$G93,"A",IF($G93&gt;$F93,"B","E")),"E"))</x:f>
        <x:v>E</x:v>
      </x:c>
      <x:c r="P93" t="str">
        <x:f>IF($M93="90 minutos",IF($J93&gt;$K93,"A",IF($K93&gt;$J93,"B","E")),"E")</x:f>
        <x:v>B</x:v>
      </x:c>
      <x:c r="Q93" t="str">
        <x:f>IF($H93="Sin envio","No",IF($H93=$L93,"Si","No"))</x:f>
        <x:v>No</x:v>
      </x:c>
      <x:c r="R93" t="str">
        <x:f>IF(AND($I93=$M93,NOT(AND($I93="Penales",$F93&lt;&gt;$G93))),"Si","No")</x:f>
        <x:v>No</x:v>
      </x:c>
      <x:c r="S93" t="n">
        <x:f>IF(OR($N93&lt;&gt;"Finalizado",$Q93&lt;&gt;"Si"),0,IF($O93=$P93,Reglas!$B$2,0))</x:f>
        <x:v>0</x:v>
      </x:c>
      <x:c r="T93" t="n">
        <x:f>IF(OR($N93&lt;&gt;"Finalizado",$Q93&lt;&gt;"Si"),0,Reglas!$B$3)</x:f>
        <x:v>0</x:v>
      </x:c>
      <x:c r="U93" t="n">
        <x:f>IF(OR($N93&lt;&gt;"Finalizado",$Q93&lt;&gt;"Si"),0,IF($I93=$M93,Reglas!$B$4,0))</x:f>
        <x:v>0</x:v>
      </x:c>
      <x:c r="V93" t="n">
        <x:f>IF(OR($N93&lt;&gt;"Finalizado",$Q93&lt;&gt;"Si",$R93&lt;&gt;"Si"),0,IF(AND($F93=$J93,$G93=$K93),Reglas!$B$5,0))</x:f>
        <x:v>0</x:v>
      </x:c>
      <x:c r="W93" t="n">
        <x:f>IF(OR($N93&lt;&gt;"Finalizado",$Q93&lt;&gt;"Si",$R93&lt;&gt;"Si"),0,IF($F93-$G93=$J93-$K93,Reglas!$B$6,0))</x:f>
        <x:v>0</x:v>
      </x:c>
      <x:c r="X93" t="n">
        <x:f>IF(OR($N93&lt;&gt;"Finalizado",$Q93&lt;&gt;"Si",$R93&lt;&gt;"Si"),0,IF($F93=$J93,Reglas!$B$7,0))</x:f>
        <x:v>0</x:v>
      </x:c>
      <x:c r="Y93" t="n">
        <x:f>IF(OR($N93&lt;&gt;"Finalizado",$Q93&lt;&gt;"Si",$R93&lt;&gt;"Si"),0,IF($G93=$K93,Reglas!$B$8,0))</x:f>
        <x:v>0</x:v>
      </x:c>
      <x:c r="Z93" t="n">
        <x:f>SUM($S93:$Y93)</x:f>
        <x:v>0</x:v>
      </x:c>
      <x:c r="AA93" t="str">
        <x:f>IF($N93&lt;&gt;"Finalizado","Resultado pendiente",IF($H93="Sin envio","Sin respuesta",IF($Q93&lt;&gt;"Si","No acerto clasificado","OK")))</x:f>
        <x:v>No acerto clasificado</x:v>
      </x:c>
      <x:c r="AB93" t="str">
        <x:v>8vos detalle reconstruido</x:v>
      </x:c>
      <x:c r="AC93" t="n">
        <x:v>0</x:v>
      </x:c>
      <x:c r="AD93" t="n">
        <x:f>$Z93-$AC93</x:f>
        <x:v>0</x:v>
      </x:c>
    </x:row>
    <x:row r="94" ht="15" hidden="0" customHeight="1">
      <x:c r="A94" t="str">
        <x:v>8vos</x:v>
      </x:c>
      <x:c r="B94" t="str">
        <x:v>O5</x:v>
      </x:c>
      <x:c r="C94" t="str">
        <x:v>Jesús</x:v>
      </x:c>
      <x:c r="D94" t="str">
        <x:v>Estados Unidos</x:v>
      </x:c>
      <x:c r="E94" t="str">
        <x:v>Belgica</x:v>
      </x:c>
      <x:c r="F94" t="n">
        <x:v>0</x:v>
      </x:c>
      <x:c r="G94" t="n">
        <x:v>2</x:v>
      </x:c>
      <x:c r="H94" t="str">
        <x:v>Belgica</x:v>
      </x:c>
      <x:c r="I94" t="str">
        <x:v>90 minutos</x:v>
      </x:c>
      <x:c r="J94" t="n">
        <x:v>1</x:v>
      </x:c>
      <x:c r="K94" t="n">
        <x:v>4</x:v>
      </x:c>
      <x:c r="L94" t="str">
        <x:v>Belgica</x:v>
      </x:c>
      <x:c r="M94" t="str">
        <x:v>90 minutos</x:v>
      </x:c>
      <x:c r="N94" t="str">
        <x:v>Finalizado</x:v>
      </x:c>
      <x:c r="O94" t="str">
        <x:f>IF($H94="Sin envio","Sin envio",IF($I94="90 minutos",IF($F94&gt;$G94,"A",IF($G94&gt;$F94,"B","E")),"E"))</x:f>
        <x:v>B</x:v>
      </x:c>
      <x:c r="P94" t="str">
        <x:f>IF($M94="90 minutos",IF($J94&gt;$K94,"A",IF($K94&gt;$J94,"B","E")),"E")</x:f>
        <x:v>B</x:v>
      </x:c>
      <x:c r="Q94" t="str">
        <x:f>IF($H94="Sin envio","No",IF($H94=$L94,"Si","No"))</x:f>
        <x:v>Si</x:v>
      </x:c>
      <x:c r="R94" t="str">
        <x:f>IF(AND($I94=$M94,NOT(AND($I94="Penales",$F94&lt;&gt;$G94))),"Si","No")</x:f>
        <x:v>Si</x:v>
      </x:c>
      <x:c r="S94" t="n">
        <x:f>IF(OR($N94&lt;&gt;"Finalizado",$Q94&lt;&gt;"Si"),0,IF($O94=$P94,Reglas!$B$2,0))</x:f>
        <x:v>5</x:v>
      </x:c>
      <x:c r="T94" t="n">
        <x:f>IF(OR($N94&lt;&gt;"Finalizado",$Q94&lt;&gt;"Si"),0,Reglas!$B$3)</x:f>
        <x:v>3</x:v>
      </x:c>
      <x:c r="U94" t="n">
        <x:f>IF(OR($N94&lt;&gt;"Finalizado",$Q94&lt;&gt;"Si"),0,IF($I94=$M94,Reglas!$B$4,0))</x:f>
        <x:v>2</x:v>
      </x:c>
      <x:c r="V94" t="n">
        <x:f>IF(OR($N94&lt;&gt;"Finalizado",$Q94&lt;&gt;"Si",$R94&lt;&gt;"Si"),0,IF(AND($F94=$J94,$G94=$K94),Reglas!$B$5,0))</x:f>
        <x:v>0</x:v>
      </x:c>
      <x:c r="W94" t="n">
        <x:f>IF(OR($N94&lt;&gt;"Finalizado",$Q94&lt;&gt;"Si",$R94&lt;&gt;"Si"),0,IF($F94-$G94=$J94-$K94,Reglas!$B$6,0))</x:f>
        <x:v>0</x:v>
      </x:c>
      <x:c r="X94" t="n">
        <x:f>IF(OR($N94&lt;&gt;"Finalizado",$Q94&lt;&gt;"Si",$R94&lt;&gt;"Si"),0,IF($F94=$J94,Reglas!$B$7,0))</x:f>
        <x:v>0</x:v>
      </x:c>
      <x:c r="Y94" t="n">
        <x:f>IF(OR($N94&lt;&gt;"Finalizado",$Q94&lt;&gt;"Si",$R94&lt;&gt;"Si"),0,IF($G94=$K94,Reglas!$B$8,0))</x:f>
        <x:v>0</x:v>
      </x:c>
      <x:c r="Z94" t="n">
        <x:f>SUM($S94:$Y94)</x:f>
        <x:v>10</x:v>
      </x:c>
      <x:c r="AA94" t="str">
        <x:f>IF($N94&lt;&gt;"Finalizado","Resultado pendiente",IF($H94="Sin envio","Sin respuesta",IF($Q94&lt;&gt;"Si","No acerto clasificado","OK")))</x:f>
        <x:v>OK</x:v>
      </x:c>
      <x:c r="AB94" t="str">
        <x:v>8vos detalle reconstruido</x:v>
      </x:c>
      <x:c r="AC94" t="n">
        <x:v>10</x:v>
      </x:c>
      <x:c r="AD94" t="n">
        <x:f>$Z94-$AC94</x:f>
        <x:v>0</x:v>
      </x:c>
    </x:row>
    <x:row r="95" ht="15" hidden="0" customHeight="1">
      <x:c r="A95" t="str">
        <x:v>8vos</x:v>
      </x:c>
      <x:c r="B95" t="str">
        <x:v>O5</x:v>
      </x:c>
      <x:c r="C95" t="str">
        <x:v>Diego</x:v>
      </x:c>
      <x:c r="D95" t="str">
        <x:v>Estados Unidos</x:v>
      </x:c>
      <x:c r="E95" t="str">
        <x:v>Belgica</x:v>
      </x:c>
      <x:c r="F95" t="n">
        <x:v>2</x:v>
      </x:c>
      <x:c r="G95" t="n">
        <x:v>2</x:v>
      </x:c>
      <x:c r="H95" t="str">
        <x:v>Belgica</x:v>
      </x:c>
      <x:c r="I95" t="str">
        <x:v>Penales</x:v>
      </x:c>
      <x:c r="J95" t="n">
        <x:v>1</x:v>
      </x:c>
      <x:c r="K95" t="n">
        <x:v>4</x:v>
      </x:c>
      <x:c r="L95" t="str">
        <x:v>Belgica</x:v>
      </x:c>
      <x:c r="M95" t="str">
        <x:v>90 minutos</x:v>
      </x:c>
      <x:c r="N95" t="str">
        <x:v>Finalizado</x:v>
      </x:c>
      <x:c r="O95" t="str">
        <x:f>IF($H95="Sin envio","Sin envio",IF($I95="90 minutos",IF($F95&gt;$G95,"A",IF($G95&gt;$F95,"B","E")),"E"))</x:f>
        <x:v>E</x:v>
      </x:c>
      <x:c r="P95" t="str">
        <x:f>IF($M95="90 minutos",IF($J95&gt;$K95,"A",IF($K95&gt;$J95,"B","E")),"E")</x:f>
        <x:v>B</x:v>
      </x:c>
      <x:c r="Q95" t="str">
        <x:f>IF($H95="Sin envio","No",IF($H95=$L95,"Si","No"))</x:f>
        <x:v>Si</x:v>
      </x:c>
      <x:c r="R95" t="str">
        <x:f>IF(AND($I95=$M95,NOT(AND($I95="Penales",$F95&lt;&gt;$G95))),"Si","No")</x:f>
        <x:v>No</x:v>
      </x:c>
      <x:c r="S95" t="n">
        <x:f>IF(OR($N95&lt;&gt;"Finalizado",$Q95&lt;&gt;"Si"),0,IF($O95=$P95,Reglas!$B$2,0))</x:f>
        <x:v>0</x:v>
      </x:c>
      <x:c r="T95" t="n">
        <x:f>IF(OR($N95&lt;&gt;"Finalizado",$Q95&lt;&gt;"Si"),0,Reglas!$B$3)</x:f>
        <x:v>3</x:v>
      </x:c>
      <x:c r="U95" t="n">
        <x:f>IF(OR($N95&lt;&gt;"Finalizado",$Q95&lt;&gt;"Si"),0,IF($I95=$M95,Reglas!$B$4,0))</x:f>
        <x:v>0</x:v>
      </x:c>
      <x:c r="V95" t="n">
        <x:f>IF(OR($N95&lt;&gt;"Finalizado",$Q95&lt;&gt;"Si",$R95&lt;&gt;"Si"),0,IF(AND($F95=$J95,$G95=$K95),Reglas!$B$5,0))</x:f>
        <x:v>0</x:v>
      </x:c>
      <x:c r="W95" t="n">
        <x:f>IF(OR($N95&lt;&gt;"Finalizado",$Q95&lt;&gt;"Si",$R95&lt;&gt;"Si"),0,IF($F95-$G95=$J95-$K95,Reglas!$B$6,0))</x:f>
        <x:v>0</x:v>
      </x:c>
      <x:c r="X95" t="n">
        <x:f>IF(OR($N95&lt;&gt;"Finalizado",$Q95&lt;&gt;"Si",$R95&lt;&gt;"Si"),0,IF($F95=$J95,Reglas!$B$7,0))</x:f>
        <x:v>0</x:v>
      </x:c>
      <x:c r="Y95" t="n">
        <x:f>IF(OR($N95&lt;&gt;"Finalizado",$Q95&lt;&gt;"Si",$R95&lt;&gt;"Si"),0,IF($G95=$K95,Reglas!$B$8,0))</x:f>
        <x:v>0</x:v>
      </x:c>
      <x:c r="Z95" t="n">
        <x:f>SUM($S95:$Y95)</x:f>
        <x:v>3</x:v>
      </x:c>
      <x:c r="AA95" t="str">
        <x:f>IF($N95&lt;&gt;"Finalizado","Resultado pendiente",IF($H95="Sin envio","Sin respuesta",IF($Q95&lt;&gt;"Si","No acerto clasificado","OK")))</x:f>
        <x:v>OK</x:v>
      </x:c>
      <x:c r="AB95" t="str">
        <x:v>8vos detalle reconstruido</x:v>
      </x:c>
      <x:c r="AC95" t="n">
        <x:v>3</x:v>
      </x:c>
      <x:c r="AD95" t="n">
        <x:f>$Z95-$AC95</x:f>
        <x:v>0</x:v>
      </x:c>
    </x:row>
    <x:row r="96" ht="15" hidden="0" customHeight="1">
      <x:c r="A96" t="str">
        <x:v>8vos</x:v>
      </x:c>
      <x:c r="B96" t="str">
        <x:v>O5</x:v>
      </x:c>
      <x:c r="C96" t="str">
        <x:v>Aldo</x:v>
      </x:c>
      <x:c r="D96" t="str">
        <x:v>Estados Unidos</x:v>
      </x:c>
      <x:c r="E96" t="str">
        <x:v>Belgica</x:v>
      </x:c>
      <x:c r="F96" t="n">
        <x:v>1</x:v>
      </x:c>
      <x:c r="G96" t="n">
        <x:v>2</x:v>
      </x:c>
      <x:c r="H96" t="str">
        <x:v>Belgica</x:v>
      </x:c>
      <x:c r="I96" t="str">
        <x:v>90 minutos</x:v>
      </x:c>
      <x:c r="J96" t="n">
        <x:v>1</x:v>
      </x:c>
      <x:c r="K96" t="n">
        <x:v>4</x:v>
      </x:c>
      <x:c r="L96" t="str">
        <x:v>Belgica</x:v>
      </x:c>
      <x:c r="M96" t="str">
        <x:v>90 minutos</x:v>
      </x:c>
      <x:c r="N96" t="str">
        <x:v>Finalizado</x:v>
      </x:c>
      <x:c r="O96" t="str">
        <x:f>IF($H96="Sin envio","Sin envio",IF($I96="90 minutos",IF($F96&gt;$G96,"A",IF($G96&gt;$F96,"B","E")),"E"))</x:f>
        <x:v>B</x:v>
      </x:c>
      <x:c r="P96" t="str">
        <x:f>IF($M96="90 minutos",IF($J96&gt;$K96,"A",IF($K96&gt;$J96,"B","E")),"E")</x:f>
        <x:v>B</x:v>
      </x:c>
      <x:c r="Q96" t="str">
        <x:f>IF($H96="Sin envio","No",IF($H96=$L96,"Si","No"))</x:f>
        <x:v>Si</x:v>
      </x:c>
      <x:c r="R96" t="str">
        <x:f>IF(AND($I96=$M96,NOT(AND($I96="Penales",$F96&lt;&gt;$G96))),"Si","No")</x:f>
        <x:v>Si</x:v>
      </x:c>
      <x:c r="S96" t="n">
        <x:f>IF(OR($N96&lt;&gt;"Finalizado",$Q96&lt;&gt;"Si"),0,IF($O96=$P96,Reglas!$B$2,0))</x:f>
        <x:v>5</x:v>
      </x:c>
      <x:c r="T96" t="n">
        <x:f>IF(OR($N96&lt;&gt;"Finalizado",$Q96&lt;&gt;"Si"),0,Reglas!$B$3)</x:f>
        <x:v>3</x:v>
      </x:c>
      <x:c r="U96" t="n">
        <x:f>IF(OR($N96&lt;&gt;"Finalizado",$Q96&lt;&gt;"Si"),0,IF($I96=$M96,Reglas!$B$4,0))</x:f>
        <x:v>2</x:v>
      </x:c>
      <x:c r="V96" t="n">
        <x:f>IF(OR($N96&lt;&gt;"Finalizado",$Q96&lt;&gt;"Si",$R96&lt;&gt;"Si"),0,IF(AND($F96=$J96,$G96=$K96),Reglas!$B$5,0))</x:f>
        <x:v>0</x:v>
      </x:c>
      <x:c r="W96" t="n">
        <x:f>IF(OR($N96&lt;&gt;"Finalizado",$Q96&lt;&gt;"Si",$R96&lt;&gt;"Si"),0,IF($F96-$G96=$J96-$K96,Reglas!$B$6,0))</x:f>
        <x:v>0</x:v>
      </x:c>
      <x:c r="X96" t="n">
        <x:f>IF(OR($N96&lt;&gt;"Finalizado",$Q96&lt;&gt;"Si",$R96&lt;&gt;"Si"),0,IF($F96=$J96,Reglas!$B$7,0))</x:f>
        <x:v>1</x:v>
      </x:c>
      <x:c r="Y96" t="n">
        <x:f>IF(OR($N96&lt;&gt;"Finalizado",$Q96&lt;&gt;"Si",$R96&lt;&gt;"Si"),0,IF($G96=$K96,Reglas!$B$8,0))</x:f>
        <x:v>0</x:v>
      </x:c>
      <x:c r="Z96" t="n">
        <x:f>SUM($S96:$Y96)</x:f>
        <x:v>11</x:v>
      </x:c>
      <x:c r="AA96" t="str">
        <x:f>IF($N96&lt;&gt;"Finalizado","Resultado pendiente",IF($H96="Sin envio","Sin respuesta",IF($Q96&lt;&gt;"Si","No acerto clasificado","OK")))</x:f>
        <x:v>OK</x:v>
      </x:c>
      <x:c r="AB96" t="str">
        <x:v>8vos detalle reconstruido</x:v>
      </x:c>
      <x:c r="AC96" t="n">
        <x:v>11</x:v>
      </x:c>
      <x:c r="AD96" t="n">
        <x:f>$Z96-$AC96</x:f>
        <x:v>0</x:v>
      </x:c>
    </x:row>
    <x:row r="97" ht="15" hidden="0" customHeight="1">
      <x:c r="A97" t="str">
        <x:v>8vos</x:v>
      </x:c>
      <x:c r="B97" t="str">
        <x:v>O5</x:v>
      </x:c>
      <x:c r="C97" t="str">
        <x:v>Javier</x:v>
      </x:c>
      <x:c r="D97" t="str">
        <x:v>Estados Unidos</x:v>
      </x:c>
      <x:c r="E97" t="str">
        <x:v>Belgica</x:v>
      </x:c>
      <x:c r="F97" t="n">
        <x:v>2</x:v>
      </x:c>
      <x:c r="G97" t="n">
        <x:v>1</x:v>
      </x:c>
      <x:c r="H97" t="str">
        <x:v>EEUU</x:v>
      </x:c>
      <x:c r="I97" t="str">
        <x:v>90 minutos</x:v>
      </x:c>
      <x:c r="J97" t="n">
        <x:v>1</x:v>
      </x:c>
      <x:c r="K97" t="n">
        <x:v>4</x:v>
      </x:c>
      <x:c r="L97" t="str">
        <x:v>Belgica</x:v>
      </x:c>
      <x:c r="M97" t="str">
        <x:v>90 minutos</x:v>
      </x:c>
      <x:c r="N97" t="str">
        <x:v>Finalizado</x:v>
      </x:c>
      <x:c r="O97" t="str">
        <x:f>IF($H97="Sin envio","Sin envio",IF($I97="90 minutos",IF($F97&gt;$G97,"A",IF($G97&gt;$F97,"B","E")),"E"))</x:f>
        <x:v>A</x:v>
      </x:c>
      <x:c r="P97" t="str">
        <x:f>IF($M97="90 minutos",IF($J97&gt;$K97,"A",IF($K97&gt;$J97,"B","E")),"E")</x:f>
        <x:v>B</x:v>
      </x:c>
      <x:c r="Q97" t="str">
        <x:f>IF($H97="Sin envio","No",IF($H97=$L97,"Si","No"))</x:f>
        <x:v>No</x:v>
      </x:c>
      <x:c r="R97" t="str">
        <x:f>IF(AND($I97=$M97,NOT(AND($I97="Penales",$F97&lt;&gt;$G97))),"Si","No")</x:f>
        <x:v>Si</x:v>
      </x:c>
      <x:c r="S97" t="n">
        <x:f>IF(OR($N97&lt;&gt;"Finalizado",$Q97&lt;&gt;"Si"),0,IF($O97=$P97,Reglas!$B$2,0))</x:f>
        <x:v>0</x:v>
      </x:c>
      <x:c r="T97" t="n">
        <x:f>IF(OR($N97&lt;&gt;"Finalizado",$Q97&lt;&gt;"Si"),0,Reglas!$B$3)</x:f>
        <x:v>0</x:v>
      </x:c>
      <x:c r="U97" t="n">
        <x:f>IF(OR($N97&lt;&gt;"Finalizado",$Q97&lt;&gt;"Si"),0,IF($I97=$M97,Reglas!$B$4,0))</x:f>
        <x:v>0</x:v>
      </x:c>
      <x:c r="V97" t="n">
        <x:f>IF(OR($N97&lt;&gt;"Finalizado",$Q97&lt;&gt;"Si",$R97&lt;&gt;"Si"),0,IF(AND($F97=$J97,$G97=$K97),Reglas!$B$5,0))</x:f>
        <x:v>0</x:v>
      </x:c>
      <x:c r="W97" t="n">
        <x:f>IF(OR($N97&lt;&gt;"Finalizado",$Q97&lt;&gt;"Si",$R97&lt;&gt;"Si"),0,IF($F97-$G97=$J97-$K97,Reglas!$B$6,0))</x:f>
        <x:v>0</x:v>
      </x:c>
      <x:c r="X97" t="n">
        <x:f>IF(OR($N97&lt;&gt;"Finalizado",$Q97&lt;&gt;"Si",$R97&lt;&gt;"Si"),0,IF($F97=$J97,Reglas!$B$7,0))</x:f>
        <x:v>0</x:v>
      </x:c>
      <x:c r="Y97" t="n">
        <x:f>IF(OR($N97&lt;&gt;"Finalizado",$Q97&lt;&gt;"Si",$R97&lt;&gt;"Si"),0,IF($G97=$K97,Reglas!$B$8,0))</x:f>
        <x:v>0</x:v>
      </x:c>
      <x:c r="Z97" t="n">
        <x:f>SUM($S97:$Y97)</x:f>
        <x:v>0</x:v>
      </x:c>
      <x:c r="AA97" t="str">
        <x:f>IF($N97&lt;&gt;"Finalizado","Resultado pendiente",IF($H97="Sin envio","Sin respuesta",IF($Q97&lt;&gt;"Si","No acerto clasificado","OK")))</x:f>
        <x:v>No acerto clasificado</x:v>
      </x:c>
      <x:c r="AB97" t="str">
        <x:v>8vos detalle reconstruido</x:v>
      </x:c>
      <x:c r="AC97" t="n">
        <x:v>0</x:v>
      </x:c>
      <x:c r="AD97" t="n">
        <x:f>$Z97-$AC97</x:f>
        <x:v>0</x:v>
      </x:c>
    </x:row>
    <x:row r="98" ht="15" hidden="0" customHeight="1">
      <x:c r="A98" t="str">
        <x:v>8vos</x:v>
      </x:c>
      <x:c r="B98" t="str">
        <x:v>O5</x:v>
      </x:c>
      <x:c r="C98" t="str">
        <x:v>Gino</x:v>
      </x:c>
      <x:c r="D98" t="str">
        <x:v>Estados Unidos</x:v>
      </x:c>
      <x:c r="E98" t="str">
        <x:v>Belgica</x:v>
      </x:c>
      <x:c r="F98" t="n">
        <x:v>2</x:v>
      </x:c>
      <x:c r="G98" t="n">
        <x:v>2</x:v>
      </x:c>
      <x:c r="H98" t="str">
        <x:v>Belgica</x:v>
      </x:c>
      <x:c r="I98" t="str">
        <x:v>Penales</x:v>
      </x:c>
      <x:c r="J98" t="n">
        <x:v>1</x:v>
      </x:c>
      <x:c r="K98" t="n">
        <x:v>4</x:v>
      </x:c>
      <x:c r="L98" t="str">
        <x:v>Belgica</x:v>
      </x:c>
      <x:c r="M98" t="str">
        <x:v>90 minutos</x:v>
      </x:c>
      <x:c r="N98" t="str">
        <x:v>Finalizado</x:v>
      </x:c>
      <x:c r="O98" t="str">
        <x:f>IF($H98="Sin envio","Sin envio",IF($I98="90 minutos",IF($F98&gt;$G98,"A",IF($G98&gt;$F98,"B","E")),"E"))</x:f>
        <x:v>E</x:v>
      </x:c>
      <x:c r="P98" t="str">
        <x:f>IF($M98="90 minutos",IF($J98&gt;$K98,"A",IF($K98&gt;$J98,"B","E")),"E")</x:f>
        <x:v>B</x:v>
      </x:c>
      <x:c r="Q98" t="str">
        <x:f>IF($H98="Sin envio","No",IF($H98=$L98,"Si","No"))</x:f>
        <x:v>Si</x:v>
      </x:c>
      <x:c r="R98" t="str">
        <x:f>IF(AND($I98=$M98,NOT(AND($I98="Penales",$F98&lt;&gt;$G98))),"Si","No")</x:f>
        <x:v>No</x:v>
      </x:c>
      <x:c r="S98" t="n">
        <x:f>IF(OR($N98&lt;&gt;"Finalizado",$Q98&lt;&gt;"Si"),0,IF($O98=$P98,Reglas!$B$2,0))</x:f>
        <x:v>0</x:v>
      </x:c>
      <x:c r="T98" t="n">
        <x:f>IF(OR($N98&lt;&gt;"Finalizado",$Q98&lt;&gt;"Si"),0,Reglas!$B$3)</x:f>
        <x:v>3</x:v>
      </x:c>
      <x:c r="U98" t="n">
        <x:f>IF(OR($N98&lt;&gt;"Finalizado",$Q98&lt;&gt;"Si"),0,IF($I98=$M98,Reglas!$B$4,0))</x:f>
        <x:v>0</x:v>
      </x:c>
      <x:c r="V98" t="n">
        <x:f>IF(OR($N98&lt;&gt;"Finalizado",$Q98&lt;&gt;"Si",$R98&lt;&gt;"Si"),0,IF(AND($F98=$J98,$G98=$K98),Reglas!$B$5,0))</x:f>
        <x:v>0</x:v>
      </x:c>
      <x:c r="W98" t="n">
        <x:f>IF(OR($N98&lt;&gt;"Finalizado",$Q98&lt;&gt;"Si",$R98&lt;&gt;"Si"),0,IF($F98-$G98=$J98-$K98,Reglas!$B$6,0))</x:f>
        <x:v>0</x:v>
      </x:c>
      <x:c r="X98" t="n">
        <x:f>IF(OR($N98&lt;&gt;"Finalizado",$Q98&lt;&gt;"Si",$R98&lt;&gt;"Si"),0,IF($F98=$J98,Reglas!$B$7,0))</x:f>
        <x:v>0</x:v>
      </x:c>
      <x:c r="Y98" t="n">
        <x:f>IF(OR($N98&lt;&gt;"Finalizado",$Q98&lt;&gt;"Si",$R98&lt;&gt;"Si"),0,IF($G98=$K98,Reglas!$B$8,0))</x:f>
        <x:v>0</x:v>
      </x:c>
      <x:c r="Z98" t="n">
        <x:f>SUM($S98:$Y98)</x:f>
        <x:v>3</x:v>
      </x:c>
      <x:c r="AA98" t="str">
        <x:f>IF($N98&lt;&gt;"Finalizado","Resultado pendiente",IF($H98="Sin envio","Sin respuesta",IF($Q98&lt;&gt;"Si","No acerto clasificado","OK")))</x:f>
        <x:v>OK</x:v>
      </x:c>
      <x:c r="AB98" t="str">
        <x:v>8vos detalle reconstruido</x:v>
      </x:c>
      <x:c r="AC98" t="n">
        <x:v>3</x:v>
      </x:c>
      <x:c r="AD98" t="n">
        <x:f>$Z98-$AC98</x:f>
        <x:v>0</x:v>
      </x:c>
    </x:row>
    <x:row r="99" ht="15" hidden="0" customHeight="1">
      <x:c r="A99" t="str">
        <x:v>8vos</x:v>
      </x:c>
      <x:c r="B99" t="str">
        <x:v>O5</x:v>
      </x:c>
      <x:c r="C99" t="str">
        <x:v>Manuel</x:v>
      </x:c>
      <x:c r="D99" t="str">
        <x:v>Estados Unidos</x:v>
      </x:c>
      <x:c r="E99" t="str">
        <x:v>Belgica</x:v>
      </x:c>
      <x:c r="F99" t="n">
        <x:v>2</x:v>
      </x:c>
      <x:c r="G99" t="n">
        <x:v>2</x:v>
      </x:c>
      <x:c r="H99" t="str">
        <x:v>EEUU</x:v>
      </x:c>
      <x:c r="I99" t="str">
        <x:v>Penales</x:v>
      </x:c>
      <x:c r="J99" t="n">
        <x:v>1</x:v>
      </x:c>
      <x:c r="K99" t="n">
        <x:v>4</x:v>
      </x:c>
      <x:c r="L99" t="str">
        <x:v>Belgica</x:v>
      </x:c>
      <x:c r="M99" t="str">
        <x:v>90 minutos</x:v>
      </x:c>
      <x:c r="N99" t="str">
        <x:v>Finalizado</x:v>
      </x:c>
      <x:c r="O99" t="str">
        <x:f>IF($H99="Sin envio","Sin envio",IF($I99="90 minutos",IF($F99&gt;$G99,"A",IF($G99&gt;$F99,"B","E")),"E"))</x:f>
        <x:v>E</x:v>
      </x:c>
      <x:c r="P99" t="str">
        <x:f>IF($M99="90 minutos",IF($J99&gt;$K99,"A",IF($K99&gt;$J99,"B","E")),"E")</x:f>
        <x:v>B</x:v>
      </x:c>
      <x:c r="Q99" t="str">
        <x:f>IF($H99="Sin envio","No",IF($H99=$L99,"Si","No"))</x:f>
        <x:v>No</x:v>
      </x:c>
      <x:c r="R99" t="str">
        <x:f>IF(AND($I99=$M99,NOT(AND($I99="Penales",$F99&lt;&gt;$G99))),"Si","No")</x:f>
        <x:v>No</x:v>
      </x:c>
      <x:c r="S99" t="n">
        <x:f>IF(OR($N99&lt;&gt;"Finalizado",$Q99&lt;&gt;"Si"),0,IF($O99=$P99,Reglas!$B$2,0))</x:f>
        <x:v>0</x:v>
      </x:c>
      <x:c r="T99" t="n">
        <x:f>IF(OR($N99&lt;&gt;"Finalizado",$Q99&lt;&gt;"Si"),0,Reglas!$B$3)</x:f>
        <x:v>0</x:v>
      </x:c>
      <x:c r="U99" t="n">
        <x:f>IF(OR($N99&lt;&gt;"Finalizado",$Q99&lt;&gt;"Si"),0,IF($I99=$M99,Reglas!$B$4,0))</x:f>
        <x:v>0</x:v>
      </x:c>
      <x:c r="V99" t="n">
        <x:f>IF(OR($N99&lt;&gt;"Finalizado",$Q99&lt;&gt;"Si",$R99&lt;&gt;"Si"),0,IF(AND($F99=$J99,$G99=$K99),Reglas!$B$5,0))</x:f>
        <x:v>0</x:v>
      </x:c>
      <x:c r="W99" t="n">
        <x:f>IF(OR($N99&lt;&gt;"Finalizado",$Q99&lt;&gt;"Si",$R99&lt;&gt;"Si"),0,IF($F99-$G99=$J99-$K99,Reglas!$B$6,0))</x:f>
        <x:v>0</x:v>
      </x:c>
      <x:c r="X99" t="n">
        <x:f>IF(OR($N99&lt;&gt;"Finalizado",$Q99&lt;&gt;"Si",$R99&lt;&gt;"Si"),0,IF($F99=$J99,Reglas!$B$7,0))</x:f>
        <x:v>0</x:v>
      </x:c>
      <x:c r="Y99" t="n">
        <x:f>IF(OR($N99&lt;&gt;"Finalizado",$Q99&lt;&gt;"Si",$R99&lt;&gt;"Si"),0,IF($G99=$K99,Reglas!$B$8,0))</x:f>
        <x:v>0</x:v>
      </x:c>
      <x:c r="Z99" t="n">
        <x:f>SUM($S99:$Y99)</x:f>
        <x:v>0</x:v>
      </x:c>
      <x:c r="AA99" t="str">
        <x:f>IF($N99&lt;&gt;"Finalizado","Resultado pendiente",IF($H99="Sin envio","Sin respuesta",IF($Q99&lt;&gt;"Si","No acerto clasificado","OK")))</x:f>
        <x:v>No acerto clasificado</x:v>
      </x:c>
      <x:c r="AB99" t="str">
        <x:v>8vos detalle reconstruido</x:v>
      </x:c>
      <x:c r="AC99" t="n">
        <x:v>0</x:v>
      </x:c>
      <x:c r="AD99" t="n">
        <x:f>$Z99-$AC99</x:f>
        <x:v>0</x:v>
      </x:c>
    </x:row>
    <x:row r="100" ht="15" hidden="0" customHeight="1">
      <x:c r="A100" t="str">
        <x:v>8vos</x:v>
      </x:c>
      <x:c r="B100" t="str">
        <x:v>O5</x:v>
      </x:c>
      <x:c r="C100" t="str">
        <x:v>Jorge</x:v>
      </x:c>
      <x:c r="D100" t="str">
        <x:v>Estados Unidos</x:v>
      </x:c>
      <x:c r="E100" t="str">
        <x:v>Belgica</x:v>
      </x:c>
      <x:c r="F100" t="n">
        <x:v>3</x:v>
      </x:c>
      <x:c r="G100" t="n">
        <x:v>1</x:v>
      </x:c>
      <x:c r="H100" t="str">
        <x:v>EEUU</x:v>
      </x:c>
      <x:c r="I100" t="str">
        <x:v>90 minutos</x:v>
      </x:c>
      <x:c r="J100" t="n">
        <x:v>1</x:v>
      </x:c>
      <x:c r="K100" t="n">
        <x:v>4</x:v>
      </x:c>
      <x:c r="L100" t="str">
        <x:v>Belgica</x:v>
      </x:c>
      <x:c r="M100" t="str">
        <x:v>90 minutos</x:v>
      </x:c>
      <x:c r="N100" t="str">
        <x:v>Finalizado</x:v>
      </x:c>
      <x:c r="O100" t="str">
        <x:f>IF($H100="Sin envio","Sin envio",IF($I100="90 minutos",IF($F100&gt;$G100,"A",IF($G100&gt;$F100,"B","E")),"E"))</x:f>
        <x:v>A</x:v>
      </x:c>
      <x:c r="P100" t="str">
        <x:f>IF($M100="90 minutos",IF($J100&gt;$K100,"A",IF($K100&gt;$J100,"B","E")),"E")</x:f>
        <x:v>B</x:v>
      </x:c>
      <x:c r="Q100" t="str">
        <x:f>IF($H100="Sin envio","No",IF($H100=$L100,"Si","No"))</x:f>
        <x:v>No</x:v>
      </x:c>
      <x:c r="R100" t="str">
        <x:f>IF(AND($I100=$M100,NOT(AND($I100="Penales",$F100&lt;&gt;$G100))),"Si","No")</x:f>
        <x:v>Si</x:v>
      </x:c>
      <x:c r="S100" t="n">
        <x:f>IF(OR($N100&lt;&gt;"Finalizado",$Q100&lt;&gt;"Si"),0,IF($O100=$P100,Reglas!$B$2,0))</x:f>
        <x:v>0</x:v>
      </x:c>
      <x:c r="T100" t="n">
        <x:f>IF(OR($N100&lt;&gt;"Finalizado",$Q100&lt;&gt;"Si"),0,Reglas!$B$3)</x:f>
        <x:v>0</x:v>
      </x:c>
      <x:c r="U100" t="n">
        <x:f>IF(OR($N100&lt;&gt;"Finalizado",$Q100&lt;&gt;"Si"),0,IF($I100=$M100,Reglas!$B$4,0))</x:f>
        <x:v>0</x:v>
      </x:c>
      <x:c r="V100" t="n">
        <x:f>IF(OR($N100&lt;&gt;"Finalizado",$Q100&lt;&gt;"Si",$R100&lt;&gt;"Si"),0,IF(AND($F100=$J100,$G100=$K100),Reglas!$B$5,0))</x:f>
        <x:v>0</x:v>
      </x:c>
      <x:c r="W100" t="n">
        <x:f>IF(OR($N100&lt;&gt;"Finalizado",$Q100&lt;&gt;"Si",$R100&lt;&gt;"Si"),0,IF($F100-$G100=$J100-$K100,Reglas!$B$6,0))</x:f>
        <x:v>0</x:v>
      </x:c>
      <x:c r="X100" t="n">
        <x:f>IF(OR($N100&lt;&gt;"Finalizado",$Q100&lt;&gt;"Si",$R100&lt;&gt;"Si"),0,IF($F100=$J100,Reglas!$B$7,0))</x:f>
        <x:v>0</x:v>
      </x:c>
      <x:c r="Y100" t="n">
        <x:f>IF(OR($N100&lt;&gt;"Finalizado",$Q100&lt;&gt;"Si",$R100&lt;&gt;"Si"),0,IF($G100=$K100,Reglas!$B$8,0))</x:f>
        <x:v>0</x:v>
      </x:c>
      <x:c r="Z100" t="n">
        <x:f>SUM($S100:$Y100)</x:f>
        <x:v>0</x:v>
      </x:c>
      <x:c r="AA100" t="str">
        <x:f>IF($N100&lt;&gt;"Finalizado","Resultado pendiente",IF($H100="Sin envio","Sin respuesta",IF($Q100&lt;&gt;"Si","No acerto clasificado","OK")))</x:f>
        <x:v>No acerto clasificado</x:v>
      </x:c>
      <x:c r="AB100" t="str">
        <x:v>8vos detalle reconstruido</x:v>
      </x:c>
      <x:c r="AC100" t="n">
        <x:v>0</x:v>
      </x:c>
      <x:c r="AD100" t="n">
        <x:f>$Z100-$AC100</x:f>
        <x:v>0</x:v>
      </x:c>
    </x:row>
    <x:row r="101" ht="15" hidden="0" customHeight="1">
      <x:c r="A101" t="str">
        <x:v>8vos</x:v>
      </x:c>
      <x:c r="B101" t="str">
        <x:v>O5</x:v>
      </x:c>
      <x:c r="C101" t="str">
        <x:v>Daniel</x:v>
      </x:c>
      <x:c r="D101" t="str">
        <x:v>Estados Unidos</x:v>
      </x:c>
      <x:c r="E101" t="str">
        <x:v>Belgica</x:v>
      </x:c>
      <x:c r="F101" t="n">
        <x:v>1</x:v>
      </x:c>
      <x:c r="G101" t="n">
        <x:v>0</x:v>
      </x:c>
      <x:c r="H101" t="str">
        <x:v>EEUU</x:v>
      </x:c>
      <x:c r="I101" t="str">
        <x:v>90 minutos</x:v>
      </x:c>
      <x:c r="J101" t="n">
        <x:v>1</x:v>
      </x:c>
      <x:c r="K101" t="n">
        <x:v>4</x:v>
      </x:c>
      <x:c r="L101" t="str">
        <x:v>Belgica</x:v>
      </x:c>
      <x:c r="M101" t="str">
        <x:v>90 minutos</x:v>
      </x:c>
      <x:c r="N101" t="str">
        <x:v>Finalizado</x:v>
      </x:c>
      <x:c r="O101" t="str">
        <x:f>IF($H101="Sin envio","Sin envio",IF($I101="90 minutos",IF($F101&gt;$G101,"A",IF($G101&gt;$F101,"B","E")),"E"))</x:f>
        <x:v>A</x:v>
      </x:c>
      <x:c r="P101" t="str">
        <x:f>IF($M101="90 minutos",IF($J101&gt;$K101,"A",IF($K101&gt;$J101,"B","E")),"E")</x:f>
        <x:v>B</x:v>
      </x:c>
      <x:c r="Q101" t="str">
        <x:f>IF($H101="Sin envio","No",IF($H101=$L101,"Si","No"))</x:f>
        <x:v>No</x:v>
      </x:c>
      <x:c r="R101" t="str">
        <x:f>IF(AND($I101=$M101,NOT(AND($I101="Penales",$F101&lt;&gt;$G101))),"Si","No")</x:f>
        <x:v>Si</x:v>
      </x:c>
      <x:c r="S101" t="n">
        <x:f>IF(OR($N101&lt;&gt;"Finalizado",$Q101&lt;&gt;"Si"),0,IF($O101=$P101,Reglas!$B$2,0))</x:f>
        <x:v>0</x:v>
      </x:c>
      <x:c r="T101" t="n">
        <x:f>IF(OR($N101&lt;&gt;"Finalizado",$Q101&lt;&gt;"Si"),0,Reglas!$B$3)</x:f>
        <x:v>0</x:v>
      </x:c>
      <x:c r="U101" t="n">
        <x:f>IF(OR($N101&lt;&gt;"Finalizado",$Q101&lt;&gt;"Si"),0,IF($I101=$M101,Reglas!$B$4,0))</x:f>
        <x:v>0</x:v>
      </x:c>
      <x:c r="V101" t="n">
        <x:f>IF(OR($N101&lt;&gt;"Finalizado",$Q101&lt;&gt;"Si",$R101&lt;&gt;"Si"),0,IF(AND($F101=$J101,$G101=$K101),Reglas!$B$5,0))</x:f>
        <x:v>0</x:v>
      </x:c>
      <x:c r="W101" t="n">
        <x:f>IF(OR($N101&lt;&gt;"Finalizado",$Q101&lt;&gt;"Si",$R101&lt;&gt;"Si"),0,IF($F101-$G101=$J101-$K101,Reglas!$B$6,0))</x:f>
        <x:v>0</x:v>
      </x:c>
      <x:c r="X101" t="n">
        <x:f>IF(OR($N101&lt;&gt;"Finalizado",$Q101&lt;&gt;"Si",$R101&lt;&gt;"Si"),0,IF($F101=$J101,Reglas!$B$7,0))</x:f>
        <x:v>0</x:v>
      </x:c>
      <x:c r="Y101" t="n">
        <x:f>IF(OR($N101&lt;&gt;"Finalizado",$Q101&lt;&gt;"Si",$R101&lt;&gt;"Si"),0,IF($G101=$K101,Reglas!$B$8,0))</x:f>
        <x:v>0</x:v>
      </x:c>
      <x:c r="Z101" t="n">
        <x:f>SUM($S101:$Y101)</x:f>
        <x:v>0</x:v>
      </x:c>
      <x:c r="AA101" t="str">
        <x:f>IF($N101&lt;&gt;"Finalizado","Resultado pendiente",IF($H101="Sin envio","Sin respuesta",IF($Q101&lt;&gt;"Si","No acerto clasificado","OK")))</x:f>
        <x:v>No acerto clasificado</x:v>
      </x:c>
      <x:c r="AB101" t="str">
        <x:v>8vos detalle reconstruido</x:v>
      </x:c>
      <x:c r="AC101" t="n">
        <x:v>0</x:v>
      </x:c>
      <x:c r="AD101" t="n">
        <x:f>$Z101-$AC101</x:f>
        <x:v>0</x:v>
      </x:c>
    </x:row>
    <x:row r="102" ht="15" hidden="0" customHeight="1">
      <x:c r="A102" t="str">
        <x:v>8vos</x:v>
      </x:c>
      <x:c r="B102" t="str">
        <x:v>O5</x:v>
      </x:c>
      <x:c r="C102" t="str">
        <x:v>Arthur</x:v>
      </x:c>
      <x:c r="D102" t="str">
        <x:v>Estados Unidos</x:v>
      </x:c>
      <x:c r="E102" t="str">
        <x:v>Belgica</x:v>
      </x:c>
      <x:c r="F102" t="n">
        <x:v>3</x:v>
      </x:c>
      <x:c r="G102" t="n">
        <x:v>4</x:v>
      </x:c>
      <x:c r="H102" t="str">
        <x:v>Belgica</x:v>
      </x:c>
      <x:c r="I102" t="str">
        <x:v>Penales</x:v>
      </x:c>
      <x:c r="J102" t="n">
        <x:v>1</x:v>
      </x:c>
      <x:c r="K102" t="n">
        <x:v>4</x:v>
      </x:c>
      <x:c r="L102" t="str">
        <x:v>Belgica</x:v>
      </x:c>
      <x:c r="M102" t="str">
        <x:v>90 minutos</x:v>
      </x:c>
      <x:c r="N102" t="str">
        <x:v>Finalizado</x:v>
      </x:c>
      <x:c r="O102" t="str">
        <x:f>IF($H102="Sin envio","Sin envio",IF($I102="90 minutos",IF($F102&gt;$G102,"A",IF($G102&gt;$F102,"B","E")),"E"))</x:f>
        <x:v>E</x:v>
      </x:c>
      <x:c r="P102" t="str">
        <x:f>IF($M102="90 minutos",IF($J102&gt;$K102,"A",IF($K102&gt;$J102,"B","E")),"E")</x:f>
        <x:v>B</x:v>
      </x:c>
      <x:c r="Q102" t="str">
        <x:f>IF($H102="Sin envio","No",IF($H102=$L102,"Si","No"))</x:f>
        <x:v>Si</x:v>
      </x:c>
      <x:c r="R102" t="str">
        <x:f>IF(AND($I102=$M102,NOT(AND($I102="Penales",$F102&lt;&gt;$G102))),"Si","No")</x:f>
        <x:v>No</x:v>
      </x:c>
      <x:c r="S102" t="n">
        <x:f>IF(OR($N102&lt;&gt;"Finalizado",$Q102&lt;&gt;"Si"),0,IF($O102=$P102,Reglas!$B$2,0))</x:f>
        <x:v>0</x:v>
      </x:c>
      <x:c r="T102" t="n">
        <x:f>IF(OR($N102&lt;&gt;"Finalizado",$Q102&lt;&gt;"Si"),0,Reglas!$B$3)</x:f>
        <x:v>3</x:v>
      </x:c>
      <x:c r="U102" t="n">
        <x:f>IF(OR($N102&lt;&gt;"Finalizado",$Q102&lt;&gt;"Si"),0,IF($I102=$M102,Reglas!$B$4,0))</x:f>
        <x:v>0</x:v>
      </x:c>
      <x:c r="V102" t="n">
        <x:f>IF(OR($N102&lt;&gt;"Finalizado",$Q102&lt;&gt;"Si",$R102&lt;&gt;"Si"),0,IF(AND($F102=$J102,$G102=$K102),Reglas!$B$5,0))</x:f>
        <x:v>0</x:v>
      </x:c>
      <x:c r="W102" t="n">
        <x:f>IF(OR($N102&lt;&gt;"Finalizado",$Q102&lt;&gt;"Si",$R102&lt;&gt;"Si"),0,IF($F102-$G102=$J102-$K102,Reglas!$B$6,0))</x:f>
        <x:v>0</x:v>
      </x:c>
      <x:c r="X102" t="n">
        <x:f>IF(OR($N102&lt;&gt;"Finalizado",$Q102&lt;&gt;"Si",$R102&lt;&gt;"Si"),0,IF($F102=$J102,Reglas!$B$7,0))</x:f>
        <x:v>0</x:v>
      </x:c>
      <x:c r="Y102" t="n">
        <x:f>IF(OR($N102&lt;&gt;"Finalizado",$Q102&lt;&gt;"Si",$R102&lt;&gt;"Si"),0,IF($G102=$K102,Reglas!$B$8,0))</x:f>
        <x:v>0</x:v>
      </x:c>
      <x:c r="Z102" t="n">
        <x:f>SUM($S102:$Y102)</x:f>
        <x:v>3</x:v>
      </x:c>
      <x:c r="AA102" t="str">
        <x:f>IF($N102&lt;&gt;"Finalizado","Resultado pendiente",IF($H102="Sin envio","Sin respuesta",IF($Q102&lt;&gt;"Si","No acerto clasificado","OK")))</x:f>
        <x:v>OK</x:v>
      </x:c>
      <x:c r="AB102" t="str">
        <x:v>8vos detalle reconstruido</x:v>
      </x:c>
      <x:c r="AC102" t="n">
        <x:v>3</x:v>
      </x:c>
      <x:c r="AD102" t="n">
        <x:f>$Z102-$AC102</x:f>
        <x:v>0</x:v>
      </x:c>
    </x:row>
    <x:row r="103" ht="15" hidden="0" customHeight="1">
      <x:c r="A103" t="str">
        <x:v>8vos</x:v>
      </x:c>
      <x:c r="B103" t="str">
        <x:v>O5</x:v>
      </x:c>
      <x:c r="C103" t="str">
        <x:v>José Luis</x:v>
      </x:c>
      <x:c r="D103" t="str">
        <x:v>Estados Unidos</x:v>
      </x:c>
      <x:c r="E103" t="str">
        <x:v>Belgica</x:v>
      </x:c>
      <x:c r="F103"/>
      <x:c r="G103"/>
      <x:c r="H103" t="str">
        <x:v>Sin envio</x:v>
      </x:c>
      <x:c r="I103" t="str">
        <x:v>Sin envio</x:v>
      </x:c>
      <x:c r="J103" t="n">
        <x:v>1</x:v>
      </x:c>
      <x:c r="K103" t="n">
        <x:v>4</x:v>
      </x:c>
      <x:c r="L103" t="str">
        <x:v>Belgica</x:v>
      </x:c>
      <x:c r="M103" t="str">
        <x:v>90 minutos</x:v>
      </x:c>
      <x:c r="N103" t="str">
        <x:v>Finalizado</x:v>
      </x:c>
      <x:c r="O103" t="str">
        <x:f>IF($H103="Sin envio","Sin envio",IF($I103="90 minutos",IF($F103&gt;$G103,"A",IF($G103&gt;$F103,"B","E")),"E"))</x:f>
        <x:v>Sin envio</x:v>
      </x:c>
      <x:c r="P103" t="str">
        <x:f>IF($M103="90 minutos",IF($J103&gt;$K103,"A",IF($K103&gt;$J103,"B","E")),"E")</x:f>
        <x:v>B</x:v>
      </x:c>
      <x:c r="Q103" t="str">
        <x:f>IF($H103="Sin envio","No",IF($H103=$L103,"Si","No"))</x:f>
        <x:v>No</x:v>
      </x:c>
      <x:c r="R103" t="str">
        <x:f>IF(AND($I103=$M103,NOT(AND($I103="Penales",$F103&lt;&gt;$G103))),"Si","No")</x:f>
        <x:v>No</x:v>
      </x:c>
      <x:c r="S103" t="n">
        <x:f>IF(OR($N103&lt;&gt;"Finalizado",$Q103&lt;&gt;"Si"),0,IF($O103=$P103,Reglas!$B$2,0))</x:f>
        <x:v>0</x:v>
      </x:c>
      <x:c r="T103" t="n">
        <x:f>IF(OR($N103&lt;&gt;"Finalizado",$Q103&lt;&gt;"Si"),0,Reglas!$B$3)</x:f>
        <x:v>0</x:v>
      </x:c>
      <x:c r="U103" t="n">
        <x:f>IF(OR($N103&lt;&gt;"Finalizado",$Q103&lt;&gt;"Si"),0,IF($I103=$M103,Reglas!$B$4,0))</x:f>
        <x:v>0</x:v>
      </x:c>
      <x:c r="V103" t="n">
        <x:f>IF(OR($N103&lt;&gt;"Finalizado",$Q103&lt;&gt;"Si",$R103&lt;&gt;"Si"),0,IF(AND($F103=$J103,$G103=$K103),Reglas!$B$5,0))</x:f>
        <x:v>0</x:v>
      </x:c>
      <x:c r="W103" t="n">
        <x:f>IF(OR($N103&lt;&gt;"Finalizado",$Q103&lt;&gt;"Si",$R103&lt;&gt;"Si"),0,IF($F103-$G103=$J103-$K103,Reglas!$B$6,0))</x:f>
        <x:v>0</x:v>
      </x:c>
      <x:c r="X103" t="n">
        <x:f>IF(OR($N103&lt;&gt;"Finalizado",$Q103&lt;&gt;"Si",$R103&lt;&gt;"Si"),0,IF($F103=$J103,Reglas!$B$7,0))</x:f>
        <x:v>0</x:v>
      </x:c>
      <x:c r="Y103" t="n">
        <x:f>IF(OR($N103&lt;&gt;"Finalizado",$Q103&lt;&gt;"Si",$R103&lt;&gt;"Si"),0,IF($G103=$K103,Reglas!$B$8,0))</x:f>
        <x:v>0</x:v>
      </x:c>
      <x:c r="Z103" t="n">
        <x:f>SUM($S103:$Y103)</x:f>
        <x:v>0</x:v>
      </x:c>
      <x:c r="AA103" t="str">
        <x:f>IF($N103&lt;&gt;"Finalizado","Resultado pendiente",IF($H103="Sin envio","Sin respuesta",IF($Q103&lt;&gt;"Si","No acerto clasificado","OK")))</x:f>
        <x:v>Sin respuesta</x:v>
      </x:c>
      <x:c r="AB103" t="str">
        <x:v>8vos detalle reconstruido</x:v>
      </x:c>
      <x:c r="AC103" t="n">
        <x:v>0</x:v>
      </x:c>
      <x:c r="AD103" t="n">
        <x:f>$Z103-$AC103</x:f>
        <x:v>0</x:v>
      </x:c>
    </x:row>
    <x:row r="104" ht="15" hidden="0" customHeight="1">
      <x:c r="A104" t="str">
        <x:v>8vos</x:v>
      </x:c>
      <x:c r="B104" t="str">
        <x:v>O5</x:v>
      </x:c>
      <x:c r="C104" t="str">
        <x:v>Marcelo</x:v>
      </x:c>
      <x:c r="D104" t="str">
        <x:v>Estados Unidos</x:v>
      </x:c>
      <x:c r="E104" t="str">
        <x:v>Belgica</x:v>
      </x:c>
      <x:c r="F104"/>
      <x:c r="G104"/>
      <x:c r="H104" t="str">
        <x:v>Sin envio</x:v>
      </x:c>
      <x:c r="I104" t="str">
        <x:v>Sin envio</x:v>
      </x:c>
      <x:c r="J104" t="n">
        <x:v>1</x:v>
      </x:c>
      <x:c r="K104" t="n">
        <x:v>4</x:v>
      </x:c>
      <x:c r="L104" t="str">
        <x:v>Belgica</x:v>
      </x:c>
      <x:c r="M104" t="str">
        <x:v>90 minutos</x:v>
      </x:c>
      <x:c r="N104" t="str">
        <x:v>Finalizado</x:v>
      </x:c>
      <x:c r="O104" t="str">
        <x:f>IF($H104="Sin envio","Sin envio",IF($I104="90 minutos",IF($F104&gt;$G104,"A",IF($G104&gt;$F104,"B","E")),"E"))</x:f>
        <x:v>Sin envio</x:v>
      </x:c>
      <x:c r="P104" t="str">
        <x:f>IF($M104="90 minutos",IF($J104&gt;$K104,"A",IF($K104&gt;$J104,"B","E")),"E")</x:f>
        <x:v>B</x:v>
      </x:c>
      <x:c r="Q104" t="str">
        <x:f>IF($H104="Sin envio","No",IF($H104=$L104,"Si","No"))</x:f>
        <x:v>No</x:v>
      </x:c>
      <x:c r="R104" t="str">
        <x:f>IF(AND($I104=$M104,NOT(AND($I104="Penales",$F104&lt;&gt;$G104))),"Si","No")</x:f>
        <x:v>No</x:v>
      </x:c>
      <x:c r="S104" t="n">
        <x:f>IF(OR($N104&lt;&gt;"Finalizado",$Q104&lt;&gt;"Si"),0,IF($O104=$P104,Reglas!$B$2,0))</x:f>
        <x:v>0</x:v>
      </x:c>
      <x:c r="T104" t="n">
        <x:f>IF(OR($N104&lt;&gt;"Finalizado",$Q104&lt;&gt;"Si"),0,Reglas!$B$3)</x:f>
        <x:v>0</x:v>
      </x:c>
      <x:c r="U104" t="n">
        <x:f>IF(OR($N104&lt;&gt;"Finalizado",$Q104&lt;&gt;"Si"),0,IF($I104=$M104,Reglas!$B$4,0))</x:f>
        <x:v>0</x:v>
      </x:c>
      <x:c r="V104" t="n">
        <x:f>IF(OR($N104&lt;&gt;"Finalizado",$Q104&lt;&gt;"Si",$R104&lt;&gt;"Si"),0,IF(AND($F104=$J104,$G104=$K104),Reglas!$B$5,0))</x:f>
        <x:v>0</x:v>
      </x:c>
      <x:c r="W104" t="n">
        <x:f>IF(OR($N104&lt;&gt;"Finalizado",$Q104&lt;&gt;"Si",$R104&lt;&gt;"Si"),0,IF($F104-$G104=$J104-$K104,Reglas!$B$6,0))</x:f>
        <x:v>0</x:v>
      </x:c>
      <x:c r="X104" t="n">
        <x:f>IF(OR($N104&lt;&gt;"Finalizado",$Q104&lt;&gt;"Si",$R104&lt;&gt;"Si"),0,IF($F104=$J104,Reglas!$B$7,0))</x:f>
        <x:v>0</x:v>
      </x:c>
      <x:c r="Y104" t="n">
        <x:f>IF(OR($N104&lt;&gt;"Finalizado",$Q104&lt;&gt;"Si",$R104&lt;&gt;"Si"),0,IF($G104=$K104,Reglas!$B$8,0))</x:f>
        <x:v>0</x:v>
      </x:c>
      <x:c r="Z104" t="n">
        <x:f>SUM($S104:$Y104)</x:f>
        <x:v>0</x:v>
      </x:c>
      <x:c r="AA104" t="str">
        <x:f>IF($N104&lt;&gt;"Finalizado","Resultado pendiente",IF($H104="Sin envio","Sin respuesta",IF($Q104&lt;&gt;"Si","No acerto clasificado","OK")))</x:f>
        <x:v>Sin respuesta</x:v>
      </x:c>
      <x:c r="AB104" t="str">
        <x:v>8vos detalle reconstruido</x:v>
      </x:c>
      <x:c r="AC104" t="n">
        <x:v>0</x:v>
      </x:c>
      <x:c r="AD104" t="n">
        <x:f>$Z104-$AC104</x:f>
        <x:v>0</x:v>
      </x:c>
    </x:row>
    <x:row r="105" ht="15" hidden="0" customHeight="1">
      <x:c r="A105" t="str">
        <x:v>8vos</x:v>
      </x:c>
      <x:c r="B105" t="str">
        <x:v>O5</x:v>
      </x:c>
      <x:c r="C105" t="str">
        <x:v>Anny</x:v>
      </x:c>
      <x:c r="D105" t="str">
        <x:v>Estados Unidos</x:v>
      </x:c>
      <x:c r="E105" t="str">
        <x:v>Belgica</x:v>
      </x:c>
      <x:c r="F105" t="n">
        <x:v>1</x:v>
      </x:c>
      <x:c r="G105" t="n">
        <x:v>1</x:v>
      </x:c>
      <x:c r="H105" t="str">
        <x:v>EEUU</x:v>
      </x:c>
      <x:c r="I105" t="str">
        <x:v>Penales</x:v>
      </x:c>
      <x:c r="J105" t="n">
        <x:v>1</x:v>
      </x:c>
      <x:c r="K105" t="n">
        <x:v>4</x:v>
      </x:c>
      <x:c r="L105" t="str">
        <x:v>Belgica</x:v>
      </x:c>
      <x:c r="M105" t="str">
        <x:v>90 minutos</x:v>
      </x:c>
      <x:c r="N105" t="str">
        <x:v>Finalizado</x:v>
      </x:c>
      <x:c r="O105" t="str">
        <x:f>IF($H105="Sin envio","Sin envio",IF($I105="90 minutos",IF($F105&gt;$G105,"A",IF($G105&gt;$F105,"B","E")),"E"))</x:f>
        <x:v>E</x:v>
      </x:c>
      <x:c r="P105" t="str">
        <x:f>IF($M105="90 minutos",IF($J105&gt;$K105,"A",IF($K105&gt;$J105,"B","E")),"E")</x:f>
        <x:v>B</x:v>
      </x:c>
      <x:c r="Q105" t="str">
        <x:f>IF($H105="Sin envio","No",IF($H105=$L105,"Si","No"))</x:f>
        <x:v>No</x:v>
      </x:c>
      <x:c r="R105" t="str">
        <x:f>IF(AND($I105=$M105,NOT(AND($I105="Penales",$F105&lt;&gt;$G105))),"Si","No")</x:f>
        <x:v>No</x:v>
      </x:c>
      <x:c r="S105" t="n">
        <x:f>IF(OR($N105&lt;&gt;"Finalizado",$Q105&lt;&gt;"Si"),0,IF($O105=$P105,Reglas!$B$2,0))</x:f>
        <x:v>0</x:v>
      </x:c>
      <x:c r="T105" t="n">
        <x:f>IF(OR($N105&lt;&gt;"Finalizado",$Q105&lt;&gt;"Si"),0,Reglas!$B$3)</x:f>
        <x:v>0</x:v>
      </x:c>
      <x:c r="U105" t="n">
        <x:f>IF(OR($N105&lt;&gt;"Finalizado",$Q105&lt;&gt;"Si"),0,IF($I105=$M105,Reglas!$B$4,0))</x:f>
        <x:v>0</x:v>
      </x:c>
      <x:c r="V105" t="n">
        <x:f>IF(OR($N105&lt;&gt;"Finalizado",$Q105&lt;&gt;"Si",$R105&lt;&gt;"Si"),0,IF(AND($F105=$J105,$G105=$K105),Reglas!$B$5,0))</x:f>
        <x:v>0</x:v>
      </x:c>
      <x:c r="W105" t="n">
        <x:f>IF(OR($N105&lt;&gt;"Finalizado",$Q105&lt;&gt;"Si",$R105&lt;&gt;"Si"),0,IF($F105-$G105=$J105-$K105,Reglas!$B$6,0))</x:f>
        <x:v>0</x:v>
      </x:c>
      <x:c r="X105" t="n">
        <x:f>IF(OR($N105&lt;&gt;"Finalizado",$Q105&lt;&gt;"Si",$R105&lt;&gt;"Si"),0,IF($F105=$J105,Reglas!$B$7,0))</x:f>
        <x:v>0</x:v>
      </x:c>
      <x:c r="Y105" t="n">
        <x:f>IF(OR($N105&lt;&gt;"Finalizado",$Q105&lt;&gt;"Si",$R105&lt;&gt;"Si"),0,IF($G105=$K105,Reglas!$B$8,0))</x:f>
        <x:v>0</x:v>
      </x:c>
      <x:c r="Z105" t="n">
        <x:f>SUM($S105:$Y105)</x:f>
        <x:v>0</x:v>
      </x:c>
      <x:c r="AA105" t="str">
        <x:f>IF($N105&lt;&gt;"Finalizado","Resultado pendiente",IF($H105="Sin envio","Sin respuesta",IF($Q105&lt;&gt;"Si","No acerto clasificado","OK")))</x:f>
        <x:v>No acerto clasificado</x:v>
      </x:c>
      <x:c r="AB105" t="str">
        <x:v>8vos detalle reconstruido</x:v>
      </x:c>
      <x:c r="AC105" t="n">
        <x:v>0</x:v>
      </x:c>
      <x:c r="AD105" t="n">
        <x:f>$Z105-$AC105</x:f>
        <x:v>0</x:v>
      </x:c>
    </x:row>
    <x:row r="106" ht="15" hidden="0" customHeight="1">
      <x:c r="A106" t="str">
        <x:v>8vos</x:v>
      </x:c>
      <x:c r="B106" t="str">
        <x:v>O5</x:v>
      </x:c>
      <x:c r="C106" t="str">
        <x:v>Moisés</x:v>
      </x:c>
      <x:c r="D106" t="str">
        <x:v>Estados Unidos</x:v>
      </x:c>
      <x:c r="E106" t="str">
        <x:v>Belgica</x:v>
      </x:c>
      <x:c r="F106" t="n">
        <x:v>2</x:v>
      </x:c>
      <x:c r="G106" t="n">
        <x:v>3</x:v>
      </x:c>
      <x:c r="H106" t="str">
        <x:v>Belgica</x:v>
      </x:c>
      <x:c r="I106" t="str">
        <x:v>Suplementario</x:v>
      </x:c>
      <x:c r="J106" t="n">
        <x:v>1</x:v>
      </x:c>
      <x:c r="K106" t="n">
        <x:v>4</x:v>
      </x:c>
      <x:c r="L106" t="str">
        <x:v>Belgica</x:v>
      </x:c>
      <x:c r="M106" t="str">
        <x:v>90 minutos</x:v>
      </x:c>
      <x:c r="N106" t="str">
        <x:v>Finalizado</x:v>
      </x:c>
      <x:c r="O106" t="str">
        <x:f>IF($H106="Sin envio","Sin envio",IF($I106="90 minutos",IF($F106&gt;$G106,"A",IF($G106&gt;$F106,"B","E")),"E"))</x:f>
        <x:v>E</x:v>
      </x:c>
      <x:c r="P106" t="str">
        <x:f>IF($M106="90 minutos",IF($J106&gt;$K106,"A",IF($K106&gt;$J106,"B","E")),"E")</x:f>
        <x:v>B</x:v>
      </x:c>
      <x:c r="Q106" t="str">
        <x:f>IF($H106="Sin envio","No",IF($H106=$L106,"Si","No"))</x:f>
        <x:v>Si</x:v>
      </x:c>
      <x:c r="R106" t="str">
        <x:f>IF(AND($I106=$M106,NOT(AND($I106="Penales",$F106&lt;&gt;$G106))),"Si","No")</x:f>
        <x:v>No</x:v>
      </x:c>
      <x:c r="S106" t="n">
        <x:f>IF(OR($N106&lt;&gt;"Finalizado",$Q106&lt;&gt;"Si"),0,IF($O106=$P106,Reglas!$B$2,0))</x:f>
        <x:v>0</x:v>
      </x:c>
      <x:c r="T106" t="n">
        <x:f>IF(OR($N106&lt;&gt;"Finalizado",$Q106&lt;&gt;"Si"),0,Reglas!$B$3)</x:f>
        <x:v>3</x:v>
      </x:c>
      <x:c r="U106" t="n">
        <x:f>IF(OR($N106&lt;&gt;"Finalizado",$Q106&lt;&gt;"Si"),0,IF($I106=$M106,Reglas!$B$4,0))</x:f>
        <x:v>0</x:v>
      </x:c>
      <x:c r="V106" t="n">
        <x:f>IF(OR($N106&lt;&gt;"Finalizado",$Q106&lt;&gt;"Si",$R106&lt;&gt;"Si"),0,IF(AND($F106=$J106,$G106=$K106),Reglas!$B$5,0))</x:f>
        <x:v>0</x:v>
      </x:c>
      <x:c r="W106" t="n">
        <x:f>IF(OR($N106&lt;&gt;"Finalizado",$Q106&lt;&gt;"Si",$R106&lt;&gt;"Si"),0,IF($F106-$G106=$J106-$K106,Reglas!$B$6,0))</x:f>
        <x:v>0</x:v>
      </x:c>
      <x:c r="X106" t="n">
        <x:f>IF(OR($N106&lt;&gt;"Finalizado",$Q106&lt;&gt;"Si",$R106&lt;&gt;"Si"),0,IF($F106=$J106,Reglas!$B$7,0))</x:f>
        <x:v>0</x:v>
      </x:c>
      <x:c r="Y106" t="n">
        <x:f>IF(OR($N106&lt;&gt;"Finalizado",$Q106&lt;&gt;"Si",$R106&lt;&gt;"Si"),0,IF($G106=$K106,Reglas!$B$8,0))</x:f>
        <x:v>0</x:v>
      </x:c>
      <x:c r="Z106" t="n">
        <x:f>SUM($S106:$Y106)</x:f>
        <x:v>3</x:v>
      </x:c>
      <x:c r="AA106" t="str">
        <x:f>IF($N106&lt;&gt;"Finalizado","Resultado pendiente",IF($H106="Sin envio","Sin respuesta",IF($Q106&lt;&gt;"Si","No acerto clasificado","OK")))</x:f>
        <x:v>OK</x:v>
      </x:c>
      <x:c r="AB106" t="str">
        <x:v>8vos detalle reconstruido</x:v>
      </x:c>
      <x:c r="AC106" t="n">
        <x:v>3</x:v>
      </x:c>
      <x:c r="AD106" t="n">
        <x:f>$Z106-$AC106</x:f>
        <x:v>0</x:v>
      </x:c>
    </x:row>
    <x:row r="107" ht="15" hidden="0" customHeight="1">
      <x:c r="A107" t="str">
        <x:v>8vos</x:v>
      </x:c>
      <x:c r="B107" t="str">
        <x:v>O5</x:v>
      </x:c>
      <x:c r="C107" t="str">
        <x:v>Alex</x:v>
      </x:c>
      <x:c r="D107" t="str">
        <x:v>Estados Unidos</x:v>
      </x:c>
      <x:c r="E107" t="str">
        <x:v>Belgica</x:v>
      </x:c>
      <x:c r="F107" t="n">
        <x:v>2</x:v>
      </x:c>
      <x:c r="G107" t="n">
        <x:v>3</x:v>
      </x:c>
      <x:c r="H107" t="str">
        <x:v>Belgica</x:v>
      </x:c>
      <x:c r="I107" t="str">
        <x:v>90 minutos</x:v>
      </x:c>
      <x:c r="J107" t="n">
        <x:v>1</x:v>
      </x:c>
      <x:c r="K107" t="n">
        <x:v>4</x:v>
      </x:c>
      <x:c r="L107" t="str">
        <x:v>Belgica</x:v>
      </x:c>
      <x:c r="M107" t="str">
        <x:v>90 minutos</x:v>
      </x:c>
      <x:c r="N107" t="str">
        <x:v>Finalizado</x:v>
      </x:c>
      <x:c r="O107" t="str">
        <x:f>IF($H107="Sin envio","Sin envio",IF($I107="90 minutos",IF($F107&gt;$G107,"A",IF($G107&gt;$F107,"B","E")),"E"))</x:f>
        <x:v>B</x:v>
      </x:c>
      <x:c r="P107" t="str">
        <x:f>IF($M107="90 minutos",IF($J107&gt;$K107,"A",IF($K107&gt;$J107,"B","E")),"E")</x:f>
        <x:v>B</x:v>
      </x:c>
      <x:c r="Q107" t="str">
        <x:f>IF($H107="Sin envio","No",IF($H107=$L107,"Si","No"))</x:f>
        <x:v>Si</x:v>
      </x:c>
      <x:c r="R107" t="str">
        <x:f>IF(AND($I107=$M107,NOT(AND($I107="Penales",$F107&lt;&gt;$G107))),"Si","No")</x:f>
        <x:v>Si</x:v>
      </x:c>
      <x:c r="S107" t="n">
        <x:f>IF(OR($N107&lt;&gt;"Finalizado",$Q107&lt;&gt;"Si"),0,IF($O107=$P107,Reglas!$B$2,0))</x:f>
        <x:v>5</x:v>
      </x:c>
      <x:c r="T107" t="n">
        <x:f>IF(OR($N107&lt;&gt;"Finalizado",$Q107&lt;&gt;"Si"),0,Reglas!$B$3)</x:f>
        <x:v>3</x:v>
      </x:c>
      <x:c r="U107" t="n">
        <x:f>IF(OR($N107&lt;&gt;"Finalizado",$Q107&lt;&gt;"Si"),0,IF($I107=$M107,Reglas!$B$4,0))</x:f>
        <x:v>2</x:v>
      </x:c>
      <x:c r="V107" t="n">
        <x:f>IF(OR($N107&lt;&gt;"Finalizado",$Q107&lt;&gt;"Si",$R107&lt;&gt;"Si"),0,IF(AND($F107=$J107,$G107=$K107),Reglas!$B$5,0))</x:f>
        <x:v>0</x:v>
      </x:c>
      <x:c r="W107" t="n">
        <x:f>IF(OR($N107&lt;&gt;"Finalizado",$Q107&lt;&gt;"Si",$R107&lt;&gt;"Si"),0,IF($F107-$G107=$J107-$K107,Reglas!$B$6,0))</x:f>
        <x:v>0</x:v>
      </x:c>
      <x:c r="X107" t="n">
        <x:f>IF(OR($N107&lt;&gt;"Finalizado",$Q107&lt;&gt;"Si",$R107&lt;&gt;"Si"),0,IF($F107=$J107,Reglas!$B$7,0))</x:f>
        <x:v>0</x:v>
      </x:c>
      <x:c r="Y107" t="n">
        <x:f>IF(OR($N107&lt;&gt;"Finalizado",$Q107&lt;&gt;"Si",$R107&lt;&gt;"Si"),0,IF($G107=$K107,Reglas!$B$8,0))</x:f>
        <x:v>0</x:v>
      </x:c>
      <x:c r="Z107" t="n">
        <x:f>SUM($S107:$Y107)</x:f>
        <x:v>10</x:v>
      </x:c>
      <x:c r="AA107" t="str">
        <x:f>IF($N107&lt;&gt;"Finalizado","Resultado pendiente",IF($H107="Sin envio","Sin respuesta",IF($Q107&lt;&gt;"Si","No acerto clasificado","OK")))</x:f>
        <x:v>OK</x:v>
      </x:c>
      <x:c r="AB107" t="str">
        <x:v>8vos detalle reconstruido</x:v>
      </x:c>
      <x:c r="AC107" t="n">
        <x:v>10</x:v>
      </x:c>
      <x:c r="AD107" t="n">
        <x:f>$Z107-$AC107</x:f>
        <x:v>0</x:v>
      </x:c>
    </x:row>
    <x:row r="108" ht="15" hidden="0" customHeight="1">
      <x:c r="A108" t="str">
        <x:v>8vos</x:v>
      </x:c>
      <x:c r="B108" t="str">
        <x:v>O5</x:v>
      </x:c>
      <x:c r="C108" t="str">
        <x:v>Omar</x:v>
      </x:c>
      <x:c r="D108" t="str">
        <x:v>Estados Unidos</x:v>
      </x:c>
      <x:c r="E108" t="str">
        <x:v>Belgica</x:v>
      </x:c>
      <x:c r="F108"/>
      <x:c r="G108"/>
      <x:c r="H108" t="str">
        <x:v>Sin envio</x:v>
      </x:c>
      <x:c r="I108" t="str">
        <x:v>Sin envio</x:v>
      </x:c>
      <x:c r="J108" t="n">
        <x:v>1</x:v>
      </x:c>
      <x:c r="K108" t="n">
        <x:v>4</x:v>
      </x:c>
      <x:c r="L108" t="str">
        <x:v>Belgica</x:v>
      </x:c>
      <x:c r="M108" t="str">
        <x:v>90 minutos</x:v>
      </x:c>
      <x:c r="N108" t="str">
        <x:v>Finalizado</x:v>
      </x:c>
      <x:c r="O108" t="str">
        <x:f>IF($H108="Sin envio","Sin envio",IF($I108="90 minutos",IF($F108&gt;$G108,"A",IF($G108&gt;$F108,"B","E")),"E"))</x:f>
        <x:v>Sin envio</x:v>
      </x:c>
      <x:c r="P108" t="str">
        <x:f>IF($M108="90 minutos",IF($J108&gt;$K108,"A",IF($K108&gt;$J108,"B","E")),"E")</x:f>
        <x:v>B</x:v>
      </x:c>
      <x:c r="Q108" t="str">
        <x:f>IF($H108="Sin envio","No",IF($H108=$L108,"Si","No"))</x:f>
        <x:v>No</x:v>
      </x:c>
      <x:c r="R108" t="str">
        <x:f>IF(AND($I108=$M108,NOT(AND($I108="Penales",$F108&lt;&gt;$G108))),"Si","No")</x:f>
        <x:v>No</x:v>
      </x:c>
      <x:c r="S108" t="n">
        <x:f>IF(OR($N108&lt;&gt;"Finalizado",$Q108&lt;&gt;"Si"),0,IF($O108=$P108,Reglas!$B$2,0))</x:f>
        <x:v>0</x:v>
      </x:c>
      <x:c r="T108" t="n">
        <x:f>IF(OR($N108&lt;&gt;"Finalizado",$Q108&lt;&gt;"Si"),0,Reglas!$B$3)</x:f>
        <x:v>0</x:v>
      </x:c>
      <x:c r="U108" t="n">
        <x:f>IF(OR($N108&lt;&gt;"Finalizado",$Q108&lt;&gt;"Si"),0,IF($I108=$M108,Reglas!$B$4,0))</x:f>
        <x:v>0</x:v>
      </x:c>
      <x:c r="V108" t="n">
        <x:f>IF(OR($N108&lt;&gt;"Finalizado",$Q108&lt;&gt;"Si",$R108&lt;&gt;"Si"),0,IF(AND($F108=$J108,$G108=$K108),Reglas!$B$5,0))</x:f>
        <x:v>0</x:v>
      </x:c>
      <x:c r="W108" t="n">
        <x:f>IF(OR($N108&lt;&gt;"Finalizado",$Q108&lt;&gt;"Si",$R108&lt;&gt;"Si"),0,IF($F108-$G108=$J108-$K108,Reglas!$B$6,0))</x:f>
        <x:v>0</x:v>
      </x:c>
      <x:c r="X108" t="n">
        <x:f>IF(OR($N108&lt;&gt;"Finalizado",$Q108&lt;&gt;"Si",$R108&lt;&gt;"Si"),0,IF($F108=$J108,Reglas!$B$7,0))</x:f>
        <x:v>0</x:v>
      </x:c>
      <x:c r="Y108" t="n">
        <x:f>IF(OR($N108&lt;&gt;"Finalizado",$Q108&lt;&gt;"Si",$R108&lt;&gt;"Si"),0,IF($G108=$K108,Reglas!$B$8,0))</x:f>
        <x:v>0</x:v>
      </x:c>
      <x:c r="Z108" t="n">
        <x:f>SUM($S108:$Y108)</x:f>
        <x:v>0</x:v>
      </x:c>
      <x:c r="AA108" t="str">
        <x:f>IF($N108&lt;&gt;"Finalizado","Resultado pendiente",IF($H108="Sin envio","Sin respuesta",IF($Q108&lt;&gt;"Si","No acerto clasificado","OK")))</x:f>
        <x:v>Sin respuesta</x:v>
      </x:c>
      <x:c r="AB108" t="str">
        <x:v>8vos detalle reconstruido</x:v>
      </x:c>
      <x:c r="AC108" t="n">
        <x:v>0</x:v>
      </x:c>
      <x:c r="AD108" t="n">
        <x:f>$Z108-$AC108</x:f>
        <x:v>0</x:v>
      </x:c>
    </x:row>
    <x:row r="109" ht="15" hidden="0" customHeight="1">
      <x:c r="A109" t="str">
        <x:v>8vos</x:v>
      </x:c>
      <x:c r="B109" t="str">
        <x:v>O5</x:v>
      </x:c>
      <x:c r="C109" t="str">
        <x:v>Fernando</x:v>
      </x:c>
      <x:c r="D109" t="str">
        <x:v>Estados Unidos</x:v>
      </x:c>
      <x:c r="E109" t="str">
        <x:v>Belgica</x:v>
      </x:c>
      <x:c r="F109" t="n">
        <x:v>3</x:v>
      </x:c>
      <x:c r="G109" t="n">
        <x:v>2</x:v>
      </x:c>
      <x:c r="H109" t="str">
        <x:v>EEUU</x:v>
      </x:c>
      <x:c r="I109" t="str">
        <x:v>90 minutos</x:v>
      </x:c>
      <x:c r="J109" t="n">
        <x:v>1</x:v>
      </x:c>
      <x:c r="K109" t="n">
        <x:v>4</x:v>
      </x:c>
      <x:c r="L109" t="str">
        <x:v>Belgica</x:v>
      </x:c>
      <x:c r="M109" t="str">
        <x:v>90 minutos</x:v>
      </x:c>
      <x:c r="N109" t="str">
        <x:v>Finalizado</x:v>
      </x:c>
      <x:c r="O109" t="str">
        <x:f>IF($H109="Sin envio","Sin envio",IF($I109="90 minutos",IF($F109&gt;$G109,"A",IF($G109&gt;$F109,"B","E")),"E"))</x:f>
        <x:v>A</x:v>
      </x:c>
      <x:c r="P109" t="str">
        <x:f>IF($M109="90 minutos",IF($J109&gt;$K109,"A",IF($K109&gt;$J109,"B","E")),"E")</x:f>
        <x:v>B</x:v>
      </x:c>
      <x:c r="Q109" t="str">
        <x:f>IF($H109="Sin envio","No",IF($H109=$L109,"Si","No"))</x:f>
        <x:v>No</x:v>
      </x:c>
      <x:c r="R109" t="str">
        <x:f>IF(AND($I109=$M109,NOT(AND($I109="Penales",$F109&lt;&gt;$G109))),"Si","No")</x:f>
        <x:v>Si</x:v>
      </x:c>
      <x:c r="S109" t="n">
        <x:f>IF(OR($N109&lt;&gt;"Finalizado",$Q109&lt;&gt;"Si"),0,IF($O109=$P109,Reglas!$B$2,0))</x:f>
        <x:v>0</x:v>
      </x:c>
      <x:c r="T109" t="n">
        <x:f>IF(OR($N109&lt;&gt;"Finalizado",$Q109&lt;&gt;"Si"),0,Reglas!$B$3)</x:f>
        <x:v>0</x:v>
      </x:c>
      <x:c r="U109" t="n">
        <x:f>IF(OR($N109&lt;&gt;"Finalizado",$Q109&lt;&gt;"Si"),0,IF($I109=$M109,Reglas!$B$4,0))</x:f>
        <x:v>0</x:v>
      </x:c>
      <x:c r="V109" t="n">
        <x:f>IF(OR($N109&lt;&gt;"Finalizado",$Q109&lt;&gt;"Si",$R109&lt;&gt;"Si"),0,IF(AND($F109=$J109,$G109=$K109),Reglas!$B$5,0))</x:f>
        <x:v>0</x:v>
      </x:c>
      <x:c r="W109" t="n">
        <x:f>IF(OR($N109&lt;&gt;"Finalizado",$Q109&lt;&gt;"Si",$R109&lt;&gt;"Si"),0,IF($F109-$G109=$J109-$K109,Reglas!$B$6,0))</x:f>
        <x:v>0</x:v>
      </x:c>
      <x:c r="X109" t="n">
        <x:f>IF(OR($N109&lt;&gt;"Finalizado",$Q109&lt;&gt;"Si",$R109&lt;&gt;"Si"),0,IF($F109=$J109,Reglas!$B$7,0))</x:f>
        <x:v>0</x:v>
      </x:c>
      <x:c r="Y109" t="n">
        <x:f>IF(OR($N109&lt;&gt;"Finalizado",$Q109&lt;&gt;"Si",$R109&lt;&gt;"Si"),0,IF($G109=$K109,Reglas!$B$8,0))</x:f>
        <x:v>0</x:v>
      </x:c>
      <x:c r="Z109" t="n">
        <x:f>SUM($S109:$Y109)</x:f>
        <x:v>0</x:v>
      </x:c>
      <x:c r="AA109" t="str">
        <x:f>IF($N109&lt;&gt;"Finalizado","Resultado pendiente",IF($H109="Sin envio","Sin respuesta",IF($Q109&lt;&gt;"Si","No acerto clasificado","OK")))</x:f>
        <x:v>No acerto clasificado</x:v>
      </x:c>
      <x:c r="AB109" t="str">
        <x:v>8vos detalle reconstruido</x:v>
      </x:c>
      <x:c r="AC109" t="n">
        <x:v>0</x:v>
      </x:c>
      <x:c r="AD109" t="n">
        <x:f>$Z109-$AC109</x:f>
        <x:v>0</x:v>
      </x:c>
    </x:row>
    <x:row r="110" ht="15" hidden="0" customHeight="1">
      <x:c r="A110" t="str">
        <x:v>8vos</x:v>
      </x:c>
      <x:c r="B110" t="str">
        <x:v>O5</x:v>
      </x:c>
      <x:c r="C110" t="str">
        <x:v>Diana</x:v>
      </x:c>
      <x:c r="D110" t="str">
        <x:v>Estados Unidos</x:v>
      </x:c>
      <x:c r="E110" t="str">
        <x:v>Belgica</x:v>
      </x:c>
      <x:c r="F110" t="n">
        <x:v>1</x:v>
      </x:c>
      <x:c r="G110" t="n">
        <x:v>2</x:v>
      </x:c>
      <x:c r="H110" t="str">
        <x:v>Belgica</x:v>
      </x:c>
      <x:c r="I110" t="str">
        <x:v>90 minutos</x:v>
      </x:c>
      <x:c r="J110" t="n">
        <x:v>1</x:v>
      </x:c>
      <x:c r="K110" t="n">
        <x:v>4</x:v>
      </x:c>
      <x:c r="L110" t="str">
        <x:v>Belgica</x:v>
      </x:c>
      <x:c r="M110" t="str">
        <x:v>90 minutos</x:v>
      </x:c>
      <x:c r="N110" t="str">
        <x:v>Finalizado</x:v>
      </x:c>
      <x:c r="O110" t="str">
        <x:f>IF($H110="Sin envio","Sin envio",IF($I110="90 minutos",IF($F110&gt;$G110,"A",IF($G110&gt;$F110,"B","E")),"E"))</x:f>
        <x:v>B</x:v>
      </x:c>
      <x:c r="P110" t="str">
        <x:f>IF($M110="90 minutos",IF($J110&gt;$K110,"A",IF($K110&gt;$J110,"B","E")),"E")</x:f>
        <x:v>B</x:v>
      </x:c>
      <x:c r="Q110" t="str">
        <x:f>IF($H110="Sin envio","No",IF($H110=$L110,"Si","No"))</x:f>
        <x:v>Si</x:v>
      </x:c>
      <x:c r="R110" t="str">
        <x:f>IF(AND($I110=$M110,NOT(AND($I110="Penales",$F110&lt;&gt;$G110))),"Si","No")</x:f>
        <x:v>Si</x:v>
      </x:c>
      <x:c r="S110" t="n">
        <x:f>IF(OR($N110&lt;&gt;"Finalizado",$Q110&lt;&gt;"Si"),0,IF($O110=$P110,Reglas!$B$2,0))</x:f>
        <x:v>5</x:v>
      </x:c>
      <x:c r="T110" t="n">
        <x:f>IF(OR($N110&lt;&gt;"Finalizado",$Q110&lt;&gt;"Si"),0,Reglas!$B$3)</x:f>
        <x:v>3</x:v>
      </x:c>
      <x:c r="U110" t="n">
        <x:f>IF(OR($N110&lt;&gt;"Finalizado",$Q110&lt;&gt;"Si"),0,IF($I110=$M110,Reglas!$B$4,0))</x:f>
        <x:v>2</x:v>
      </x:c>
      <x:c r="V110" t="n">
        <x:f>IF(OR($N110&lt;&gt;"Finalizado",$Q110&lt;&gt;"Si",$R110&lt;&gt;"Si"),0,IF(AND($F110=$J110,$G110=$K110),Reglas!$B$5,0))</x:f>
        <x:v>0</x:v>
      </x:c>
      <x:c r="W110" t="n">
        <x:f>IF(OR($N110&lt;&gt;"Finalizado",$Q110&lt;&gt;"Si",$R110&lt;&gt;"Si"),0,IF($F110-$G110=$J110-$K110,Reglas!$B$6,0))</x:f>
        <x:v>0</x:v>
      </x:c>
      <x:c r="X110" t="n">
        <x:f>IF(OR($N110&lt;&gt;"Finalizado",$Q110&lt;&gt;"Si",$R110&lt;&gt;"Si"),0,IF($F110=$J110,Reglas!$B$7,0))</x:f>
        <x:v>1</x:v>
      </x:c>
      <x:c r="Y110" t="n">
        <x:f>IF(OR($N110&lt;&gt;"Finalizado",$Q110&lt;&gt;"Si",$R110&lt;&gt;"Si"),0,IF($G110=$K110,Reglas!$B$8,0))</x:f>
        <x:v>0</x:v>
      </x:c>
      <x:c r="Z110" t="n">
        <x:f>SUM($S110:$Y110)</x:f>
        <x:v>11</x:v>
      </x:c>
      <x:c r="AA110" t="str">
        <x:f>IF($N110&lt;&gt;"Finalizado","Resultado pendiente",IF($H110="Sin envio","Sin respuesta",IF($Q110&lt;&gt;"Si","No acerto clasificado","OK")))</x:f>
        <x:v>OK</x:v>
      </x:c>
      <x:c r="AB110" t="str">
        <x:v>8vos detalle reconstruido</x:v>
      </x:c>
      <x:c r="AC110" t="n">
        <x:v>11</x:v>
      </x:c>
      <x:c r="AD110" t="n">
        <x:f>$Z110-$AC110</x:f>
        <x:v>0</x:v>
      </x:c>
    </x:row>
    <x:row r="111" ht="15" hidden="0" customHeight="1">
      <x:c r="A111" t="str">
        <x:v>8vos</x:v>
      </x:c>
      <x:c r="B111" t="str">
        <x:v>O5</x:v>
      </x:c>
      <x:c r="C111" t="str">
        <x:v>Óscar</x:v>
      </x:c>
      <x:c r="D111" t="str">
        <x:v>Estados Unidos</x:v>
      </x:c>
      <x:c r="E111" t="str">
        <x:v>Belgica</x:v>
      </x:c>
      <x:c r="F111" t="n">
        <x:v>2</x:v>
      </x:c>
      <x:c r="G111" t="n">
        <x:v>2</x:v>
      </x:c>
      <x:c r="H111" t="str">
        <x:v>EEUU</x:v>
      </x:c>
      <x:c r="I111" t="str">
        <x:v>Penales</x:v>
      </x:c>
      <x:c r="J111" t="n">
        <x:v>1</x:v>
      </x:c>
      <x:c r="K111" t="n">
        <x:v>4</x:v>
      </x:c>
      <x:c r="L111" t="str">
        <x:v>Belgica</x:v>
      </x:c>
      <x:c r="M111" t="str">
        <x:v>90 minutos</x:v>
      </x:c>
      <x:c r="N111" t="str">
        <x:v>Finalizado</x:v>
      </x:c>
      <x:c r="O111" t="str">
        <x:f>IF($H111="Sin envio","Sin envio",IF($I111="90 minutos",IF($F111&gt;$G111,"A",IF($G111&gt;$F111,"B","E")),"E"))</x:f>
        <x:v>E</x:v>
      </x:c>
      <x:c r="P111" t="str">
        <x:f>IF($M111="90 minutos",IF($J111&gt;$K111,"A",IF($K111&gt;$J111,"B","E")),"E")</x:f>
        <x:v>B</x:v>
      </x:c>
      <x:c r="Q111" t="str">
        <x:f>IF($H111="Sin envio","No",IF($H111=$L111,"Si","No"))</x:f>
        <x:v>No</x:v>
      </x:c>
      <x:c r="R111" t="str">
        <x:f>IF(AND($I111=$M111,NOT(AND($I111="Penales",$F111&lt;&gt;$G111))),"Si","No")</x:f>
        <x:v>No</x:v>
      </x:c>
      <x:c r="S111" t="n">
        <x:f>IF(OR($N111&lt;&gt;"Finalizado",$Q111&lt;&gt;"Si"),0,IF($O111=$P111,Reglas!$B$2,0))</x:f>
        <x:v>0</x:v>
      </x:c>
      <x:c r="T111" t="n">
        <x:f>IF(OR($N111&lt;&gt;"Finalizado",$Q111&lt;&gt;"Si"),0,Reglas!$B$3)</x:f>
        <x:v>0</x:v>
      </x:c>
      <x:c r="U111" t="n">
        <x:f>IF(OR($N111&lt;&gt;"Finalizado",$Q111&lt;&gt;"Si"),0,IF($I111=$M111,Reglas!$B$4,0))</x:f>
        <x:v>0</x:v>
      </x:c>
      <x:c r="V111" t="n">
        <x:f>IF(OR($N111&lt;&gt;"Finalizado",$Q111&lt;&gt;"Si",$R111&lt;&gt;"Si"),0,IF(AND($F111=$J111,$G111=$K111),Reglas!$B$5,0))</x:f>
        <x:v>0</x:v>
      </x:c>
      <x:c r="W111" t="n">
        <x:f>IF(OR($N111&lt;&gt;"Finalizado",$Q111&lt;&gt;"Si",$R111&lt;&gt;"Si"),0,IF($F111-$G111=$J111-$K111,Reglas!$B$6,0))</x:f>
        <x:v>0</x:v>
      </x:c>
      <x:c r="X111" t="n">
        <x:f>IF(OR($N111&lt;&gt;"Finalizado",$Q111&lt;&gt;"Si",$R111&lt;&gt;"Si"),0,IF($F111=$J111,Reglas!$B$7,0))</x:f>
        <x:v>0</x:v>
      </x:c>
      <x:c r="Y111" t="n">
        <x:f>IF(OR($N111&lt;&gt;"Finalizado",$Q111&lt;&gt;"Si",$R111&lt;&gt;"Si"),0,IF($G111=$K111,Reglas!$B$8,0))</x:f>
        <x:v>0</x:v>
      </x:c>
      <x:c r="Z111" t="n">
        <x:f>SUM($S111:$Y111)</x:f>
        <x:v>0</x:v>
      </x:c>
      <x:c r="AA111" t="str">
        <x:f>IF($N111&lt;&gt;"Finalizado","Resultado pendiente",IF($H111="Sin envio","Sin respuesta",IF($Q111&lt;&gt;"Si","No acerto clasificado","OK")))</x:f>
        <x:v>No acerto clasificado</x:v>
      </x:c>
      <x:c r="AB111" t="str">
        <x:v>8vos detalle reconstruido</x:v>
      </x:c>
      <x:c r="AC111" t="n">
        <x:v>0</x:v>
      </x:c>
      <x:c r="AD111" t="n">
        <x:f>$Z111-$AC111</x:f>
        <x:v>0</x:v>
      </x:c>
    </x:row>
    <x:row r="112" ht="15" hidden="0" customHeight="1">
      <x:c r="A112" t="str">
        <x:v>8vos</x:v>
      </x:c>
      <x:c r="B112" t="str">
        <x:v>O6</x:v>
      </x:c>
      <x:c r="C112" t="str">
        <x:v>Freddy</x:v>
      </x:c>
      <x:c r="D112" t="str">
        <x:v>Portugal</x:v>
      </x:c>
      <x:c r="E112" t="str">
        <x:v>Espana</x:v>
      </x:c>
      <x:c r="F112" t="n">
        <x:v>1</x:v>
      </x:c>
      <x:c r="G112" t="n">
        <x:v>2</x:v>
      </x:c>
      <x:c r="H112" t="str">
        <x:v>Espana</x:v>
      </x:c>
      <x:c r="I112" t="str">
        <x:v>90 minutos</x:v>
      </x:c>
      <x:c r="J112" t="n">
        <x:v>0</x:v>
      </x:c>
      <x:c r="K112" t="n">
        <x:v>1</x:v>
      </x:c>
      <x:c r="L112" t="str">
        <x:v>Espana</x:v>
      </x:c>
      <x:c r="M112" t="str">
        <x:v>90 minutos</x:v>
      </x:c>
      <x:c r="N112" t="str">
        <x:v>Finalizado</x:v>
      </x:c>
      <x:c r="O112" t="str">
        <x:f>IF($H112="Sin envio","Sin envio",IF($I112="90 minutos",IF($F112&gt;$G112,"A",IF($G112&gt;$F112,"B","E")),"E"))</x:f>
        <x:v>B</x:v>
      </x:c>
      <x:c r="P112" t="str">
        <x:f>IF($M112="90 minutos",IF($J112&gt;$K112,"A",IF($K112&gt;$J112,"B","E")),"E")</x:f>
        <x:v>B</x:v>
      </x:c>
      <x:c r="Q112" t="str">
        <x:f>IF($H112="Sin envio","No",IF($H112=$L112,"Si","No"))</x:f>
        <x:v>Si</x:v>
      </x:c>
      <x:c r="R112" t="str">
        <x:f>IF(AND($I112=$M112,NOT(AND($I112="Penales",$F112&lt;&gt;$G112))),"Si","No")</x:f>
        <x:v>Si</x:v>
      </x:c>
      <x:c r="S112" t="n">
        <x:f>IF(OR($N112&lt;&gt;"Finalizado",$Q112&lt;&gt;"Si"),0,IF($O112=$P112,Reglas!$B$2,0))</x:f>
        <x:v>5</x:v>
      </x:c>
      <x:c r="T112" t="n">
        <x:f>IF(OR($N112&lt;&gt;"Finalizado",$Q112&lt;&gt;"Si"),0,Reglas!$B$3)</x:f>
        <x:v>3</x:v>
      </x:c>
      <x:c r="U112" t="n">
        <x:f>IF(OR($N112&lt;&gt;"Finalizado",$Q112&lt;&gt;"Si"),0,IF($I112=$M112,Reglas!$B$4,0))</x:f>
        <x:v>2</x:v>
      </x:c>
      <x:c r="V112" t="n">
        <x:f>IF(OR($N112&lt;&gt;"Finalizado",$Q112&lt;&gt;"Si",$R112&lt;&gt;"Si"),0,IF(AND($F112=$J112,$G112=$K112),Reglas!$B$5,0))</x:f>
        <x:v>0</x:v>
      </x:c>
      <x:c r="W112" t="n">
        <x:f>IF(OR($N112&lt;&gt;"Finalizado",$Q112&lt;&gt;"Si",$R112&lt;&gt;"Si"),0,IF($F112-$G112=$J112-$K112,Reglas!$B$6,0))</x:f>
        <x:v>2</x:v>
      </x:c>
      <x:c r="X112" t="n">
        <x:f>IF(OR($N112&lt;&gt;"Finalizado",$Q112&lt;&gt;"Si",$R112&lt;&gt;"Si"),0,IF($F112=$J112,Reglas!$B$7,0))</x:f>
        <x:v>0</x:v>
      </x:c>
      <x:c r="Y112" t="n">
        <x:f>IF(OR($N112&lt;&gt;"Finalizado",$Q112&lt;&gt;"Si",$R112&lt;&gt;"Si"),0,IF($G112=$K112,Reglas!$B$8,0))</x:f>
        <x:v>0</x:v>
      </x:c>
      <x:c r="Z112" t="n">
        <x:f>SUM($S112:$Y112)</x:f>
        <x:v>12</x:v>
      </x:c>
      <x:c r="AA112" t="str">
        <x:f>IF($N112&lt;&gt;"Finalizado","Resultado pendiente",IF($H112="Sin envio","Sin respuesta",IF($Q112&lt;&gt;"Si","No acerto clasificado","OK")))</x:f>
        <x:v>OK</x:v>
      </x:c>
      <x:c r="AB112" t="str">
        <x:v>8vos detalle reconstruido</x:v>
      </x:c>
      <x:c r="AC112" t="n">
        <x:v>12</x:v>
      </x:c>
      <x:c r="AD112" t="n">
        <x:f>$Z112-$AC112</x:f>
        <x:v>0</x:v>
      </x:c>
    </x:row>
    <x:row r="113" ht="15" hidden="0" customHeight="1">
      <x:c r="A113" t="str">
        <x:v>8vos</x:v>
      </x:c>
      <x:c r="B113" t="str">
        <x:v>O6</x:v>
      </x:c>
      <x:c r="C113" t="str">
        <x:v>Gabriela</x:v>
      </x:c>
      <x:c r="D113" t="str">
        <x:v>Portugal</x:v>
      </x:c>
      <x:c r="E113" t="str">
        <x:v>Espana</x:v>
      </x:c>
      <x:c r="F113" t="n">
        <x:v>2</x:v>
      </x:c>
      <x:c r="G113" t="n">
        <x:v>2</x:v>
      </x:c>
      <x:c r="H113" t="str">
        <x:v>Espana</x:v>
      </x:c>
      <x:c r="I113" t="str">
        <x:v>Penales</x:v>
      </x:c>
      <x:c r="J113" t="n">
        <x:v>0</x:v>
      </x:c>
      <x:c r="K113" t="n">
        <x:v>1</x:v>
      </x:c>
      <x:c r="L113" t="str">
        <x:v>Espana</x:v>
      </x:c>
      <x:c r="M113" t="str">
        <x:v>90 minutos</x:v>
      </x:c>
      <x:c r="N113" t="str">
        <x:v>Finalizado</x:v>
      </x:c>
      <x:c r="O113" t="str">
        <x:f>IF($H113="Sin envio","Sin envio",IF($I113="90 minutos",IF($F113&gt;$G113,"A",IF($G113&gt;$F113,"B","E")),"E"))</x:f>
        <x:v>E</x:v>
      </x:c>
      <x:c r="P113" t="str">
        <x:f>IF($M113="90 minutos",IF($J113&gt;$K113,"A",IF($K113&gt;$J113,"B","E")),"E")</x:f>
        <x:v>B</x:v>
      </x:c>
      <x:c r="Q113" t="str">
        <x:f>IF($H113="Sin envio","No",IF($H113=$L113,"Si","No"))</x:f>
        <x:v>Si</x:v>
      </x:c>
      <x:c r="R113" t="str">
        <x:f>IF(AND($I113=$M113,NOT(AND($I113="Penales",$F113&lt;&gt;$G113))),"Si","No")</x:f>
        <x:v>No</x:v>
      </x:c>
      <x:c r="S113" t="n">
        <x:f>IF(OR($N113&lt;&gt;"Finalizado",$Q113&lt;&gt;"Si"),0,IF($O113=$P113,Reglas!$B$2,0))</x:f>
        <x:v>0</x:v>
      </x:c>
      <x:c r="T113" t="n">
        <x:f>IF(OR($N113&lt;&gt;"Finalizado",$Q113&lt;&gt;"Si"),0,Reglas!$B$3)</x:f>
        <x:v>3</x:v>
      </x:c>
      <x:c r="U113" t="n">
        <x:f>IF(OR($N113&lt;&gt;"Finalizado",$Q113&lt;&gt;"Si"),0,IF($I113=$M113,Reglas!$B$4,0))</x:f>
        <x:v>0</x:v>
      </x:c>
      <x:c r="V113" t="n">
        <x:f>IF(OR($N113&lt;&gt;"Finalizado",$Q113&lt;&gt;"Si",$R113&lt;&gt;"Si"),0,IF(AND($F113=$J113,$G113=$K113),Reglas!$B$5,0))</x:f>
        <x:v>0</x:v>
      </x:c>
      <x:c r="W113" t="n">
        <x:f>IF(OR($N113&lt;&gt;"Finalizado",$Q113&lt;&gt;"Si",$R113&lt;&gt;"Si"),0,IF($F113-$G113=$J113-$K113,Reglas!$B$6,0))</x:f>
        <x:v>0</x:v>
      </x:c>
      <x:c r="X113" t="n">
        <x:f>IF(OR($N113&lt;&gt;"Finalizado",$Q113&lt;&gt;"Si",$R113&lt;&gt;"Si"),0,IF($F113=$J113,Reglas!$B$7,0))</x:f>
        <x:v>0</x:v>
      </x:c>
      <x:c r="Y113" t="n">
        <x:f>IF(OR($N113&lt;&gt;"Finalizado",$Q113&lt;&gt;"Si",$R113&lt;&gt;"Si"),0,IF($G113=$K113,Reglas!$B$8,0))</x:f>
        <x:v>0</x:v>
      </x:c>
      <x:c r="Z113" t="n">
        <x:f>SUM($S113:$Y113)</x:f>
        <x:v>3</x:v>
      </x:c>
      <x:c r="AA113" t="str">
        <x:f>IF($N113&lt;&gt;"Finalizado","Resultado pendiente",IF($H113="Sin envio","Sin respuesta",IF($Q113&lt;&gt;"Si","No acerto clasificado","OK")))</x:f>
        <x:v>OK</x:v>
      </x:c>
      <x:c r="AB113" t="str">
        <x:v>8vos detalle reconstruido</x:v>
      </x:c>
      <x:c r="AC113" t="n">
        <x:v>3</x:v>
      </x:c>
      <x:c r="AD113" t="n">
        <x:f>$Z113-$AC113</x:f>
        <x:v>0</x:v>
      </x:c>
    </x:row>
    <x:row r="114" ht="15" hidden="0" customHeight="1">
      <x:c r="A114" t="str">
        <x:v>8vos</x:v>
      </x:c>
      <x:c r="B114" t="str">
        <x:v>O6</x:v>
      </x:c>
      <x:c r="C114" t="str">
        <x:v>Jean</x:v>
      </x:c>
      <x:c r="D114" t="str">
        <x:v>Portugal</x:v>
      </x:c>
      <x:c r="E114" t="str">
        <x:v>Espana</x:v>
      </x:c>
      <x:c r="F114" t="n">
        <x:v>0</x:v>
      </x:c>
      <x:c r="G114" t="n">
        <x:v>1</x:v>
      </x:c>
      <x:c r="H114" t="str">
        <x:v>Espana</x:v>
      </x:c>
      <x:c r="I114" t="str">
        <x:v>90 minutos</x:v>
      </x:c>
      <x:c r="J114" t="n">
        <x:v>0</x:v>
      </x:c>
      <x:c r="K114" t="n">
        <x:v>1</x:v>
      </x:c>
      <x:c r="L114" t="str">
        <x:v>Espana</x:v>
      </x:c>
      <x:c r="M114" t="str">
        <x:v>90 minutos</x:v>
      </x:c>
      <x:c r="N114" t="str">
        <x:v>Finalizado</x:v>
      </x:c>
      <x:c r="O114" t="str">
        <x:f>IF($H114="Sin envio","Sin envio",IF($I114="90 minutos",IF($F114&gt;$G114,"A",IF($G114&gt;$F114,"B","E")),"E"))</x:f>
        <x:v>B</x:v>
      </x:c>
      <x:c r="P114" t="str">
        <x:f>IF($M114="90 minutos",IF($J114&gt;$K114,"A",IF($K114&gt;$J114,"B","E")),"E")</x:f>
        <x:v>B</x:v>
      </x:c>
      <x:c r="Q114" t="str">
        <x:f>IF($H114="Sin envio","No",IF($H114=$L114,"Si","No"))</x:f>
        <x:v>Si</x:v>
      </x:c>
      <x:c r="R114" t="str">
        <x:f>IF(AND($I114=$M114,NOT(AND($I114="Penales",$F114&lt;&gt;$G114))),"Si","No")</x:f>
        <x:v>Si</x:v>
      </x:c>
      <x:c r="S114" t="n">
        <x:f>IF(OR($N114&lt;&gt;"Finalizado",$Q114&lt;&gt;"Si"),0,IF($O114=$P114,Reglas!$B$2,0))</x:f>
        <x:v>5</x:v>
      </x:c>
      <x:c r="T114" t="n">
        <x:f>IF(OR($N114&lt;&gt;"Finalizado",$Q114&lt;&gt;"Si"),0,Reglas!$B$3)</x:f>
        <x:v>3</x:v>
      </x:c>
      <x:c r="U114" t="n">
        <x:f>IF(OR($N114&lt;&gt;"Finalizado",$Q114&lt;&gt;"Si"),0,IF($I114=$M114,Reglas!$B$4,0))</x:f>
        <x:v>2</x:v>
      </x:c>
      <x:c r="V114" t="n">
        <x:f>IF(OR($N114&lt;&gt;"Finalizado",$Q114&lt;&gt;"Si",$R114&lt;&gt;"Si"),0,IF(AND($F114=$J114,$G114=$K114),Reglas!$B$5,0))</x:f>
        <x:v>4</x:v>
      </x:c>
      <x:c r="W114" t="n">
        <x:f>IF(OR($N114&lt;&gt;"Finalizado",$Q114&lt;&gt;"Si",$R114&lt;&gt;"Si"),0,IF($F114-$G114=$J114-$K114,Reglas!$B$6,0))</x:f>
        <x:v>2</x:v>
      </x:c>
      <x:c r="X114" t="n">
        <x:f>IF(OR($N114&lt;&gt;"Finalizado",$Q114&lt;&gt;"Si",$R114&lt;&gt;"Si"),0,IF($F114=$J114,Reglas!$B$7,0))</x:f>
        <x:v>1</x:v>
      </x:c>
      <x:c r="Y114" t="n">
        <x:f>IF(OR($N114&lt;&gt;"Finalizado",$Q114&lt;&gt;"Si",$R114&lt;&gt;"Si"),0,IF($G114=$K114,Reglas!$B$8,0))</x:f>
        <x:v>1</x:v>
      </x:c>
      <x:c r="Z114" t="n">
        <x:f>SUM($S114:$Y114)</x:f>
        <x:v>18</x:v>
      </x:c>
      <x:c r="AA114" t="str">
        <x:f>IF($N114&lt;&gt;"Finalizado","Resultado pendiente",IF($H114="Sin envio","Sin respuesta",IF($Q114&lt;&gt;"Si","No acerto clasificado","OK")))</x:f>
        <x:v>OK</x:v>
      </x:c>
      <x:c r="AB114" t="str">
        <x:v>8vos detalle reconstruido</x:v>
      </x:c>
      <x:c r="AC114" t="n">
        <x:v>18</x:v>
      </x:c>
      <x:c r="AD114" t="n">
        <x:f>$Z114-$AC114</x:f>
        <x:v>0</x:v>
      </x:c>
    </x:row>
    <x:row r="115" ht="15" hidden="0" customHeight="1">
      <x:c r="A115" t="str">
        <x:v>8vos</x:v>
      </x:c>
      <x:c r="B115" t="str">
        <x:v>O6</x:v>
      </x:c>
      <x:c r="C115" t="str">
        <x:v>Juan</x:v>
      </x:c>
      <x:c r="D115" t="str">
        <x:v>Portugal</x:v>
      </x:c>
      <x:c r="E115" t="str">
        <x:v>Espana</x:v>
      </x:c>
      <x:c r="F115" t="n">
        <x:v>2</x:v>
      </x:c>
      <x:c r="G115" t="n">
        <x:v>2</x:v>
      </x:c>
      <x:c r="H115" t="str">
        <x:v>Espana</x:v>
      </x:c>
      <x:c r="I115" t="str">
        <x:v>Penales</x:v>
      </x:c>
      <x:c r="J115" t="n">
        <x:v>0</x:v>
      </x:c>
      <x:c r="K115" t="n">
        <x:v>1</x:v>
      </x:c>
      <x:c r="L115" t="str">
        <x:v>Espana</x:v>
      </x:c>
      <x:c r="M115" t="str">
        <x:v>90 minutos</x:v>
      </x:c>
      <x:c r="N115" t="str">
        <x:v>Finalizado</x:v>
      </x:c>
      <x:c r="O115" t="str">
        <x:f>IF($H115="Sin envio","Sin envio",IF($I115="90 minutos",IF($F115&gt;$G115,"A",IF($G115&gt;$F115,"B","E")),"E"))</x:f>
        <x:v>E</x:v>
      </x:c>
      <x:c r="P115" t="str">
        <x:f>IF($M115="90 minutos",IF($J115&gt;$K115,"A",IF($K115&gt;$J115,"B","E")),"E")</x:f>
        <x:v>B</x:v>
      </x:c>
      <x:c r="Q115" t="str">
        <x:f>IF($H115="Sin envio","No",IF($H115=$L115,"Si","No"))</x:f>
        <x:v>Si</x:v>
      </x:c>
      <x:c r="R115" t="str">
        <x:f>IF(AND($I115=$M115,NOT(AND($I115="Penales",$F115&lt;&gt;$G115))),"Si","No")</x:f>
        <x:v>No</x:v>
      </x:c>
      <x:c r="S115" t="n">
        <x:f>IF(OR($N115&lt;&gt;"Finalizado",$Q115&lt;&gt;"Si"),0,IF($O115=$P115,Reglas!$B$2,0))</x:f>
        <x:v>0</x:v>
      </x:c>
      <x:c r="T115" t="n">
        <x:f>IF(OR($N115&lt;&gt;"Finalizado",$Q115&lt;&gt;"Si"),0,Reglas!$B$3)</x:f>
        <x:v>3</x:v>
      </x:c>
      <x:c r="U115" t="n">
        <x:f>IF(OR($N115&lt;&gt;"Finalizado",$Q115&lt;&gt;"Si"),0,IF($I115=$M115,Reglas!$B$4,0))</x:f>
        <x:v>0</x:v>
      </x:c>
      <x:c r="V115" t="n">
        <x:f>IF(OR($N115&lt;&gt;"Finalizado",$Q115&lt;&gt;"Si",$R115&lt;&gt;"Si"),0,IF(AND($F115=$J115,$G115=$K115),Reglas!$B$5,0))</x:f>
        <x:v>0</x:v>
      </x:c>
      <x:c r="W115" t="n">
        <x:f>IF(OR($N115&lt;&gt;"Finalizado",$Q115&lt;&gt;"Si",$R115&lt;&gt;"Si"),0,IF($F115-$G115=$J115-$K115,Reglas!$B$6,0))</x:f>
        <x:v>0</x:v>
      </x:c>
      <x:c r="X115" t="n">
        <x:f>IF(OR($N115&lt;&gt;"Finalizado",$Q115&lt;&gt;"Si",$R115&lt;&gt;"Si"),0,IF($F115=$J115,Reglas!$B$7,0))</x:f>
        <x:v>0</x:v>
      </x:c>
      <x:c r="Y115" t="n">
        <x:f>IF(OR($N115&lt;&gt;"Finalizado",$Q115&lt;&gt;"Si",$R115&lt;&gt;"Si"),0,IF($G115=$K115,Reglas!$B$8,0))</x:f>
        <x:v>0</x:v>
      </x:c>
      <x:c r="Z115" t="n">
        <x:f>SUM($S115:$Y115)</x:f>
        <x:v>3</x:v>
      </x:c>
      <x:c r="AA115" t="str">
        <x:f>IF($N115&lt;&gt;"Finalizado","Resultado pendiente",IF($H115="Sin envio","Sin respuesta",IF($Q115&lt;&gt;"Si","No acerto clasificado","OK")))</x:f>
        <x:v>OK</x:v>
      </x:c>
      <x:c r="AB115" t="str">
        <x:v>8vos detalle reconstruido</x:v>
      </x:c>
      <x:c r="AC115" t="n">
        <x:v>3</x:v>
      </x:c>
      <x:c r="AD115" t="n">
        <x:f>$Z115-$AC115</x:f>
        <x:v>0</x:v>
      </x:c>
    </x:row>
    <x:row r="116" ht="15" hidden="0" customHeight="1">
      <x:c r="A116" t="str">
        <x:v>8vos</x:v>
      </x:c>
      <x:c r="B116" t="str">
        <x:v>O6</x:v>
      </x:c>
      <x:c r="C116" t="str">
        <x:v>Jesús</x:v>
      </x:c>
      <x:c r="D116" t="str">
        <x:v>Portugal</x:v>
      </x:c>
      <x:c r="E116" t="str">
        <x:v>Espana</x:v>
      </x:c>
      <x:c r="F116" t="n">
        <x:v>1</x:v>
      </x:c>
      <x:c r="G116" t="n">
        <x:v>2</x:v>
      </x:c>
      <x:c r="H116" t="str">
        <x:v>Espana</x:v>
      </x:c>
      <x:c r="I116" t="str">
        <x:v>90 minutos</x:v>
      </x:c>
      <x:c r="J116" t="n">
        <x:v>0</x:v>
      </x:c>
      <x:c r="K116" t="n">
        <x:v>1</x:v>
      </x:c>
      <x:c r="L116" t="str">
        <x:v>Espana</x:v>
      </x:c>
      <x:c r="M116" t="str">
        <x:v>90 minutos</x:v>
      </x:c>
      <x:c r="N116" t="str">
        <x:v>Finalizado</x:v>
      </x:c>
      <x:c r="O116" t="str">
        <x:f>IF($H116="Sin envio","Sin envio",IF($I116="90 minutos",IF($F116&gt;$G116,"A",IF($G116&gt;$F116,"B","E")),"E"))</x:f>
        <x:v>B</x:v>
      </x:c>
      <x:c r="P116" t="str">
        <x:f>IF($M116="90 minutos",IF($J116&gt;$K116,"A",IF($K116&gt;$J116,"B","E")),"E")</x:f>
        <x:v>B</x:v>
      </x:c>
      <x:c r="Q116" t="str">
        <x:f>IF($H116="Sin envio","No",IF($H116=$L116,"Si","No"))</x:f>
        <x:v>Si</x:v>
      </x:c>
      <x:c r="R116" t="str">
        <x:f>IF(AND($I116=$M116,NOT(AND($I116="Penales",$F116&lt;&gt;$G116))),"Si","No")</x:f>
        <x:v>Si</x:v>
      </x:c>
      <x:c r="S116" t="n">
        <x:f>IF(OR($N116&lt;&gt;"Finalizado",$Q116&lt;&gt;"Si"),0,IF($O116=$P116,Reglas!$B$2,0))</x:f>
        <x:v>5</x:v>
      </x:c>
      <x:c r="T116" t="n">
        <x:f>IF(OR($N116&lt;&gt;"Finalizado",$Q116&lt;&gt;"Si"),0,Reglas!$B$3)</x:f>
        <x:v>3</x:v>
      </x:c>
      <x:c r="U116" t="n">
        <x:f>IF(OR($N116&lt;&gt;"Finalizado",$Q116&lt;&gt;"Si"),0,IF($I116=$M116,Reglas!$B$4,0))</x:f>
        <x:v>2</x:v>
      </x:c>
      <x:c r="V116" t="n">
        <x:f>IF(OR($N116&lt;&gt;"Finalizado",$Q116&lt;&gt;"Si",$R116&lt;&gt;"Si"),0,IF(AND($F116=$J116,$G116=$K116),Reglas!$B$5,0))</x:f>
        <x:v>0</x:v>
      </x:c>
      <x:c r="W116" t="n">
        <x:f>IF(OR($N116&lt;&gt;"Finalizado",$Q116&lt;&gt;"Si",$R116&lt;&gt;"Si"),0,IF($F116-$G116=$J116-$K116,Reglas!$B$6,0))</x:f>
        <x:v>2</x:v>
      </x:c>
      <x:c r="X116" t="n">
        <x:f>IF(OR($N116&lt;&gt;"Finalizado",$Q116&lt;&gt;"Si",$R116&lt;&gt;"Si"),0,IF($F116=$J116,Reglas!$B$7,0))</x:f>
        <x:v>0</x:v>
      </x:c>
      <x:c r="Y116" t="n">
        <x:f>IF(OR($N116&lt;&gt;"Finalizado",$Q116&lt;&gt;"Si",$R116&lt;&gt;"Si"),0,IF($G116=$K116,Reglas!$B$8,0))</x:f>
        <x:v>0</x:v>
      </x:c>
      <x:c r="Z116" t="n">
        <x:f>SUM($S116:$Y116)</x:f>
        <x:v>12</x:v>
      </x:c>
      <x:c r="AA116" t="str">
        <x:f>IF($N116&lt;&gt;"Finalizado","Resultado pendiente",IF($H116="Sin envio","Sin respuesta",IF($Q116&lt;&gt;"Si","No acerto clasificado","OK")))</x:f>
        <x:v>OK</x:v>
      </x:c>
      <x:c r="AB116" t="str">
        <x:v>8vos detalle reconstruido</x:v>
      </x:c>
      <x:c r="AC116" t="n">
        <x:v>12</x:v>
      </x:c>
      <x:c r="AD116" t="n">
        <x:f>$Z116-$AC116</x:f>
        <x:v>0</x:v>
      </x:c>
    </x:row>
    <x:row r="117" ht="15" hidden="0" customHeight="1">
      <x:c r="A117" t="str">
        <x:v>8vos</x:v>
      </x:c>
      <x:c r="B117" t="str">
        <x:v>O6</x:v>
      </x:c>
      <x:c r="C117" t="str">
        <x:v>Diego</x:v>
      </x:c>
      <x:c r="D117" t="str">
        <x:v>Portugal</x:v>
      </x:c>
      <x:c r="E117" t="str">
        <x:v>Espana</x:v>
      </x:c>
      <x:c r="F117" t="n">
        <x:v>1</x:v>
      </x:c>
      <x:c r="G117" t="n">
        <x:v>2</x:v>
      </x:c>
      <x:c r="H117" t="str">
        <x:v>Espana</x:v>
      </x:c>
      <x:c r="I117" t="str">
        <x:v>Suplementario</x:v>
      </x:c>
      <x:c r="J117" t="n">
        <x:v>0</x:v>
      </x:c>
      <x:c r="K117" t="n">
        <x:v>1</x:v>
      </x:c>
      <x:c r="L117" t="str">
        <x:v>Espana</x:v>
      </x:c>
      <x:c r="M117" t="str">
        <x:v>90 minutos</x:v>
      </x:c>
      <x:c r="N117" t="str">
        <x:v>Finalizado</x:v>
      </x:c>
      <x:c r="O117" t="str">
        <x:f>IF($H117="Sin envio","Sin envio",IF($I117="90 minutos",IF($F117&gt;$G117,"A",IF($G117&gt;$F117,"B","E")),"E"))</x:f>
        <x:v>E</x:v>
      </x:c>
      <x:c r="P117" t="str">
        <x:f>IF($M117="90 minutos",IF($J117&gt;$K117,"A",IF($K117&gt;$J117,"B","E")),"E")</x:f>
        <x:v>B</x:v>
      </x:c>
      <x:c r="Q117" t="str">
        <x:f>IF($H117="Sin envio","No",IF($H117=$L117,"Si","No"))</x:f>
        <x:v>Si</x:v>
      </x:c>
      <x:c r="R117" t="str">
        <x:f>IF(AND($I117=$M117,NOT(AND($I117="Penales",$F117&lt;&gt;$G117))),"Si","No")</x:f>
        <x:v>No</x:v>
      </x:c>
      <x:c r="S117" t="n">
        <x:f>IF(OR($N117&lt;&gt;"Finalizado",$Q117&lt;&gt;"Si"),0,IF($O117=$P117,Reglas!$B$2,0))</x:f>
        <x:v>0</x:v>
      </x:c>
      <x:c r="T117" t="n">
        <x:f>IF(OR($N117&lt;&gt;"Finalizado",$Q117&lt;&gt;"Si"),0,Reglas!$B$3)</x:f>
        <x:v>3</x:v>
      </x:c>
      <x:c r="U117" t="n">
        <x:f>IF(OR($N117&lt;&gt;"Finalizado",$Q117&lt;&gt;"Si"),0,IF($I117=$M117,Reglas!$B$4,0))</x:f>
        <x:v>0</x:v>
      </x:c>
      <x:c r="V117" t="n">
        <x:f>IF(OR($N117&lt;&gt;"Finalizado",$Q117&lt;&gt;"Si",$R117&lt;&gt;"Si"),0,IF(AND($F117=$J117,$G117=$K117),Reglas!$B$5,0))</x:f>
        <x:v>0</x:v>
      </x:c>
      <x:c r="W117" t="n">
        <x:f>IF(OR($N117&lt;&gt;"Finalizado",$Q117&lt;&gt;"Si",$R117&lt;&gt;"Si"),0,IF($F117-$G117=$J117-$K117,Reglas!$B$6,0))</x:f>
        <x:v>0</x:v>
      </x:c>
      <x:c r="X117" t="n">
        <x:f>IF(OR($N117&lt;&gt;"Finalizado",$Q117&lt;&gt;"Si",$R117&lt;&gt;"Si"),0,IF($F117=$J117,Reglas!$B$7,0))</x:f>
        <x:v>0</x:v>
      </x:c>
      <x:c r="Y117" t="n">
        <x:f>IF(OR($N117&lt;&gt;"Finalizado",$Q117&lt;&gt;"Si",$R117&lt;&gt;"Si"),0,IF($G117=$K117,Reglas!$B$8,0))</x:f>
        <x:v>0</x:v>
      </x:c>
      <x:c r="Z117" t="n">
        <x:f>SUM($S117:$Y117)</x:f>
        <x:v>3</x:v>
      </x:c>
      <x:c r="AA117" t="str">
        <x:f>IF($N117&lt;&gt;"Finalizado","Resultado pendiente",IF($H117="Sin envio","Sin respuesta",IF($Q117&lt;&gt;"Si","No acerto clasificado","OK")))</x:f>
        <x:v>OK</x:v>
      </x:c>
      <x:c r="AB117" t="str">
        <x:v>8vos detalle reconstruido</x:v>
      </x:c>
      <x:c r="AC117" t="n">
        <x:v>3</x:v>
      </x:c>
      <x:c r="AD117" t="n">
        <x:f>$Z117-$AC117</x:f>
        <x:v>0</x:v>
      </x:c>
    </x:row>
    <x:row r="118" ht="15" hidden="0" customHeight="1">
      <x:c r="A118" t="str">
        <x:v>8vos</x:v>
      </x:c>
      <x:c r="B118" t="str">
        <x:v>O6</x:v>
      </x:c>
      <x:c r="C118" t="str">
        <x:v>Aldo</x:v>
      </x:c>
      <x:c r="D118" t="str">
        <x:v>Portugal</x:v>
      </x:c>
      <x:c r="E118" t="str">
        <x:v>Espana</x:v>
      </x:c>
      <x:c r="F118" t="n">
        <x:v>2</x:v>
      </x:c>
      <x:c r="G118" t="n">
        <x:v>1</x:v>
      </x:c>
      <x:c r="H118" t="str">
        <x:v>Portugal</x:v>
      </x:c>
      <x:c r="I118" t="str">
        <x:v>90 minutos</x:v>
      </x:c>
      <x:c r="J118" t="n">
        <x:v>0</x:v>
      </x:c>
      <x:c r="K118" t="n">
        <x:v>1</x:v>
      </x:c>
      <x:c r="L118" t="str">
        <x:v>Espana</x:v>
      </x:c>
      <x:c r="M118" t="str">
        <x:v>90 minutos</x:v>
      </x:c>
      <x:c r="N118" t="str">
        <x:v>Finalizado</x:v>
      </x:c>
      <x:c r="O118" t="str">
        <x:f>IF($H118="Sin envio","Sin envio",IF($I118="90 minutos",IF($F118&gt;$G118,"A",IF($G118&gt;$F118,"B","E")),"E"))</x:f>
        <x:v>A</x:v>
      </x:c>
      <x:c r="P118" t="str">
        <x:f>IF($M118="90 minutos",IF($J118&gt;$K118,"A",IF($K118&gt;$J118,"B","E")),"E")</x:f>
        <x:v>B</x:v>
      </x:c>
      <x:c r="Q118" t="str">
        <x:f>IF($H118="Sin envio","No",IF($H118=$L118,"Si","No"))</x:f>
        <x:v>No</x:v>
      </x:c>
      <x:c r="R118" t="str">
        <x:f>IF(AND($I118=$M118,NOT(AND($I118="Penales",$F118&lt;&gt;$G118))),"Si","No")</x:f>
        <x:v>Si</x:v>
      </x:c>
      <x:c r="S118" t="n">
        <x:f>IF(OR($N118&lt;&gt;"Finalizado",$Q118&lt;&gt;"Si"),0,IF($O118=$P118,Reglas!$B$2,0))</x:f>
        <x:v>0</x:v>
      </x:c>
      <x:c r="T118" t="n">
        <x:f>IF(OR($N118&lt;&gt;"Finalizado",$Q118&lt;&gt;"Si"),0,Reglas!$B$3)</x:f>
        <x:v>0</x:v>
      </x:c>
      <x:c r="U118" t="n">
        <x:f>IF(OR($N118&lt;&gt;"Finalizado",$Q118&lt;&gt;"Si"),0,IF($I118=$M118,Reglas!$B$4,0))</x:f>
        <x:v>0</x:v>
      </x:c>
      <x:c r="V118" t="n">
        <x:f>IF(OR($N118&lt;&gt;"Finalizado",$Q118&lt;&gt;"Si",$R118&lt;&gt;"Si"),0,IF(AND($F118=$J118,$G118=$K118),Reglas!$B$5,0))</x:f>
        <x:v>0</x:v>
      </x:c>
      <x:c r="W118" t="n">
        <x:f>IF(OR($N118&lt;&gt;"Finalizado",$Q118&lt;&gt;"Si",$R118&lt;&gt;"Si"),0,IF($F118-$G118=$J118-$K118,Reglas!$B$6,0))</x:f>
        <x:v>0</x:v>
      </x:c>
      <x:c r="X118" t="n">
        <x:f>IF(OR($N118&lt;&gt;"Finalizado",$Q118&lt;&gt;"Si",$R118&lt;&gt;"Si"),0,IF($F118=$J118,Reglas!$B$7,0))</x:f>
        <x:v>0</x:v>
      </x:c>
      <x:c r="Y118" t="n">
        <x:f>IF(OR($N118&lt;&gt;"Finalizado",$Q118&lt;&gt;"Si",$R118&lt;&gt;"Si"),0,IF($G118=$K118,Reglas!$B$8,0))</x:f>
        <x:v>0</x:v>
      </x:c>
      <x:c r="Z118" t="n">
        <x:f>SUM($S118:$Y118)</x:f>
        <x:v>0</x:v>
      </x:c>
      <x:c r="AA118" t="str">
        <x:f>IF($N118&lt;&gt;"Finalizado","Resultado pendiente",IF($H118="Sin envio","Sin respuesta",IF($Q118&lt;&gt;"Si","No acerto clasificado","OK")))</x:f>
        <x:v>No acerto clasificado</x:v>
      </x:c>
      <x:c r="AB118" t="str">
        <x:v>8vos detalle reconstruido</x:v>
      </x:c>
      <x:c r="AC118" t="n">
        <x:v>0</x:v>
      </x:c>
      <x:c r="AD118" t="n">
        <x:f>$Z118-$AC118</x:f>
        <x:v>0</x:v>
      </x:c>
    </x:row>
    <x:row r="119" ht="15" hidden="0" customHeight="1">
      <x:c r="A119" t="str">
        <x:v>8vos</x:v>
      </x:c>
      <x:c r="B119" t="str">
        <x:v>O6</x:v>
      </x:c>
      <x:c r="C119" t="str">
        <x:v>Javier</x:v>
      </x:c>
      <x:c r="D119" t="str">
        <x:v>Portugal</x:v>
      </x:c>
      <x:c r="E119" t="str">
        <x:v>Espana</x:v>
      </x:c>
      <x:c r="F119" t="n">
        <x:v>2</x:v>
      </x:c>
      <x:c r="G119" t="n">
        <x:v>1</x:v>
      </x:c>
      <x:c r="H119" t="str">
        <x:v>Portugal</x:v>
      </x:c>
      <x:c r="I119" t="str">
        <x:v>Suplementario</x:v>
      </x:c>
      <x:c r="J119" t="n">
        <x:v>0</x:v>
      </x:c>
      <x:c r="K119" t="n">
        <x:v>1</x:v>
      </x:c>
      <x:c r="L119" t="str">
        <x:v>Espana</x:v>
      </x:c>
      <x:c r="M119" t="str">
        <x:v>90 minutos</x:v>
      </x:c>
      <x:c r="N119" t="str">
        <x:v>Finalizado</x:v>
      </x:c>
      <x:c r="O119" t="str">
        <x:f>IF($H119="Sin envio","Sin envio",IF($I119="90 minutos",IF($F119&gt;$G119,"A",IF($G119&gt;$F119,"B","E")),"E"))</x:f>
        <x:v>E</x:v>
      </x:c>
      <x:c r="P119" t="str">
        <x:f>IF($M119="90 minutos",IF($J119&gt;$K119,"A",IF($K119&gt;$J119,"B","E")),"E")</x:f>
        <x:v>B</x:v>
      </x:c>
      <x:c r="Q119" t="str">
        <x:f>IF($H119="Sin envio","No",IF($H119=$L119,"Si","No"))</x:f>
        <x:v>No</x:v>
      </x:c>
      <x:c r="R119" t="str">
        <x:f>IF(AND($I119=$M119,NOT(AND($I119="Penales",$F119&lt;&gt;$G119))),"Si","No")</x:f>
        <x:v>No</x:v>
      </x:c>
      <x:c r="S119" t="n">
        <x:f>IF(OR($N119&lt;&gt;"Finalizado",$Q119&lt;&gt;"Si"),0,IF($O119=$P119,Reglas!$B$2,0))</x:f>
        <x:v>0</x:v>
      </x:c>
      <x:c r="T119" t="n">
        <x:f>IF(OR($N119&lt;&gt;"Finalizado",$Q119&lt;&gt;"Si"),0,Reglas!$B$3)</x:f>
        <x:v>0</x:v>
      </x:c>
      <x:c r="U119" t="n">
        <x:f>IF(OR($N119&lt;&gt;"Finalizado",$Q119&lt;&gt;"Si"),0,IF($I119=$M119,Reglas!$B$4,0))</x:f>
        <x:v>0</x:v>
      </x:c>
      <x:c r="V119" t="n">
        <x:f>IF(OR($N119&lt;&gt;"Finalizado",$Q119&lt;&gt;"Si",$R119&lt;&gt;"Si"),0,IF(AND($F119=$J119,$G119=$K119),Reglas!$B$5,0))</x:f>
        <x:v>0</x:v>
      </x:c>
      <x:c r="W119" t="n">
        <x:f>IF(OR($N119&lt;&gt;"Finalizado",$Q119&lt;&gt;"Si",$R119&lt;&gt;"Si"),0,IF($F119-$G119=$J119-$K119,Reglas!$B$6,0))</x:f>
        <x:v>0</x:v>
      </x:c>
      <x:c r="X119" t="n">
        <x:f>IF(OR($N119&lt;&gt;"Finalizado",$Q119&lt;&gt;"Si",$R119&lt;&gt;"Si"),0,IF($F119=$J119,Reglas!$B$7,0))</x:f>
        <x:v>0</x:v>
      </x:c>
      <x:c r="Y119" t="n">
        <x:f>IF(OR($N119&lt;&gt;"Finalizado",$Q119&lt;&gt;"Si",$R119&lt;&gt;"Si"),0,IF($G119=$K119,Reglas!$B$8,0))</x:f>
        <x:v>0</x:v>
      </x:c>
      <x:c r="Z119" t="n">
        <x:f>SUM($S119:$Y119)</x:f>
        <x:v>0</x:v>
      </x:c>
      <x:c r="AA119" t="str">
        <x:f>IF($N119&lt;&gt;"Finalizado","Resultado pendiente",IF($H119="Sin envio","Sin respuesta",IF($Q119&lt;&gt;"Si","No acerto clasificado","OK")))</x:f>
        <x:v>No acerto clasificado</x:v>
      </x:c>
      <x:c r="AB119" t="str">
        <x:v>8vos detalle reconstruido</x:v>
      </x:c>
      <x:c r="AC119" t="n">
        <x:v>0</x:v>
      </x:c>
      <x:c r="AD119" t="n">
        <x:f>$Z119-$AC119</x:f>
        <x:v>0</x:v>
      </x:c>
    </x:row>
    <x:row r="120" ht="15" hidden="0" customHeight="1">
      <x:c r="A120" t="str">
        <x:v>8vos</x:v>
      </x:c>
      <x:c r="B120" t="str">
        <x:v>O6</x:v>
      </x:c>
      <x:c r="C120" t="str">
        <x:v>Gino</x:v>
      </x:c>
      <x:c r="D120" t="str">
        <x:v>Portugal</x:v>
      </x:c>
      <x:c r="E120" t="str">
        <x:v>Espana</x:v>
      </x:c>
      <x:c r="F120" t="n">
        <x:v>1</x:v>
      </x:c>
      <x:c r="G120" t="n">
        <x:v>3</x:v>
      </x:c>
      <x:c r="H120" t="str">
        <x:v>Espana</x:v>
      </x:c>
      <x:c r="I120" t="str">
        <x:v>90 minutos</x:v>
      </x:c>
      <x:c r="J120" t="n">
        <x:v>0</x:v>
      </x:c>
      <x:c r="K120" t="n">
        <x:v>1</x:v>
      </x:c>
      <x:c r="L120" t="str">
        <x:v>Espana</x:v>
      </x:c>
      <x:c r="M120" t="str">
        <x:v>90 minutos</x:v>
      </x:c>
      <x:c r="N120" t="str">
        <x:v>Finalizado</x:v>
      </x:c>
      <x:c r="O120" t="str">
        <x:f>IF($H120="Sin envio","Sin envio",IF($I120="90 minutos",IF($F120&gt;$G120,"A",IF($G120&gt;$F120,"B","E")),"E"))</x:f>
        <x:v>B</x:v>
      </x:c>
      <x:c r="P120" t="str">
        <x:f>IF($M120="90 minutos",IF($J120&gt;$K120,"A",IF($K120&gt;$J120,"B","E")),"E")</x:f>
        <x:v>B</x:v>
      </x:c>
      <x:c r="Q120" t="str">
        <x:f>IF($H120="Sin envio","No",IF($H120=$L120,"Si","No"))</x:f>
        <x:v>Si</x:v>
      </x:c>
      <x:c r="R120" t="str">
        <x:f>IF(AND($I120=$M120,NOT(AND($I120="Penales",$F120&lt;&gt;$G120))),"Si","No")</x:f>
        <x:v>Si</x:v>
      </x:c>
      <x:c r="S120" t="n">
        <x:f>IF(OR($N120&lt;&gt;"Finalizado",$Q120&lt;&gt;"Si"),0,IF($O120=$P120,Reglas!$B$2,0))</x:f>
        <x:v>5</x:v>
      </x:c>
      <x:c r="T120" t="n">
        <x:f>IF(OR($N120&lt;&gt;"Finalizado",$Q120&lt;&gt;"Si"),0,Reglas!$B$3)</x:f>
        <x:v>3</x:v>
      </x:c>
      <x:c r="U120" t="n">
        <x:f>IF(OR($N120&lt;&gt;"Finalizado",$Q120&lt;&gt;"Si"),0,IF($I120=$M120,Reglas!$B$4,0))</x:f>
        <x:v>2</x:v>
      </x:c>
      <x:c r="V120" t="n">
        <x:f>IF(OR($N120&lt;&gt;"Finalizado",$Q120&lt;&gt;"Si",$R120&lt;&gt;"Si"),0,IF(AND($F120=$J120,$G120=$K120),Reglas!$B$5,0))</x:f>
        <x:v>0</x:v>
      </x:c>
      <x:c r="W120" t="n">
        <x:f>IF(OR($N120&lt;&gt;"Finalizado",$Q120&lt;&gt;"Si",$R120&lt;&gt;"Si"),0,IF($F120-$G120=$J120-$K120,Reglas!$B$6,0))</x:f>
        <x:v>0</x:v>
      </x:c>
      <x:c r="X120" t="n">
        <x:f>IF(OR($N120&lt;&gt;"Finalizado",$Q120&lt;&gt;"Si",$R120&lt;&gt;"Si"),0,IF($F120=$J120,Reglas!$B$7,0))</x:f>
        <x:v>0</x:v>
      </x:c>
      <x:c r="Y120" t="n">
        <x:f>IF(OR($N120&lt;&gt;"Finalizado",$Q120&lt;&gt;"Si",$R120&lt;&gt;"Si"),0,IF($G120=$K120,Reglas!$B$8,0))</x:f>
        <x:v>0</x:v>
      </x:c>
      <x:c r="Z120" t="n">
        <x:f>SUM($S120:$Y120)</x:f>
        <x:v>10</x:v>
      </x:c>
      <x:c r="AA120" t="str">
        <x:f>IF($N120&lt;&gt;"Finalizado","Resultado pendiente",IF($H120="Sin envio","Sin respuesta",IF($Q120&lt;&gt;"Si","No acerto clasificado","OK")))</x:f>
        <x:v>OK</x:v>
      </x:c>
      <x:c r="AB120" t="str">
        <x:v>8vos detalle reconstruido</x:v>
      </x:c>
      <x:c r="AC120" t="n">
        <x:v>10</x:v>
      </x:c>
      <x:c r="AD120" t="n">
        <x:f>$Z120-$AC120</x:f>
        <x:v>0</x:v>
      </x:c>
    </x:row>
    <x:row r="121" ht="15" hidden="0" customHeight="1">
      <x:c r="A121" t="str">
        <x:v>8vos</x:v>
      </x:c>
      <x:c r="B121" t="str">
        <x:v>O6</x:v>
      </x:c>
      <x:c r="C121" t="str">
        <x:v>Manuel</x:v>
      </x:c>
      <x:c r="D121" t="str">
        <x:v>Portugal</x:v>
      </x:c>
      <x:c r="E121" t="str">
        <x:v>Espana</x:v>
      </x:c>
      <x:c r="F121" t="n">
        <x:v>3</x:v>
      </x:c>
      <x:c r="G121" t="n">
        <x:v>2</x:v>
      </x:c>
      <x:c r="H121" t="str">
        <x:v>Portugal</x:v>
      </x:c>
      <x:c r="I121" t="str">
        <x:v>Suplementario</x:v>
      </x:c>
      <x:c r="J121" t="n">
        <x:v>0</x:v>
      </x:c>
      <x:c r="K121" t="n">
        <x:v>1</x:v>
      </x:c>
      <x:c r="L121" t="str">
        <x:v>Espana</x:v>
      </x:c>
      <x:c r="M121" t="str">
        <x:v>90 minutos</x:v>
      </x:c>
      <x:c r="N121" t="str">
        <x:v>Finalizado</x:v>
      </x:c>
      <x:c r="O121" t="str">
        <x:f>IF($H121="Sin envio","Sin envio",IF($I121="90 minutos",IF($F121&gt;$G121,"A",IF($G121&gt;$F121,"B","E")),"E"))</x:f>
        <x:v>E</x:v>
      </x:c>
      <x:c r="P121" t="str">
        <x:f>IF($M121="90 minutos",IF($J121&gt;$K121,"A",IF($K121&gt;$J121,"B","E")),"E")</x:f>
        <x:v>B</x:v>
      </x:c>
      <x:c r="Q121" t="str">
        <x:f>IF($H121="Sin envio","No",IF($H121=$L121,"Si","No"))</x:f>
        <x:v>No</x:v>
      </x:c>
      <x:c r="R121" t="str">
        <x:f>IF(AND($I121=$M121,NOT(AND($I121="Penales",$F121&lt;&gt;$G121))),"Si","No")</x:f>
        <x:v>No</x:v>
      </x:c>
      <x:c r="S121" t="n">
        <x:f>IF(OR($N121&lt;&gt;"Finalizado",$Q121&lt;&gt;"Si"),0,IF($O121=$P121,Reglas!$B$2,0))</x:f>
        <x:v>0</x:v>
      </x:c>
      <x:c r="T121" t="n">
        <x:f>IF(OR($N121&lt;&gt;"Finalizado",$Q121&lt;&gt;"Si"),0,Reglas!$B$3)</x:f>
        <x:v>0</x:v>
      </x:c>
      <x:c r="U121" t="n">
        <x:f>IF(OR($N121&lt;&gt;"Finalizado",$Q121&lt;&gt;"Si"),0,IF($I121=$M121,Reglas!$B$4,0))</x:f>
        <x:v>0</x:v>
      </x:c>
      <x:c r="V121" t="n">
        <x:f>IF(OR($N121&lt;&gt;"Finalizado",$Q121&lt;&gt;"Si",$R121&lt;&gt;"Si"),0,IF(AND($F121=$J121,$G121=$K121),Reglas!$B$5,0))</x:f>
        <x:v>0</x:v>
      </x:c>
      <x:c r="W121" t="n">
        <x:f>IF(OR($N121&lt;&gt;"Finalizado",$Q121&lt;&gt;"Si",$R121&lt;&gt;"Si"),0,IF($F121-$G121=$J121-$K121,Reglas!$B$6,0))</x:f>
        <x:v>0</x:v>
      </x:c>
      <x:c r="X121" t="n">
        <x:f>IF(OR($N121&lt;&gt;"Finalizado",$Q121&lt;&gt;"Si",$R121&lt;&gt;"Si"),0,IF($F121=$J121,Reglas!$B$7,0))</x:f>
        <x:v>0</x:v>
      </x:c>
      <x:c r="Y121" t="n">
        <x:f>IF(OR($N121&lt;&gt;"Finalizado",$Q121&lt;&gt;"Si",$R121&lt;&gt;"Si"),0,IF($G121=$K121,Reglas!$B$8,0))</x:f>
        <x:v>0</x:v>
      </x:c>
      <x:c r="Z121" t="n">
        <x:f>SUM($S121:$Y121)</x:f>
        <x:v>0</x:v>
      </x:c>
      <x:c r="AA121" t="str">
        <x:f>IF($N121&lt;&gt;"Finalizado","Resultado pendiente",IF($H121="Sin envio","Sin respuesta",IF($Q121&lt;&gt;"Si","No acerto clasificado","OK")))</x:f>
        <x:v>No acerto clasificado</x:v>
      </x:c>
      <x:c r="AB121" t="str">
        <x:v>8vos detalle reconstruido</x:v>
      </x:c>
      <x:c r="AC121" t="n">
        <x:v>0</x:v>
      </x:c>
      <x:c r="AD121" t="n">
        <x:f>$Z121-$AC121</x:f>
        <x:v>0</x:v>
      </x:c>
    </x:row>
    <x:row r="122" ht="15" hidden="0" customHeight="1">
      <x:c r="A122" t="str">
        <x:v>8vos</x:v>
      </x:c>
      <x:c r="B122" t="str">
        <x:v>O6</x:v>
      </x:c>
      <x:c r="C122" t="str">
        <x:v>Jorge</x:v>
      </x:c>
      <x:c r="D122" t="str">
        <x:v>Portugal</x:v>
      </x:c>
      <x:c r="E122" t="str">
        <x:v>Espana</x:v>
      </x:c>
      <x:c r="F122" t="n">
        <x:v>2</x:v>
      </x:c>
      <x:c r="G122" t="n">
        <x:v>4</x:v>
      </x:c>
      <x:c r="H122" t="str">
        <x:v>Espana</x:v>
      </x:c>
      <x:c r="I122" t="str">
        <x:v>90 minutos</x:v>
      </x:c>
      <x:c r="J122" t="n">
        <x:v>0</x:v>
      </x:c>
      <x:c r="K122" t="n">
        <x:v>1</x:v>
      </x:c>
      <x:c r="L122" t="str">
        <x:v>Espana</x:v>
      </x:c>
      <x:c r="M122" t="str">
        <x:v>90 minutos</x:v>
      </x:c>
      <x:c r="N122" t="str">
        <x:v>Finalizado</x:v>
      </x:c>
      <x:c r="O122" t="str">
        <x:f>IF($H122="Sin envio","Sin envio",IF($I122="90 minutos",IF($F122&gt;$G122,"A",IF($G122&gt;$F122,"B","E")),"E"))</x:f>
        <x:v>B</x:v>
      </x:c>
      <x:c r="P122" t="str">
        <x:f>IF($M122="90 minutos",IF($J122&gt;$K122,"A",IF($K122&gt;$J122,"B","E")),"E")</x:f>
        <x:v>B</x:v>
      </x:c>
      <x:c r="Q122" t="str">
        <x:f>IF($H122="Sin envio","No",IF($H122=$L122,"Si","No"))</x:f>
        <x:v>Si</x:v>
      </x:c>
      <x:c r="R122" t="str">
        <x:f>IF(AND($I122=$M122,NOT(AND($I122="Penales",$F122&lt;&gt;$G122))),"Si","No")</x:f>
        <x:v>Si</x:v>
      </x:c>
      <x:c r="S122" t="n">
        <x:f>IF(OR($N122&lt;&gt;"Finalizado",$Q122&lt;&gt;"Si"),0,IF($O122=$P122,Reglas!$B$2,0))</x:f>
        <x:v>5</x:v>
      </x:c>
      <x:c r="T122" t="n">
        <x:f>IF(OR($N122&lt;&gt;"Finalizado",$Q122&lt;&gt;"Si"),0,Reglas!$B$3)</x:f>
        <x:v>3</x:v>
      </x:c>
      <x:c r="U122" t="n">
        <x:f>IF(OR($N122&lt;&gt;"Finalizado",$Q122&lt;&gt;"Si"),0,IF($I122=$M122,Reglas!$B$4,0))</x:f>
        <x:v>2</x:v>
      </x:c>
      <x:c r="V122" t="n">
        <x:f>IF(OR($N122&lt;&gt;"Finalizado",$Q122&lt;&gt;"Si",$R122&lt;&gt;"Si"),0,IF(AND($F122=$J122,$G122=$K122),Reglas!$B$5,0))</x:f>
        <x:v>0</x:v>
      </x:c>
      <x:c r="W122" t="n">
        <x:f>IF(OR($N122&lt;&gt;"Finalizado",$Q122&lt;&gt;"Si",$R122&lt;&gt;"Si"),0,IF($F122-$G122=$J122-$K122,Reglas!$B$6,0))</x:f>
        <x:v>0</x:v>
      </x:c>
      <x:c r="X122" t="n">
        <x:f>IF(OR($N122&lt;&gt;"Finalizado",$Q122&lt;&gt;"Si",$R122&lt;&gt;"Si"),0,IF($F122=$J122,Reglas!$B$7,0))</x:f>
        <x:v>0</x:v>
      </x:c>
      <x:c r="Y122" t="n">
        <x:f>IF(OR($N122&lt;&gt;"Finalizado",$Q122&lt;&gt;"Si",$R122&lt;&gt;"Si"),0,IF($G122=$K122,Reglas!$B$8,0))</x:f>
        <x:v>0</x:v>
      </x:c>
      <x:c r="Z122" t="n">
        <x:f>SUM($S122:$Y122)</x:f>
        <x:v>10</x:v>
      </x:c>
      <x:c r="AA122" t="str">
        <x:f>IF($N122&lt;&gt;"Finalizado","Resultado pendiente",IF($H122="Sin envio","Sin respuesta",IF($Q122&lt;&gt;"Si","No acerto clasificado","OK")))</x:f>
        <x:v>OK</x:v>
      </x:c>
      <x:c r="AB122" t="str">
        <x:v>8vos detalle reconstruido</x:v>
      </x:c>
      <x:c r="AC122" t="n">
        <x:v>10</x:v>
      </x:c>
      <x:c r="AD122" t="n">
        <x:f>$Z122-$AC122</x:f>
        <x:v>0</x:v>
      </x:c>
    </x:row>
    <x:row r="123" ht="15" hidden="0" customHeight="1">
      <x:c r="A123" t="str">
        <x:v>8vos</x:v>
      </x:c>
      <x:c r="B123" t="str">
        <x:v>O6</x:v>
      </x:c>
      <x:c r="C123" t="str">
        <x:v>Daniel</x:v>
      </x:c>
      <x:c r="D123" t="str">
        <x:v>Portugal</x:v>
      </x:c>
      <x:c r="E123" t="str">
        <x:v>Espana</x:v>
      </x:c>
      <x:c r="F123" t="n">
        <x:v>2</x:v>
      </x:c>
      <x:c r="G123" t="n">
        <x:v>2</x:v>
      </x:c>
      <x:c r="H123" t="str">
        <x:v>Portugal</x:v>
      </x:c>
      <x:c r="I123" t="str">
        <x:v>Penales</x:v>
      </x:c>
      <x:c r="J123" t="n">
        <x:v>0</x:v>
      </x:c>
      <x:c r="K123" t="n">
        <x:v>1</x:v>
      </x:c>
      <x:c r="L123" t="str">
        <x:v>Espana</x:v>
      </x:c>
      <x:c r="M123" t="str">
        <x:v>90 minutos</x:v>
      </x:c>
      <x:c r="N123" t="str">
        <x:v>Finalizado</x:v>
      </x:c>
      <x:c r="O123" t="str">
        <x:f>IF($H123="Sin envio","Sin envio",IF($I123="90 minutos",IF($F123&gt;$G123,"A",IF($G123&gt;$F123,"B","E")),"E"))</x:f>
        <x:v>E</x:v>
      </x:c>
      <x:c r="P123" t="str">
        <x:f>IF($M123="90 minutos",IF($J123&gt;$K123,"A",IF($K123&gt;$J123,"B","E")),"E")</x:f>
        <x:v>B</x:v>
      </x:c>
      <x:c r="Q123" t="str">
        <x:f>IF($H123="Sin envio","No",IF($H123=$L123,"Si","No"))</x:f>
        <x:v>No</x:v>
      </x:c>
      <x:c r="R123" t="str">
        <x:f>IF(AND($I123=$M123,NOT(AND($I123="Penales",$F123&lt;&gt;$G123))),"Si","No")</x:f>
        <x:v>No</x:v>
      </x:c>
      <x:c r="S123" t="n">
        <x:f>IF(OR($N123&lt;&gt;"Finalizado",$Q123&lt;&gt;"Si"),0,IF($O123=$P123,Reglas!$B$2,0))</x:f>
        <x:v>0</x:v>
      </x:c>
      <x:c r="T123" t="n">
        <x:f>IF(OR($N123&lt;&gt;"Finalizado",$Q123&lt;&gt;"Si"),0,Reglas!$B$3)</x:f>
        <x:v>0</x:v>
      </x:c>
      <x:c r="U123" t="n">
        <x:f>IF(OR($N123&lt;&gt;"Finalizado",$Q123&lt;&gt;"Si"),0,IF($I123=$M123,Reglas!$B$4,0))</x:f>
        <x:v>0</x:v>
      </x:c>
      <x:c r="V123" t="n">
        <x:f>IF(OR($N123&lt;&gt;"Finalizado",$Q123&lt;&gt;"Si",$R123&lt;&gt;"Si"),0,IF(AND($F123=$J123,$G123=$K123),Reglas!$B$5,0))</x:f>
        <x:v>0</x:v>
      </x:c>
      <x:c r="W123" t="n">
        <x:f>IF(OR($N123&lt;&gt;"Finalizado",$Q123&lt;&gt;"Si",$R123&lt;&gt;"Si"),0,IF($F123-$G123=$J123-$K123,Reglas!$B$6,0))</x:f>
        <x:v>0</x:v>
      </x:c>
      <x:c r="X123" t="n">
        <x:f>IF(OR($N123&lt;&gt;"Finalizado",$Q123&lt;&gt;"Si",$R123&lt;&gt;"Si"),0,IF($F123=$J123,Reglas!$B$7,0))</x:f>
        <x:v>0</x:v>
      </x:c>
      <x:c r="Y123" t="n">
        <x:f>IF(OR($N123&lt;&gt;"Finalizado",$Q123&lt;&gt;"Si",$R123&lt;&gt;"Si"),0,IF($G123=$K123,Reglas!$B$8,0))</x:f>
        <x:v>0</x:v>
      </x:c>
      <x:c r="Z123" t="n">
        <x:f>SUM($S123:$Y123)</x:f>
        <x:v>0</x:v>
      </x:c>
      <x:c r="AA123" t="str">
        <x:f>IF($N123&lt;&gt;"Finalizado","Resultado pendiente",IF($H123="Sin envio","Sin respuesta",IF($Q123&lt;&gt;"Si","No acerto clasificado","OK")))</x:f>
        <x:v>No acerto clasificado</x:v>
      </x:c>
      <x:c r="AB123" t="str">
        <x:v>8vos detalle reconstruido</x:v>
      </x:c>
      <x:c r="AC123" t="n">
        <x:v>0</x:v>
      </x:c>
      <x:c r="AD123" t="n">
        <x:f>$Z123-$AC123</x:f>
        <x:v>0</x:v>
      </x:c>
    </x:row>
    <x:row r="124" ht="15" hidden="0" customHeight="1">
      <x:c r="A124" t="str">
        <x:v>8vos</x:v>
      </x:c>
      <x:c r="B124" t="str">
        <x:v>O6</x:v>
      </x:c>
      <x:c r="C124" t="str">
        <x:v>Arthur</x:v>
      </x:c>
      <x:c r="D124" t="str">
        <x:v>Portugal</x:v>
      </x:c>
      <x:c r="E124" t="str">
        <x:v>Espana</x:v>
      </x:c>
      <x:c r="F124" t="n">
        <x:v>2</x:v>
      </x:c>
      <x:c r="G124" t="n">
        <x:v>1</x:v>
      </x:c>
      <x:c r="H124" t="str">
        <x:v>Portugal</x:v>
      </x:c>
      <x:c r="I124" t="str">
        <x:v>90 minutos</x:v>
      </x:c>
      <x:c r="J124" t="n">
        <x:v>0</x:v>
      </x:c>
      <x:c r="K124" t="n">
        <x:v>1</x:v>
      </x:c>
      <x:c r="L124" t="str">
        <x:v>Espana</x:v>
      </x:c>
      <x:c r="M124" t="str">
        <x:v>90 minutos</x:v>
      </x:c>
      <x:c r="N124" t="str">
        <x:v>Finalizado</x:v>
      </x:c>
      <x:c r="O124" t="str">
        <x:f>IF($H124="Sin envio","Sin envio",IF($I124="90 minutos",IF($F124&gt;$G124,"A",IF($G124&gt;$F124,"B","E")),"E"))</x:f>
        <x:v>A</x:v>
      </x:c>
      <x:c r="P124" t="str">
        <x:f>IF($M124="90 minutos",IF($J124&gt;$K124,"A",IF($K124&gt;$J124,"B","E")),"E")</x:f>
        <x:v>B</x:v>
      </x:c>
      <x:c r="Q124" t="str">
        <x:f>IF($H124="Sin envio","No",IF($H124=$L124,"Si","No"))</x:f>
        <x:v>No</x:v>
      </x:c>
      <x:c r="R124" t="str">
        <x:f>IF(AND($I124=$M124,NOT(AND($I124="Penales",$F124&lt;&gt;$G124))),"Si","No")</x:f>
        <x:v>Si</x:v>
      </x:c>
      <x:c r="S124" t="n">
        <x:f>IF(OR($N124&lt;&gt;"Finalizado",$Q124&lt;&gt;"Si"),0,IF($O124=$P124,Reglas!$B$2,0))</x:f>
        <x:v>0</x:v>
      </x:c>
      <x:c r="T124" t="n">
        <x:f>IF(OR($N124&lt;&gt;"Finalizado",$Q124&lt;&gt;"Si"),0,Reglas!$B$3)</x:f>
        <x:v>0</x:v>
      </x:c>
      <x:c r="U124" t="n">
        <x:f>IF(OR($N124&lt;&gt;"Finalizado",$Q124&lt;&gt;"Si"),0,IF($I124=$M124,Reglas!$B$4,0))</x:f>
        <x:v>0</x:v>
      </x:c>
      <x:c r="V124" t="n">
        <x:f>IF(OR($N124&lt;&gt;"Finalizado",$Q124&lt;&gt;"Si",$R124&lt;&gt;"Si"),0,IF(AND($F124=$J124,$G124=$K124),Reglas!$B$5,0))</x:f>
        <x:v>0</x:v>
      </x:c>
      <x:c r="W124" t="n">
        <x:f>IF(OR($N124&lt;&gt;"Finalizado",$Q124&lt;&gt;"Si",$R124&lt;&gt;"Si"),0,IF($F124-$G124=$J124-$K124,Reglas!$B$6,0))</x:f>
        <x:v>0</x:v>
      </x:c>
      <x:c r="X124" t="n">
        <x:f>IF(OR($N124&lt;&gt;"Finalizado",$Q124&lt;&gt;"Si",$R124&lt;&gt;"Si"),0,IF($F124=$J124,Reglas!$B$7,0))</x:f>
        <x:v>0</x:v>
      </x:c>
      <x:c r="Y124" t="n">
        <x:f>IF(OR($N124&lt;&gt;"Finalizado",$Q124&lt;&gt;"Si",$R124&lt;&gt;"Si"),0,IF($G124=$K124,Reglas!$B$8,0))</x:f>
        <x:v>0</x:v>
      </x:c>
      <x:c r="Z124" t="n">
        <x:f>SUM($S124:$Y124)</x:f>
        <x:v>0</x:v>
      </x:c>
      <x:c r="AA124" t="str">
        <x:f>IF($N124&lt;&gt;"Finalizado","Resultado pendiente",IF($H124="Sin envio","Sin respuesta",IF($Q124&lt;&gt;"Si","No acerto clasificado","OK")))</x:f>
        <x:v>No acerto clasificado</x:v>
      </x:c>
      <x:c r="AB124" t="str">
        <x:v>8vos detalle reconstruido</x:v>
      </x:c>
      <x:c r="AC124" t="n">
        <x:v>0</x:v>
      </x:c>
      <x:c r="AD124" t="n">
        <x:f>$Z124-$AC124</x:f>
        <x:v>0</x:v>
      </x:c>
    </x:row>
    <x:row r="125" ht="15" hidden="0" customHeight="1">
      <x:c r="A125" t="str">
        <x:v>8vos</x:v>
      </x:c>
      <x:c r="B125" t="str">
        <x:v>O6</x:v>
      </x:c>
      <x:c r="C125" t="str">
        <x:v>José Luis</x:v>
      </x:c>
      <x:c r="D125" t="str">
        <x:v>Portugal</x:v>
      </x:c>
      <x:c r="E125" t="str">
        <x:v>Espana</x:v>
      </x:c>
      <x:c r="F125"/>
      <x:c r="G125"/>
      <x:c r="H125" t="str">
        <x:v>Sin envio</x:v>
      </x:c>
      <x:c r="I125" t="str">
        <x:v>Sin envio</x:v>
      </x:c>
      <x:c r="J125" t="n">
        <x:v>0</x:v>
      </x:c>
      <x:c r="K125" t="n">
        <x:v>1</x:v>
      </x:c>
      <x:c r="L125" t="str">
        <x:v>Espana</x:v>
      </x:c>
      <x:c r="M125" t="str">
        <x:v>90 minutos</x:v>
      </x:c>
      <x:c r="N125" t="str">
        <x:v>Finalizado</x:v>
      </x:c>
      <x:c r="O125" t="str">
        <x:f>IF($H125="Sin envio","Sin envio",IF($I125="90 minutos",IF($F125&gt;$G125,"A",IF($G125&gt;$F125,"B","E")),"E"))</x:f>
        <x:v>Sin envio</x:v>
      </x:c>
      <x:c r="P125" t="str">
        <x:f>IF($M125="90 minutos",IF($J125&gt;$K125,"A",IF($K125&gt;$J125,"B","E")),"E")</x:f>
        <x:v>B</x:v>
      </x:c>
      <x:c r="Q125" t="str">
        <x:f>IF($H125="Sin envio","No",IF($H125=$L125,"Si","No"))</x:f>
        <x:v>No</x:v>
      </x:c>
      <x:c r="R125" t="str">
        <x:f>IF(AND($I125=$M125,NOT(AND($I125="Penales",$F125&lt;&gt;$G125))),"Si","No")</x:f>
        <x:v>No</x:v>
      </x:c>
      <x:c r="S125" t="n">
        <x:f>IF(OR($N125&lt;&gt;"Finalizado",$Q125&lt;&gt;"Si"),0,IF($O125=$P125,Reglas!$B$2,0))</x:f>
        <x:v>0</x:v>
      </x:c>
      <x:c r="T125" t="n">
        <x:f>IF(OR($N125&lt;&gt;"Finalizado",$Q125&lt;&gt;"Si"),0,Reglas!$B$3)</x:f>
        <x:v>0</x:v>
      </x:c>
      <x:c r="U125" t="n">
        <x:f>IF(OR($N125&lt;&gt;"Finalizado",$Q125&lt;&gt;"Si"),0,IF($I125=$M125,Reglas!$B$4,0))</x:f>
        <x:v>0</x:v>
      </x:c>
      <x:c r="V125" t="n">
        <x:f>IF(OR($N125&lt;&gt;"Finalizado",$Q125&lt;&gt;"Si",$R125&lt;&gt;"Si"),0,IF(AND($F125=$J125,$G125=$K125),Reglas!$B$5,0))</x:f>
        <x:v>0</x:v>
      </x:c>
      <x:c r="W125" t="n">
        <x:f>IF(OR($N125&lt;&gt;"Finalizado",$Q125&lt;&gt;"Si",$R125&lt;&gt;"Si"),0,IF($F125-$G125=$J125-$K125,Reglas!$B$6,0))</x:f>
        <x:v>0</x:v>
      </x:c>
      <x:c r="X125" t="n">
        <x:f>IF(OR($N125&lt;&gt;"Finalizado",$Q125&lt;&gt;"Si",$R125&lt;&gt;"Si"),0,IF($F125=$J125,Reglas!$B$7,0))</x:f>
        <x:v>0</x:v>
      </x:c>
      <x:c r="Y125" t="n">
        <x:f>IF(OR($N125&lt;&gt;"Finalizado",$Q125&lt;&gt;"Si",$R125&lt;&gt;"Si"),0,IF($G125=$K125,Reglas!$B$8,0))</x:f>
        <x:v>0</x:v>
      </x:c>
      <x:c r="Z125" t="n">
        <x:f>SUM($S125:$Y125)</x:f>
        <x:v>0</x:v>
      </x:c>
      <x:c r="AA125" t="str">
        <x:f>IF($N125&lt;&gt;"Finalizado","Resultado pendiente",IF($H125="Sin envio","Sin respuesta",IF($Q125&lt;&gt;"Si","No acerto clasificado","OK")))</x:f>
        <x:v>Sin respuesta</x:v>
      </x:c>
      <x:c r="AB125" t="str">
        <x:v>8vos detalle reconstruido</x:v>
      </x:c>
      <x:c r="AC125" t="n">
        <x:v>0</x:v>
      </x:c>
      <x:c r="AD125" t="n">
        <x:f>$Z125-$AC125</x:f>
        <x:v>0</x:v>
      </x:c>
    </x:row>
    <x:row r="126" ht="15" hidden="0" customHeight="1">
      <x:c r="A126" t="str">
        <x:v>8vos</x:v>
      </x:c>
      <x:c r="B126" t="str">
        <x:v>O6</x:v>
      </x:c>
      <x:c r="C126" t="str">
        <x:v>Marcelo</x:v>
      </x:c>
      <x:c r="D126" t="str">
        <x:v>Portugal</x:v>
      </x:c>
      <x:c r="E126" t="str">
        <x:v>Espana</x:v>
      </x:c>
      <x:c r="F126"/>
      <x:c r="G126"/>
      <x:c r="H126" t="str">
        <x:v>Sin envio</x:v>
      </x:c>
      <x:c r="I126" t="str">
        <x:v>Sin envio</x:v>
      </x:c>
      <x:c r="J126" t="n">
        <x:v>0</x:v>
      </x:c>
      <x:c r="K126" t="n">
        <x:v>1</x:v>
      </x:c>
      <x:c r="L126" t="str">
        <x:v>Espana</x:v>
      </x:c>
      <x:c r="M126" t="str">
        <x:v>90 minutos</x:v>
      </x:c>
      <x:c r="N126" t="str">
        <x:v>Finalizado</x:v>
      </x:c>
      <x:c r="O126" t="str">
        <x:f>IF($H126="Sin envio","Sin envio",IF($I126="90 minutos",IF($F126&gt;$G126,"A",IF($G126&gt;$F126,"B","E")),"E"))</x:f>
        <x:v>Sin envio</x:v>
      </x:c>
      <x:c r="P126" t="str">
        <x:f>IF($M126="90 minutos",IF($J126&gt;$K126,"A",IF($K126&gt;$J126,"B","E")),"E")</x:f>
        <x:v>B</x:v>
      </x:c>
      <x:c r="Q126" t="str">
        <x:f>IF($H126="Sin envio","No",IF($H126=$L126,"Si","No"))</x:f>
        <x:v>No</x:v>
      </x:c>
      <x:c r="R126" t="str">
        <x:f>IF(AND($I126=$M126,NOT(AND($I126="Penales",$F126&lt;&gt;$G126))),"Si","No")</x:f>
        <x:v>No</x:v>
      </x:c>
      <x:c r="S126" t="n">
        <x:f>IF(OR($N126&lt;&gt;"Finalizado",$Q126&lt;&gt;"Si"),0,IF($O126=$P126,Reglas!$B$2,0))</x:f>
        <x:v>0</x:v>
      </x:c>
      <x:c r="T126" t="n">
        <x:f>IF(OR($N126&lt;&gt;"Finalizado",$Q126&lt;&gt;"Si"),0,Reglas!$B$3)</x:f>
        <x:v>0</x:v>
      </x:c>
      <x:c r="U126" t="n">
        <x:f>IF(OR($N126&lt;&gt;"Finalizado",$Q126&lt;&gt;"Si"),0,IF($I126=$M126,Reglas!$B$4,0))</x:f>
        <x:v>0</x:v>
      </x:c>
      <x:c r="V126" t="n">
        <x:f>IF(OR($N126&lt;&gt;"Finalizado",$Q126&lt;&gt;"Si",$R126&lt;&gt;"Si"),0,IF(AND($F126=$J126,$G126=$K126),Reglas!$B$5,0))</x:f>
        <x:v>0</x:v>
      </x:c>
      <x:c r="W126" t="n">
        <x:f>IF(OR($N126&lt;&gt;"Finalizado",$Q126&lt;&gt;"Si",$R126&lt;&gt;"Si"),0,IF($F126-$G126=$J126-$K126,Reglas!$B$6,0))</x:f>
        <x:v>0</x:v>
      </x:c>
      <x:c r="X126" t="n">
        <x:f>IF(OR($N126&lt;&gt;"Finalizado",$Q126&lt;&gt;"Si",$R126&lt;&gt;"Si"),0,IF($F126=$J126,Reglas!$B$7,0))</x:f>
        <x:v>0</x:v>
      </x:c>
      <x:c r="Y126" t="n">
        <x:f>IF(OR($N126&lt;&gt;"Finalizado",$Q126&lt;&gt;"Si",$R126&lt;&gt;"Si"),0,IF($G126=$K126,Reglas!$B$8,0))</x:f>
        <x:v>0</x:v>
      </x:c>
      <x:c r="Z126" t="n">
        <x:f>SUM($S126:$Y126)</x:f>
        <x:v>0</x:v>
      </x:c>
      <x:c r="AA126" t="str">
        <x:f>IF($N126&lt;&gt;"Finalizado","Resultado pendiente",IF($H126="Sin envio","Sin respuesta",IF($Q126&lt;&gt;"Si","No acerto clasificado","OK")))</x:f>
        <x:v>Sin respuesta</x:v>
      </x:c>
      <x:c r="AB126" t="str">
        <x:v>8vos detalle reconstruido</x:v>
      </x:c>
      <x:c r="AC126" t="n">
        <x:v>0</x:v>
      </x:c>
      <x:c r="AD126" t="n">
        <x:f>$Z126-$AC126</x:f>
        <x:v>0</x:v>
      </x:c>
    </x:row>
    <x:row r="127" ht="15" hidden="0" customHeight="1">
      <x:c r="A127" t="str">
        <x:v>8vos</x:v>
      </x:c>
      <x:c r="B127" t="str">
        <x:v>O6</x:v>
      </x:c>
      <x:c r="C127" t="str">
        <x:v>Anny</x:v>
      </x:c>
      <x:c r="D127" t="str">
        <x:v>Portugal</x:v>
      </x:c>
      <x:c r="E127" t="str">
        <x:v>Espana</x:v>
      </x:c>
      <x:c r="F127" t="n">
        <x:v>2</x:v>
      </x:c>
      <x:c r="G127" t="n">
        <x:v>2</x:v>
      </x:c>
      <x:c r="H127" t="str">
        <x:v>Espana</x:v>
      </x:c>
      <x:c r="I127" t="str">
        <x:v>Penales</x:v>
      </x:c>
      <x:c r="J127" t="n">
        <x:v>0</x:v>
      </x:c>
      <x:c r="K127" t="n">
        <x:v>1</x:v>
      </x:c>
      <x:c r="L127" t="str">
        <x:v>Espana</x:v>
      </x:c>
      <x:c r="M127" t="str">
        <x:v>90 minutos</x:v>
      </x:c>
      <x:c r="N127" t="str">
        <x:v>Finalizado</x:v>
      </x:c>
      <x:c r="O127" t="str">
        <x:f>IF($H127="Sin envio","Sin envio",IF($I127="90 minutos",IF($F127&gt;$G127,"A",IF($G127&gt;$F127,"B","E")),"E"))</x:f>
        <x:v>E</x:v>
      </x:c>
      <x:c r="P127" t="str">
        <x:f>IF($M127="90 minutos",IF($J127&gt;$K127,"A",IF($K127&gt;$J127,"B","E")),"E")</x:f>
        <x:v>B</x:v>
      </x:c>
      <x:c r="Q127" t="str">
        <x:f>IF($H127="Sin envio","No",IF($H127=$L127,"Si","No"))</x:f>
        <x:v>Si</x:v>
      </x:c>
      <x:c r="R127" t="str">
        <x:f>IF(AND($I127=$M127,NOT(AND($I127="Penales",$F127&lt;&gt;$G127))),"Si","No")</x:f>
        <x:v>No</x:v>
      </x:c>
      <x:c r="S127" t="n">
        <x:f>IF(OR($N127&lt;&gt;"Finalizado",$Q127&lt;&gt;"Si"),0,IF($O127=$P127,Reglas!$B$2,0))</x:f>
        <x:v>0</x:v>
      </x:c>
      <x:c r="T127" t="n">
        <x:f>IF(OR($N127&lt;&gt;"Finalizado",$Q127&lt;&gt;"Si"),0,Reglas!$B$3)</x:f>
        <x:v>3</x:v>
      </x:c>
      <x:c r="U127" t="n">
        <x:f>IF(OR($N127&lt;&gt;"Finalizado",$Q127&lt;&gt;"Si"),0,IF($I127=$M127,Reglas!$B$4,0))</x:f>
        <x:v>0</x:v>
      </x:c>
      <x:c r="V127" t="n">
        <x:f>IF(OR($N127&lt;&gt;"Finalizado",$Q127&lt;&gt;"Si",$R127&lt;&gt;"Si"),0,IF(AND($F127=$J127,$G127=$K127),Reglas!$B$5,0))</x:f>
        <x:v>0</x:v>
      </x:c>
      <x:c r="W127" t="n">
        <x:f>IF(OR($N127&lt;&gt;"Finalizado",$Q127&lt;&gt;"Si",$R127&lt;&gt;"Si"),0,IF($F127-$G127=$J127-$K127,Reglas!$B$6,0))</x:f>
        <x:v>0</x:v>
      </x:c>
      <x:c r="X127" t="n">
        <x:f>IF(OR($N127&lt;&gt;"Finalizado",$Q127&lt;&gt;"Si",$R127&lt;&gt;"Si"),0,IF($F127=$J127,Reglas!$B$7,0))</x:f>
        <x:v>0</x:v>
      </x:c>
      <x:c r="Y127" t="n">
        <x:f>IF(OR($N127&lt;&gt;"Finalizado",$Q127&lt;&gt;"Si",$R127&lt;&gt;"Si"),0,IF($G127=$K127,Reglas!$B$8,0))</x:f>
        <x:v>0</x:v>
      </x:c>
      <x:c r="Z127" t="n">
        <x:f>SUM($S127:$Y127)</x:f>
        <x:v>3</x:v>
      </x:c>
      <x:c r="AA127" t="str">
        <x:f>IF($N127&lt;&gt;"Finalizado","Resultado pendiente",IF($H127="Sin envio","Sin respuesta",IF($Q127&lt;&gt;"Si","No acerto clasificado","OK")))</x:f>
        <x:v>OK</x:v>
      </x:c>
      <x:c r="AB127" t="str">
        <x:v>8vos detalle reconstruido</x:v>
      </x:c>
      <x:c r="AC127" t="n">
        <x:v>3</x:v>
      </x:c>
      <x:c r="AD127" t="n">
        <x:f>$Z127-$AC127</x:f>
        <x:v>0</x:v>
      </x:c>
    </x:row>
    <x:row r="128" ht="15" hidden="0" customHeight="1">
      <x:c r="A128" t="str">
        <x:v>8vos</x:v>
      </x:c>
      <x:c r="B128" t="str">
        <x:v>O6</x:v>
      </x:c>
      <x:c r="C128" t="str">
        <x:v>Moisés</x:v>
      </x:c>
      <x:c r="D128" t="str">
        <x:v>Portugal</x:v>
      </x:c>
      <x:c r="E128" t="str">
        <x:v>Espana</x:v>
      </x:c>
      <x:c r="F128" t="n">
        <x:v>2</x:v>
      </x:c>
      <x:c r="G128" t="n">
        <x:v>1</x:v>
      </x:c>
      <x:c r="H128" t="str">
        <x:v>Portugal</x:v>
      </x:c>
      <x:c r="I128" t="str">
        <x:v>Penales</x:v>
      </x:c>
      <x:c r="J128" t="n">
        <x:v>0</x:v>
      </x:c>
      <x:c r="K128" t="n">
        <x:v>1</x:v>
      </x:c>
      <x:c r="L128" t="str">
        <x:v>Espana</x:v>
      </x:c>
      <x:c r="M128" t="str">
        <x:v>90 minutos</x:v>
      </x:c>
      <x:c r="N128" t="str">
        <x:v>Finalizado</x:v>
      </x:c>
      <x:c r="O128" t="str">
        <x:f>IF($H128="Sin envio","Sin envio",IF($I128="90 minutos",IF($F128&gt;$G128,"A",IF($G128&gt;$F128,"B","E")),"E"))</x:f>
        <x:v>E</x:v>
      </x:c>
      <x:c r="P128" t="str">
        <x:f>IF($M128="90 minutos",IF($J128&gt;$K128,"A",IF($K128&gt;$J128,"B","E")),"E")</x:f>
        <x:v>B</x:v>
      </x:c>
      <x:c r="Q128" t="str">
        <x:f>IF($H128="Sin envio","No",IF($H128=$L128,"Si","No"))</x:f>
        <x:v>No</x:v>
      </x:c>
      <x:c r="R128" t="str">
        <x:f>IF(AND($I128=$M128,NOT(AND($I128="Penales",$F128&lt;&gt;$G128))),"Si","No")</x:f>
        <x:v>No</x:v>
      </x:c>
      <x:c r="S128" t="n">
        <x:f>IF(OR($N128&lt;&gt;"Finalizado",$Q128&lt;&gt;"Si"),0,IF($O128=$P128,Reglas!$B$2,0))</x:f>
        <x:v>0</x:v>
      </x:c>
      <x:c r="T128" t="n">
        <x:f>IF(OR($N128&lt;&gt;"Finalizado",$Q128&lt;&gt;"Si"),0,Reglas!$B$3)</x:f>
        <x:v>0</x:v>
      </x:c>
      <x:c r="U128" t="n">
        <x:f>IF(OR($N128&lt;&gt;"Finalizado",$Q128&lt;&gt;"Si"),0,IF($I128=$M128,Reglas!$B$4,0))</x:f>
        <x:v>0</x:v>
      </x:c>
      <x:c r="V128" t="n">
        <x:f>IF(OR($N128&lt;&gt;"Finalizado",$Q128&lt;&gt;"Si",$R128&lt;&gt;"Si"),0,IF(AND($F128=$J128,$G128=$K128),Reglas!$B$5,0))</x:f>
        <x:v>0</x:v>
      </x:c>
      <x:c r="W128" t="n">
        <x:f>IF(OR($N128&lt;&gt;"Finalizado",$Q128&lt;&gt;"Si",$R128&lt;&gt;"Si"),0,IF($F128-$G128=$J128-$K128,Reglas!$B$6,0))</x:f>
        <x:v>0</x:v>
      </x:c>
      <x:c r="X128" t="n">
        <x:f>IF(OR($N128&lt;&gt;"Finalizado",$Q128&lt;&gt;"Si",$R128&lt;&gt;"Si"),0,IF($F128=$J128,Reglas!$B$7,0))</x:f>
        <x:v>0</x:v>
      </x:c>
      <x:c r="Y128" t="n">
        <x:f>IF(OR($N128&lt;&gt;"Finalizado",$Q128&lt;&gt;"Si",$R128&lt;&gt;"Si"),0,IF($G128=$K128,Reglas!$B$8,0))</x:f>
        <x:v>0</x:v>
      </x:c>
      <x:c r="Z128" t="n">
        <x:f>SUM($S128:$Y128)</x:f>
        <x:v>0</x:v>
      </x:c>
      <x:c r="AA128" t="str">
        <x:f>IF($N128&lt;&gt;"Finalizado","Resultado pendiente",IF($H128="Sin envio","Sin respuesta",IF($Q128&lt;&gt;"Si","No acerto clasificado","OK")))</x:f>
        <x:v>No acerto clasificado</x:v>
      </x:c>
      <x:c r="AB128" t="str">
        <x:v>8vos detalle reconstruido</x:v>
      </x:c>
      <x:c r="AC128" t="n">
        <x:v>0</x:v>
      </x:c>
      <x:c r="AD128" t="n">
        <x:f>$Z128-$AC128</x:f>
        <x:v>0</x:v>
      </x:c>
    </x:row>
    <x:row r="129" ht="15" hidden="0" customHeight="1">
      <x:c r="A129" t="str">
        <x:v>8vos</x:v>
      </x:c>
      <x:c r="B129" t="str">
        <x:v>O6</x:v>
      </x:c>
      <x:c r="C129" t="str">
        <x:v>Alex</x:v>
      </x:c>
      <x:c r="D129" t="str">
        <x:v>Portugal</x:v>
      </x:c>
      <x:c r="E129" t="str">
        <x:v>Espana</x:v>
      </x:c>
      <x:c r="F129" t="n">
        <x:v>2</x:v>
      </x:c>
      <x:c r="G129" t="n">
        <x:v>3</x:v>
      </x:c>
      <x:c r="H129" t="str">
        <x:v>Espana</x:v>
      </x:c>
      <x:c r="I129" t="str">
        <x:v>Penales</x:v>
      </x:c>
      <x:c r="J129" t="n">
        <x:v>0</x:v>
      </x:c>
      <x:c r="K129" t="n">
        <x:v>1</x:v>
      </x:c>
      <x:c r="L129" t="str">
        <x:v>Espana</x:v>
      </x:c>
      <x:c r="M129" t="str">
        <x:v>90 minutos</x:v>
      </x:c>
      <x:c r="N129" t="str">
        <x:v>Finalizado</x:v>
      </x:c>
      <x:c r="O129" t="str">
        <x:f>IF($H129="Sin envio","Sin envio",IF($I129="90 minutos",IF($F129&gt;$G129,"A",IF($G129&gt;$F129,"B","E")),"E"))</x:f>
        <x:v>E</x:v>
      </x:c>
      <x:c r="P129" t="str">
        <x:f>IF($M129="90 minutos",IF($J129&gt;$K129,"A",IF($K129&gt;$J129,"B","E")),"E")</x:f>
        <x:v>B</x:v>
      </x:c>
      <x:c r="Q129" t="str">
        <x:f>IF($H129="Sin envio","No",IF($H129=$L129,"Si","No"))</x:f>
        <x:v>Si</x:v>
      </x:c>
      <x:c r="R129" t="str">
        <x:f>IF(AND($I129=$M129,NOT(AND($I129="Penales",$F129&lt;&gt;$G129))),"Si","No")</x:f>
        <x:v>No</x:v>
      </x:c>
      <x:c r="S129" t="n">
        <x:f>IF(OR($N129&lt;&gt;"Finalizado",$Q129&lt;&gt;"Si"),0,IF($O129=$P129,Reglas!$B$2,0))</x:f>
        <x:v>0</x:v>
      </x:c>
      <x:c r="T129" t="n">
        <x:f>IF(OR($N129&lt;&gt;"Finalizado",$Q129&lt;&gt;"Si"),0,Reglas!$B$3)</x:f>
        <x:v>3</x:v>
      </x:c>
      <x:c r="U129" t="n">
        <x:f>IF(OR($N129&lt;&gt;"Finalizado",$Q129&lt;&gt;"Si"),0,IF($I129=$M129,Reglas!$B$4,0))</x:f>
        <x:v>0</x:v>
      </x:c>
      <x:c r="V129" t="n">
        <x:f>IF(OR($N129&lt;&gt;"Finalizado",$Q129&lt;&gt;"Si",$R129&lt;&gt;"Si"),0,IF(AND($F129=$J129,$G129=$K129),Reglas!$B$5,0))</x:f>
        <x:v>0</x:v>
      </x:c>
      <x:c r="W129" t="n">
        <x:f>IF(OR($N129&lt;&gt;"Finalizado",$Q129&lt;&gt;"Si",$R129&lt;&gt;"Si"),0,IF($F129-$G129=$J129-$K129,Reglas!$B$6,0))</x:f>
        <x:v>0</x:v>
      </x:c>
      <x:c r="X129" t="n">
        <x:f>IF(OR($N129&lt;&gt;"Finalizado",$Q129&lt;&gt;"Si",$R129&lt;&gt;"Si"),0,IF($F129=$J129,Reglas!$B$7,0))</x:f>
        <x:v>0</x:v>
      </x:c>
      <x:c r="Y129" t="n">
        <x:f>IF(OR($N129&lt;&gt;"Finalizado",$Q129&lt;&gt;"Si",$R129&lt;&gt;"Si"),0,IF($G129=$K129,Reglas!$B$8,0))</x:f>
        <x:v>0</x:v>
      </x:c>
      <x:c r="Z129" t="n">
        <x:f>SUM($S129:$Y129)</x:f>
        <x:v>3</x:v>
      </x:c>
      <x:c r="AA129" t="str">
        <x:f>IF($N129&lt;&gt;"Finalizado","Resultado pendiente",IF($H129="Sin envio","Sin respuesta",IF($Q129&lt;&gt;"Si","No acerto clasificado","OK")))</x:f>
        <x:v>OK</x:v>
      </x:c>
      <x:c r="AB129" t="str">
        <x:v>8vos detalle reconstruido</x:v>
      </x:c>
      <x:c r="AC129" t="n">
        <x:v>3</x:v>
      </x:c>
      <x:c r="AD129" t="n">
        <x:f>$Z129-$AC129</x:f>
        <x:v>0</x:v>
      </x:c>
    </x:row>
    <x:row r="130" ht="15" hidden="0" customHeight="1">
      <x:c r="A130" t="str">
        <x:v>8vos</x:v>
      </x:c>
      <x:c r="B130" t="str">
        <x:v>O6</x:v>
      </x:c>
      <x:c r="C130" t="str">
        <x:v>Omar</x:v>
      </x:c>
      <x:c r="D130" t="str">
        <x:v>Portugal</x:v>
      </x:c>
      <x:c r="E130" t="str">
        <x:v>Espana</x:v>
      </x:c>
      <x:c r="F130"/>
      <x:c r="G130"/>
      <x:c r="H130" t="str">
        <x:v>Sin envio</x:v>
      </x:c>
      <x:c r="I130" t="str">
        <x:v>Sin envio</x:v>
      </x:c>
      <x:c r="J130" t="n">
        <x:v>0</x:v>
      </x:c>
      <x:c r="K130" t="n">
        <x:v>1</x:v>
      </x:c>
      <x:c r="L130" t="str">
        <x:v>Espana</x:v>
      </x:c>
      <x:c r="M130" t="str">
        <x:v>90 minutos</x:v>
      </x:c>
      <x:c r="N130" t="str">
        <x:v>Finalizado</x:v>
      </x:c>
      <x:c r="O130" t="str">
        <x:f>IF($H130="Sin envio","Sin envio",IF($I130="90 minutos",IF($F130&gt;$G130,"A",IF($G130&gt;$F130,"B","E")),"E"))</x:f>
        <x:v>Sin envio</x:v>
      </x:c>
      <x:c r="P130" t="str">
        <x:f>IF($M130="90 minutos",IF($J130&gt;$K130,"A",IF($K130&gt;$J130,"B","E")),"E")</x:f>
        <x:v>B</x:v>
      </x:c>
      <x:c r="Q130" t="str">
        <x:f>IF($H130="Sin envio","No",IF($H130=$L130,"Si","No"))</x:f>
        <x:v>No</x:v>
      </x:c>
      <x:c r="R130" t="str">
        <x:f>IF(AND($I130=$M130,NOT(AND($I130="Penales",$F130&lt;&gt;$G130))),"Si","No")</x:f>
        <x:v>No</x:v>
      </x:c>
      <x:c r="S130" t="n">
        <x:f>IF(OR($N130&lt;&gt;"Finalizado",$Q130&lt;&gt;"Si"),0,IF($O130=$P130,Reglas!$B$2,0))</x:f>
        <x:v>0</x:v>
      </x:c>
      <x:c r="T130" t="n">
        <x:f>IF(OR($N130&lt;&gt;"Finalizado",$Q130&lt;&gt;"Si"),0,Reglas!$B$3)</x:f>
        <x:v>0</x:v>
      </x:c>
      <x:c r="U130" t="n">
        <x:f>IF(OR($N130&lt;&gt;"Finalizado",$Q130&lt;&gt;"Si"),0,IF($I130=$M130,Reglas!$B$4,0))</x:f>
        <x:v>0</x:v>
      </x:c>
      <x:c r="V130" t="n">
        <x:f>IF(OR($N130&lt;&gt;"Finalizado",$Q130&lt;&gt;"Si",$R130&lt;&gt;"Si"),0,IF(AND($F130=$J130,$G130=$K130),Reglas!$B$5,0))</x:f>
        <x:v>0</x:v>
      </x:c>
      <x:c r="W130" t="n">
        <x:f>IF(OR($N130&lt;&gt;"Finalizado",$Q130&lt;&gt;"Si",$R130&lt;&gt;"Si"),0,IF($F130-$G130=$J130-$K130,Reglas!$B$6,0))</x:f>
        <x:v>0</x:v>
      </x:c>
      <x:c r="X130" t="n">
        <x:f>IF(OR($N130&lt;&gt;"Finalizado",$Q130&lt;&gt;"Si",$R130&lt;&gt;"Si"),0,IF($F130=$J130,Reglas!$B$7,0))</x:f>
        <x:v>0</x:v>
      </x:c>
      <x:c r="Y130" t="n">
        <x:f>IF(OR($N130&lt;&gt;"Finalizado",$Q130&lt;&gt;"Si",$R130&lt;&gt;"Si"),0,IF($G130=$K130,Reglas!$B$8,0))</x:f>
        <x:v>0</x:v>
      </x:c>
      <x:c r="Z130" t="n">
        <x:f>SUM($S130:$Y130)</x:f>
        <x:v>0</x:v>
      </x:c>
      <x:c r="AA130" t="str">
        <x:f>IF($N130&lt;&gt;"Finalizado","Resultado pendiente",IF($H130="Sin envio","Sin respuesta",IF($Q130&lt;&gt;"Si","No acerto clasificado","OK")))</x:f>
        <x:v>Sin respuesta</x:v>
      </x:c>
      <x:c r="AB130" t="str">
        <x:v>8vos detalle reconstruido</x:v>
      </x:c>
      <x:c r="AC130" t="n">
        <x:v>0</x:v>
      </x:c>
      <x:c r="AD130" t="n">
        <x:f>$Z130-$AC130</x:f>
        <x:v>0</x:v>
      </x:c>
    </x:row>
    <x:row r="131" ht="15" hidden="0" customHeight="1">
      <x:c r="A131" t="str">
        <x:v>8vos</x:v>
      </x:c>
      <x:c r="B131" t="str">
        <x:v>O6</x:v>
      </x:c>
      <x:c r="C131" t="str">
        <x:v>Fernando</x:v>
      </x:c>
      <x:c r="D131" t="str">
        <x:v>Portugal</x:v>
      </x:c>
      <x:c r="E131" t="str">
        <x:v>Espana</x:v>
      </x:c>
      <x:c r="F131" t="n">
        <x:v>2</x:v>
      </x:c>
      <x:c r="G131" t="n">
        <x:v>2</x:v>
      </x:c>
      <x:c r="H131" t="str">
        <x:v>Portugal</x:v>
      </x:c>
      <x:c r="I131" t="str">
        <x:v>Penales</x:v>
      </x:c>
      <x:c r="J131" t="n">
        <x:v>0</x:v>
      </x:c>
      <x:c r="K131" t="n">
        <x:v>1</x:v>
      </x:c>
      <x:c r="L131" t="str">
        <x:v>Espana</x:v>
      </x:c>
      <x:c r="M131" t="str">
        <x:v>90 minutos</x:v>
      </x:c>
      <x:c r="N131" t="str">
        <x:v>Finalizado</x:v>
      </x:c>
      <x:c r="O131" t="str">
        <x:f>IF($H131="Sin envio","Sin envio",IF($I131="90 minutos",IF($F131&gt;$G131,"A",IF($G131&gt;$F131,"B","E")),"E"))</x:f>
        <x:v>E</x:v>
      </x:c>
      <x:c r="P131" t="str">
        <x:f>IF($M131="90 minutos",IF($J131&gt;$K131,"A",IF($K131&gt;$J131,"B","E")),"E")</x:f>
        <x:v>B</x:v>
      </x:c>
      <x:c r="Q131" t="str">
        <x:f>IF($H131="Sin envio","No",IF($H131=$L131,"Si","No"))</x:f>
        <x:v>No</x:v>
      </x:c>
      <x:c r="R131" t="str">
        <x:f>IF(AND($I131=$M131,NOT(AND($I131="Penales",$F131&lt;&gt;$G131))),"Si","No")</x:f>
        <x:v>No</x:v>
      </x:c>
      <x:c r="S131" t="n">
        <x:f>IF(OR($N131&lt;&gt;"Finalizado",$Q131&lt;&gt;"Si"),0,IF($O131=$P131,Reglas!$B$2,0))</x:f>
        <x:v>0</x:v>
      </x:c>
      <x:c r="T131" t="n">
        <x:f>IF(OR($N131&lt;&gt;"Finalizado",$Q131&lt;&gt;"Si"),0,Reglas!$B$3)</x:f>
        <x:v>0</x:v>
      </x:c>
      <x:c r="U131" t="n">
        <x:f>IF(OR($N131&lt;&gt;"Finalizado",$Q131&lt;&gt;"Si"),0,IF($I131=$M131,Reglas!$B$4,0))</x:f>
        <x:v>0</x:v>
      </x:c>
      <x:c r="V131" t="n">
        <x:f>IF(OR($N131&lt;&gt;"Finalizado",$Q131&lt;&gt;"Si",$R131&lt;&gt;"Si"),0,IF(AND($F131=$J131,$G131=$K131),Reglas!$B$5,0))</x:f>
        <x:v>0</x:v>
      </x:c>
      <x:c r="W131" t="n">
        <x:f>IF(OR($N131&lt;&gt;"Finalizado",$Q131&lt;&gt;"Si",$R131&lt;&gt;"Si"),0,IF($F131-$G131=$J131-$K131,Reglas!$B$6,0))</x:f>
        <x:v>0</x:v>
      </x:c>
      <x:c r="X131" t="n">
        <x:f>IF(OR($N131&lt;&gt;"Finalizado",$Q131&lt;&gt;"Si",$R131&lt;&gt;"Si"),0,IF($F131=$J131,Reglas!$B$7,0))</x:f>
        <x:v>0</x:v>
      </x:c>
      <x:c r="Y131" t="n">
        <x:f>IF(OR($N131&lt;&gt;"Finalizado",$Q131&lt;&gt;"Si",$R131&lt;&gt;"Si"),0,IF($G131=$K131,Reglas!$B$8,0))</x:f>
        <x:v>0</x:v>
      </x:c>
      <x:c r="Z131" t="n">
        <x:f>SUM($S131:$Y131)</x:f>
        <x:v>0</x:v>
      </x:c>
      <x:c r="AA131" t="str">
        <x:f>IF($N131&lt;&gt;"Finalizado","Resultado pendiente",IF($H131="Sin envio","Sin respuesta",IF($Q131&lt;&gt;"Si","No acerto clasificado","OK")))</x:f>
        <x:v>No acerto clasificado</x:v>
      </x:c>
      <x:c r="AB131" t="str">
        <x:v>8vos detalle reconstruido</x:v>
      </x:c>
      <x:c r="AC131" t="n">
        <x:v>0</x:v>
      </x:c>
      <x:c r="AD131" t="n">
        <x:f>$Z131-$AC131</x:f>
        <x:v>0</x:v>
      </x:c>
    </x:row>
    <x:row r="132" ht="15" hidden="0" customHeight="1">
      <x:c r="A132" t="str">
        <x:v>8vos</x:v>
      </x:c>
      <x:c r="B132" t="str">
        <x:v>O6</x:v>
      </x:c>
      <x:c r="C132" t="str">
        <x:v>Diana</x:v>
      </x:c>
      <x:c r="D132" t="str">
        <x:v>Portugal</x:v>
      </x:c>
      <x:c r="E132" t="str">
        <x:v>Espana</x:v>
      </x:c>
      <x:c r="F132" t="n">
        <x:v>1</x:v>
      </x:c>
      <x:c r="G132" t="n">
        <x:v>2</x:v>
      </x:c>
      <x:c r="H132" t="str">
        <x:v>Espana</x:v>
      </x:c>
      <x:c r="I132" t="str">
        <x:v>Suplementario</x:v>
      </x:c>
      <x:c r="J132" t="n">
        <x:v>0</x:v>
      </x:c>
      <x:c r="K132" t="n">
        <x:v>1</x:v>
      </x:c>
      <x:c r="L132" t="str">
        <x:v>Espana</x:v>
      </x:c>
      <x:c r="M132" t="str">
        <x:v>90 minutos</x:v>
      </x:c>
      <x:c r="N132" t="str">
        <x:v>Finalizado</x:v>
      </x:c>
      <x:c r="O132" t="str">
        <x:f>IF($H132="Sin envio","Sin envio",IF($I132="90 minutos",IF($F132&gt;$G132,"A",IF($G132&gt;$F132,"B","E")),"E"))</x:f>
        <x:v>E</x:v>
      </x:c>
      <x:c r="P132" t="str">
        <x:f>IF($M132="90 minutos",IF($J132&gt;$K132,"A",IF($K132&gt;$J132,"B","E")),"E")</x:f>
        <x:v>B</x:v>
      </x:c>
      <x:c r="Q132" t="str">
        <x:f>IF($H132="Sin envio","No",IF($H132=$L132,"Si","No"))</x:f>
        <x:v>Si</x:v>
      </x:c>
      <x:c r="R132" t="str">
        <x:f>IF(AND($I132=$M132,NOT(AND($I132="Penales",$F132&lt;&gt;$G132))),"Si","No")</x:f>
        <x:v>No</x:v>
      </x:c>
      <x:c r="S132" t="n">
        <x:f>IF(OR($N132&lt;&gt;"Finalizado",$Q132&lt;&gt;"Si"),0,IF($O132=$P132,Reglas!$B$2,0))</x:f>
        <x:v>0</x:v>
      </x:c>
      <x:c r="T132" t="n">
        <x:f>IF(OR($N132&lt;&gt;"Finalizado",$Q132&lt;&gt;"Si"),0,Reglas!$B$3)</x:f>
        <x:v>3</x:v>
      </x:c>
      <x:c r="U132" t="n">
        <x:f>IF(OR($N132&lt;&gt;"Finalizado",$Q132&lt;&gt;"Si"),0,IF($I132=$M132,Reglas!$B$4,0))</x:f>
        <x:v>0</x:v>
      </x:c>
      <x:c r="V132" t="n">
        <x:f>IF(OR($N132&lt;&gt;"Finalizado",$Q132&lt;&gt;"Si",$R132&lt;&gt;"Si"),0,IF(AND($F132=$J132,$G132=$K132),Reglas!$B$5,0))</x:f>
        <x:v>0</x:v>
      </x:c>
      <x:c r="W132" t="n">
        <x:f>IF(OR($N132&lt;&gt;"Finalizado",$Q132&lt;&gt;"Si",$R132&lt;&gt;"Si"),0,IF($F132-$G132=$J132-$K132,Reglas!$B$6,0))</x:f>
        <x:v>0</x:v>
      </x:c>
      <x:c r="X132" t="n">
        <x:f>IF(OR($N132&lt;&gt;"Finalizado",$Q132&lt;&gt;"Si",$R132&lt;&gt;"Si"),0,IF($F132=$J132,Reglas!$B$7,0))</x:f>
        <x:v>0</x:v>
      </x:c>
      <x:c r="Y132" t="n">
        <x:f>IF(OR($N132&lt;&gt;"Finalizado",$Q132&lt;&gt;"Si",$R132&lt;&gt;"Si"),0,IF($G132=$K132,Reglas!$B$8,0))</x:f>
        <x:v>0</x:v>
      </x:c>
      <x:c r="Z132" t="n">
        <x:f>SUM($S132:$Y132)</x:f>
        <x:v>3</x:v>
      </x:c>
      <x:c r="AA132" t="str">
        <x:f>IF($N132&lt;&gt;"Finalizado","Resultado pendiente",IF($H132="Sin envio","Sin respuesta",IF($Q132&lt;&gt;"Si","No acerto clasificado","OK")))</x:f>
        <x:v>OK</x:v>
      </x:c>
      <x:c r="AB132" t="str">
        <x:v>8vos detalle reconstruido</x:v>
      </x:c>
      <x:c r="AC132" t="n">
        <x:v>3</x:v>
      </x:c>
      <x:c r="AD132" t="n">
        <x:f>$Z132-$AC132</x:f>
        <x:v>0</x:v>
      </x:c>
    </x:row>
    <x:row r="133" ht="15" hidden="0" customHeight="1">
      <x:c r="A133" t="str">
        <x:v>8vos</x:v>
      </x:c>
      <x:c r="B133" t="str">
        <x:v>O6</x:v>
      </x:c>
      <x:c r="C133" t="str">
        <x:v>Óscar</x:v>
      </x:c>
      <x:c r="D133" t="str">
        <x:v>Portugal</x:v>
      </x:c>
      <x:c r="E133" t="str">
        <x:v>Espana</x:v>
      </x:c>
      <x:c r="F133" t="n">
        <x:v>2</x:v>
      </x:c>
      <x:c r="G133" t="n">
        <x:v>3</x:v>
      </x:c>
      <x:c r="H133" t="str">
        <x:v>Espana</x:v>
      </x:c>
      <x:c r="I133" t="str">
        <x:v>Suplementario</x:v>
      </x:c>
      <x:c r="J133" t="n">
        <x:v>0</x:v>
      </x:c>
      <x:c r="K133" t="n">
        <x:v>1</x:v>
      </x:c>
      <x:c r="L133" t="str">
        <x:v>Espana</x:v>
      </x:c>
      <x:c r="M133" t="str">
        <x:v>90 minutos</x:v>
      </x:c>
      <x:c r="N133" t="str">
        <x:v>Finalizado</x:v>
      </x:c>
      <x:c r="O133" t="str">
        <x:f>IF($H133="Sin envio","Sin envio",IF($I133="90 minutos",IF($F133&gt;$G133,"A",IF($G133&gt;$F133,"B","E")),"E"))</x:f>
        <x:v>E</x:v>
      </x:c>
      <x:c r="P133" t="str">
        <x:f>IF($M133="90 minutos",IF($J133&gt;$K133,"A",IF($K133&gt;$J133,"B","E")),"E")</x:f>
        <x:v>B</x:v>
      </x:c>
      <x:c r="Q133" t="str">
        <x:f>IF($H133="Sin envio","No",IF($H133=$L133,"Si","No"))</x:f>
        <x:v>Si</x:v>
      </x:c>
      <x:c r="R133" t="str">
        <x:f>IF(AND($I133=$M133,NOT(AND($I133="Penales",$F133&lt;&gt;$G133))),"Si","No")</x:f>
        <x:v>No</x:v>
      </x:c>
      <x:c r="S133" t="n">
        <x:f>IF(OR($N133&lt;&gt;"Finalizado",$Q133&lt;&gt;"Si"),0,IF($O133=$P133,Reglas!$B$2,0))</x:f>
        <x:v>0</x:v>
      </x:c>
      <x:c r="T133" t="n">
        <x:f>IF(OR($N133&lt;&gt;"Finalizado",$Q133&lt;&gt;"Si"),0,Reglas!$B$3)</x:f>
        <x:v>3</x:v>
      </x:c>
      <x:c r="U133" t="n">
        <x:f>IF(OR($N133&lt;&gt;"Finalizado",$Q133&lt;&gt;"Si"),0,IF($I133=$M133,Reglas!$B$4,0))</x:f>
        <x:v>0</x:v>
      </x:c>
      <x:c r="V133" t="n">
        <x:f>IF(OR($N133&lt;&gt;"Finalizado",$Q133&lt;&gt;"Si",$R133&lt;&gt;"Si"),0,IF(AND($F133=$J133,$G133=$K133),Reglas!$B$5,0))</x:f>
        <x:v>0</x:v>
      </x:c>
      <x:c r="W133" t="n">
        <x:f>IF(OR($N133&lt;&gt;"Finalizado",$Q133&lt;&gt;"Si",$R133&lt;&gt;"Si"),0,IF($F133-$G133=$J133-$K133,Reglas!$B$6,0))</x:f>
        <x:v>0</x:v>
      </x:c>
      <x:c r="X133" t="n">
        <x:f>IF(OR($N133&lt;&gt;"Finalizado",$Q133&lt;&gt;"Si",$R133&lt;&gt;"Si"),0,IF($F133=$J133,Reglas!$B$7,0))</x:f>
        <x:v>0</x:v>
      </x:c>
      <x:c r="Y133" t="n">
        <x:f>IF(OR($N133&lt;&gt;"Finalizado",$Q133&lt;&gt;"Si",$R133&lt;&gt;"Si"),0,IF($G133=$K133,Reglas!$B$8,0))</x:f>
        <x:v>0</x:v>
      </x:c>
      <x:c r="Z133" t="n">
        <x:f>SUM($S133:$Y133)</x:f>
        <x:v>3</x:v>
      </x:c>
      <x:c r="AA133" t="str">
        <x:f>IF($N133&lt;&gt;"Finalizado","Resultado pendiente",IF($H133="Sin envio","Sin respuesta",IF($Q133&lt;&gt;"Si","No acerto clasificado","OK")))</x:f>
        <x:v>OK</x:v>
      </x:c>
      <x:c r="AB133" t="str">
        <x:v>8vos detalle reconstruido</x:v>
      </x:c>
      <x:c r="AC133" t="n">
        <x:v>3</x:v>
      </x:c>
      <x:c r="AD133" t="n">
        <x:f>$Z133-$AC133</x:f>
        <x:v>0</x:v>
      </x:c>
    </x:row>
    <x:row r="134" ht="15" hidden="0" customHeight="1">
      <x:c r="A134" t="str">
        <x:v>8vos</x:v>
      </x:c>
      <x:c r="B134" t="str">
        <x:v>O7</x:v>
      </x:c>
      <x:c r="C134" t="str">
        <x:v>Freddy</x:v>
      </x:c>
      <x:c r="D134" t="str">
        <x:v>Suiza</x:v>
      </x:c>
      <x:c r="E134" t="str">
        <x:v>Colombia</x:v>
      </x:c>
      <x:c r="F134" t="n">
        <x:v>1</x:v>
      </x:c>
      <x:c r="G134" t="n">
        <x:v>2</x:v>
      </x:c>
      <x:c r="H134" t="str">
        <x:v>Colombia</x:v>
      </x:c>
      <x:c r="I134" t="str">
        <x:v>90 minutos</x:v>
      </x:c>
      <x:c r="J134" t="n">
        <x:v>0</x:v>
      </x:c>
      <x:c r="K134" t="n">
        <x:v>0</x:v>
      </x:c>
      <x:c r="L134" t="str">
        <x:v>Suiza</x:v>
      </x:c>
      <x:c r="M134" t="str">
        <x:v>Penales</x:v>
      </x:c>
      <x:c r="N134" t="str">
        <x:v>Finalizado</x:v>
      </x:c>
      <x:c r="O134" t="str">
        <x:f>IF($H134="Sin envio","Sin envio",IF($I134="90 minutos",IF($F134&gt;$G134,"A",IF($G134&gt;$F134,"B","E")),"E"))</x:f>
        <x:v>B</x:v>
      </x:c>
      <x:c r="P134" t="str">
        <x:f>IF($M134="90 minutos",IF($J134&gt;$K134,"A",IF($K134&gt;$J134,"B","E")),"E")</x:f>
        <x:v>E</x:v>
      </x:c>
      <x:c r="Q134" t="str">
        <x:f>IF($H134="Sin envio","No",IF($H134=$L134,"Si","No"))</x:f>
        <x:v>No</x:v>
      </x:c>
      <x:c r="R134" t="str">
        <x:f>IF(AND($I134=$M134,NOT(AND($I134="Penales",$F134&lt;&gt;$G134))),"Si","No")</x:f>
        <x:v>No</x:v>
      </x:c>
      <x:c r="S134" t="n">
        <x:f>IF(OR($N134&lt;&gt;"Finalizado",$Q134&lt;&gt;"Si"),0,IF($O134=$P134,Reglas!$B$2,0))</x:f>
        <x:v>0</x:v>
      </x:c>
      <x:c r="T134" t="n">
        <x:f>IF(OR($N134&lt;&gt;"Finalizado",$Q134&lt;&gt;"Si"),0,Reglas!$B$3)</x:f>
        <x:v>0</x:v>
      </x:c>
      <x:c r="U134" t="n">
        <x:f>IF(OR($N134&lt;&gt;"Finalizado",$Q134&lt;&gt;"Si"),0,IF($I134=$M134,Reglas!$B$4,0))</x:f>
        <x:v>0</x:v>
      </x:c>
      <x:c r="V134" t="n">
        <x:f>IF(OR($N134&lt;&gt;"Finalizado",$Q134&lt;&gt;"Si",$R134&lt;&gt;"Si"),0,IF(AND($F134=$J134,$G134=$K134),Reglas!$B$5,0))</x:f>
        <x:v>0</x:v>
      </x:c>
      <x:c r="W134" t="n">
        <x:f>IF(OR($N134&lt;&gt;"Finalizado",$Q134&lt;&gt;"Si",$R134&lt;&gt;"Si"),0,IF($F134-$G134=$J134-$K134,Reglas!$B$6,0))</x:f>
        <x:v>0</x:v>
      </x:c>
      <x:c r="X134" t="n">
        <x:f>IF(OR($N134&lt;&gt;"Finalizado",$Q134&lt;&gt;"Si",$R134&lt;&gt;"Si"),0,IF($F134=$J134,Reglas!$B$7,0))</x:f>
        <x:v>0</x:v>
      </x:c>
      <x:c r="Y134" t="n">
        <x:f>IF(OR($N134&lt;&gt;"Finalizado",$Q134&lt;&gt;"Si",$R134&lt;&gt;"Si"),0,IF($G134=$K134,Reglas!$B$8,0))</x:f>
        <x:v>0</x:v>
      </x:c>
      <x:c r="Z134" t="n">
        <x:f>SUM($S134:$Y134)</x:f>
        <x:v>0</x:v>
      </x:c>
      <x:c r="AA134" t="str">
        <x:f>IF($N134&lt;&gt;"Finalizado","Resultado pendiente",IF($H134="Sin envio","Sin respuesta",IF($Q134&lt;&gt;"Si","No acerto clasificado","OK")))</x:f>
        <x:v>No acerto clasificado</x:v>
      </x:c>
      <x:c r="AB134" t="str">
        <x:v>8vos detalle reconstruido</x:v>
      </x:c>
      <x:c r="AC134" t="n">
        <x:v>0</x:v>
      </x:c>
      <x:c r="AD134" t="n">
        <x:f>$Z134-$AC134</x:f>
        <x:v>0</x:v>
      </x:c>
    </x:row>
    <x:row r="135" ht="15" hidden="0" customHeight="1">
      <x:c r="A135" t="str">
        <x:v>8vos</x:v>
      </x:c>
      <x:c r="B135" t="str">
        <x:v>O7</x:v>
      </x:c>
      <x:c r="C135" t="str">
        <x:v>Gabriela</x:v>
      </x:c>
      <x:c r="D135" t="str">
        <x:v>Suiza</x:v>
      </x:c>
      <x:c r="E135" t="str">
        <x:v>Colombia</x:v>
      </x:c>
      <x:c r="F135" t="n">
        <x:v>0</x:v>
      </x:c>
      <x:c r="G135" t="n">
        <x:v>2</x:v>
      </x:c>
      <x:c r="H135" t="str">
        <x:v>Colombia</x:v>
      </x:c>
      <x:c r="I135" t="str">
        <x:v>90 minutos</x:v>
      </x:c>
      <x:c r="J135" t="n">
        <x:v>0</x:v>
      </x:c>
      <x:c r="K135" t="n">
        <x:v>0</x:v>
      </x:c>
      <x:c r="L135" t="str">
        <x:v>Suiza</x:v>
      </x:c>
      <x:c r="M135" t="str">
        <x:v>Penales</x:v>
      </x:c>
      <x:c r="N135" t="str">
        <x:v>Finalizado</x:v>
      </x:c>
      <x:c r="O135" t="str">
        <x:f>IF($H135="Sin envio","Sin envio",IF($I135="90 minutos",IF($F135&gt;$G135,"A",IF($G135&gt;$F135,"B","E")),"E"))</x:f>
        <x:v>B</x:v>
      </x:c>
      <x:c r="P135" t="str">
        <x:f>IF($M135="90 minutos",IF($J135&gt;$K135,"A",IF($K135&gt;$J135,"B","E")),"E")</x:f>
        <x:v>E</x:v>
      </x:c>
      <x:c r="Q135" t="str">
        <x:f>IF($H135="Sin envio","No",IF($H135=$L135,"Si","No"))</x:f>
        <x:v>No</x:v>
      </x:c>
      <x:c r="R135" t="str">
        <x:f>IF(AND($I135=$M135,NOT(AND($I135="Penales",$F135&lt;&gt;$G135))),"Si","No")</x:f>
        <x:v>No</x:v>
      </x:c>
      <x:c r="S135" t="n">
        <x:f>IF(OR($N135&lt;&gt;"Finalizado",$Q135&lt;&gt;"Si"),0,IF($O135=$P135,Reglas!$B$2,0))</x:f>
        <x:v>0</x:v>
      </x:c>
      <x:c r="T135" t="n">
        <x:f>IF(OR($N135&lt;&gt;"Finalizado",$Q135&lt;&gt;"Si"),0,Reglas!$B$3)</x:f>
        <x:v>0</x:v>
      </x:c>
      <x:c r="U135" t="n">
        <x:f>IF(OR($N135&lt;&gt;"Finalizado",$Q135&lt;&gt;"Si"),0,IF($I135=$M135,Reglas!$B$4,0))</x:f>
        <x:v>0</x:v>
      </x:c>
      <x:c r="V135" t="n">
        <x:f>IF(OR($N135&lt;&gt;"Finalizado",$Q135&lt;&gt;"Si",$R135&lt;&gt;"Si"),0,IF(AND($F135=$J135,$G135=$K135),Reglas!$B$5,0))</x:f>
        <x:v>0</x:v>
      </x:c>
      <x:c r="W135" t="n">
        <x:f>IF(OR($N135&lt;&gt;"Finalizado",$Q135&lt;&gt;"Si",$R135&lt;&gt;"Si"),0,IF($F135-$G135=$J135-$K135,Reglas!$B$6,0))</x:f>
        <x:v>0</x:v>
      </x:c>
      <x:c r="X135" t="n">
        <x:f>IF(OR($N135&lt;&gt;"Finalizado",$Q135&lt;&gt;"Si",$R135&lt;&gt;"Si"),0,IF($F135=$J135,Reglas!$B$7,0))</x:f>
        <x:v>0</x:v>
      </x:c>
      <x:c r="Y135" t="n">
        <x:f>IF(OR($N135&lt;&gt;"Finalizado",$Q135&lt;&gt;"Si",$R135&lt;&gt;"Si"),0,IF($G135=$K135,Reglas!$B$8,0))</x:f>
        <x:v>0</x:v>
      </x:c>
      <x:c r="Z135" t="n">
        <x:f>SUM($S135:$Y135)</x:f>
        <x:v>0</x:v>
      </x:c>
      <x:c r="AA135" t="str">
        <x:f>IF($N135&lt;&gt;"Finalizado","Resultado pendiente",IF($H135="Sin envio","Sin respuesta",IF($Q135&lt;&gt;"Si","No acerto clasificado","OK")))</x:f>
        <x:v>No acerto clasificado</x:v>
      </x:c>
      <x:c r="AB135" t="str">
        <x:v>8vos detalle reconstruido</x:v>
      </x:c>
      <x:c r="AC135" t="n">
        <x:v>0</x:v>
      </x:c>
      <x:c r="AD135" t="n">
        <x:f>$Z135-$AC135</x:f>
        <x:v>0</x:v>
      </x:c>
    </x:row>
    <x:row r="136" ht="15" hidden="0" customHeight="1">
      <x:c r="A136" t="str">
        <x:v>8vos</x:v>
      </x:c>
      <x:c r="B136" t="str">
        <x:v>O7</x:v>
      </x:c>
      <x:c r="C136" t="str">
        <x:v>Jean</x:v>
      </x:c>
      <x:c r="D136" t="str">
        <x:v>Suiza</x:v>
      </x:c>
      <x:c r="E136" t="str">
        <x:v>Colombia</x:v>
      </x:c>
      <x:c r="F136" t="n">
        <x:v>0</x:v>
      </x:c>
      <x:c r="G136" t="n">
        <x:v>1</x:v>
      </x:c>
      <x:c r="H136" t="str">
        <x:v>Colombia</x:v>
      </x:c>
      <x:c r="I136" t="str">
        <x:v>90 minutos</x:v>
      </x:c>
      <x:c r="J136" t="n">
        <x:v>0</x:v>
      </x:c>
      <x:c r="K136" t="n">
        <x:v>0</x:v>
      </x:c>
      <x:c r="L136" t="str">
        <x:v>Suiza</x:v>
      </x:c>
      <x:c r="M136" t="str">
        <x:v>Penales</x:v>
      </x:c>
      <x:c r="N136" t="str">
        <x:v>Finalizado</x:v>
      </x:c>
      <x:c r="O136" t="str">
        <x:f>IF($H136="Sin envio","Sin envio",IF($I136="90 minutos",IF($F136&gt;$G136,"A",IF($G136&gt;$F136,"B","E")),"E"))</x:f>
        <x:v>B</x:v>
      </x:c>
      <x:c r="P136" t="str">
        <x:f>IF($M136="90 minutos",IF($J136&gt;$K136,"A",IF($K136&gt;$J136,"B","E")),"E")</x:f>
        <x:v>E</x:v>
      </x:c>
      <x:c r="Q136" t="str">
        <x:f>IF($H136="Sin envio","No",IF($H136=$L136,"Si","No"))</x:f>
        <x:v>No</x:v>
      </x:c>
      <x:c r="R136" t="str">
        <x:f>IF(AND($I136=$M136,NOT(AND($I136="Penales",$F136&lt;&gt;$G136))),"Si","No")</x:f>
        <x:v>No</x:v>
      </x:c>
      <x:c r="S136" t="n">
        <x:f>IF(OR($N136&lt;&gt;"Finalizado",$Q136&lt;&gt;"Si"),0,IF($O136=$P136,Reglas!$B$2,0))</x:f>
        <x:v>0</x:v>
      </x:c>
      <x:c r="T136" t="n">
        <x:f>IF(OR($N136&lt;&gt;"Finalizado",$Q136&lt;&gt;"Si"),0,Reglas!$B$3)</x:f>
        <x:v>0</x:v>
      </x:c>
      <x:c r="U136" t="n">
        <x:f>IF(OR($N136&lt;&gt;"Finalizado",$Q136&lt;&gt;"Si"),0,IF($I136=$M136,Reglas!$B$4,0))</x:f>
        <x:v>0</x:v>
      </x:c>
      <x:c r="V136" t="n">
        <x:f>IF(OR($N136&lt;&gt;"Finalizado",$Q136&lt;&gt;"Si",$R136&lt;&gt;"Si"),0,IF(AND($F136=$J136,$G136=$K136),Reglas!$B$5,0))</x:f>
        <x:v>0</x:v>
      </x:c>
      <x:c r="W136" t="n">
        <x:f>IF(OR($N136&lt;&gt;"Finalizado",$Q136&lt;&gt;"Si",$R136&lt;&gt;"Si"),0,IF($F136-$G136=$J136-$K136,Reglas!$B$6,0))</x:f>
        <x:v>0</x:v>
      </x:c>
      <x:c r="X136" t="n">
        <x:f>IF(OR($N136&lt;&gt;"Finalizado",$Q136&lt;&gt;"Si",$R136&lt;&gt;"Si"),0,IF($F136=$J136,Reglas!$B$7,0))</x:f>
        <x:v>0</x:v>
      </x:c>
      <x:c r="Y136" t="n">
        <x:f>IF(OR($N136&lt;&gt;"Finalizado",$Q136&lt;&gt;"Si",$R136&lt;&gt;"Si"),0,IF($G136=$K136,Reglas!$B$8,0))</x:f>
        <x:v>0</x:v>
      </x:c>
      <x:c r="Z136" t="n">
        <x:f>SUM($S136:$Y136)</x:f>
        <x:v>0</x:v>
      </x:c>
      <x:c r="AA136" t="str">
        <x:f>IF($N136&lt;&gt;"Finalizado","Resultado pendiente",IF($H136="Sin envio","Sin respuesta",IF($Q136&lt;&gt;"Si","No acerto clasificado","OK")))</x:f>
        <x:v>No acerto clasificado</x:v>
      </x:c>
      <x:c r="AB136" t="str">
        <x:v>8vos detalle reconstruido</x:v>
      </x:c>
      <x:c r="AC136" t="n">
        <x:v>0</x:v>
      </x:c>
      <x:c r="AD136" t="n">
        <x:f>$Z136-$AC136</x:f>
        <x:v>0</x:v>
      </x:c>
    </x:row>
    <x:row r="137" ht="15" hidden="0" customHeight="1">
      <x:c r="A137" t="str">
        <x:v>8vos</x:v>
      </x:c>
      <x:c r="B137" t="str">
        <x:v>O7</x:v>
      </x:c>
      <x:c r="C137" t="str">
        <x:v>Juan</x:v>
      </x:c>
      <x:c r="D137" t="str">
        <x:v>Suiza</x:v>
      </x:c>
      <x:c r="E137" t="str">
        <x:v>Colombia</x:v>
      </x:c>
      <x:c r="F137" t="n">
        <x:v>1</x:v>
      </x:c>
      <x:c r="G137" t="n">
        <x:v>2</x:v>
      </x:c>
      <x:c r="H137" t="str">
        <x:v>Colombia</x:v>
      </x:c>
      <x:c r="I137" t="str">
        <x:v>90 minutos</x:v>
      </x:c>
      <x:c r="J137" t="n">
        <x:v>0</x:v>
      </x:c>
      <x:c r="K137" t="n">
        <x:v>0</x:v>
      </x:c>
      <x:c r="L137" t="str">
        <x:v>Suiza</x:v>
      </x:c>
      <x:c r="M137" t="str">
        <x:v>Penales</x:v>
      </x:c>
      <x:c r="N137" t="str">
        <x:v>Finalizado</x:v>
      </x:c>
      <x:c r="O137" t="str">
        <x:f>IF($H137="Sin envio","Sin envio",IF($I137="90 minutos",IF($F137&gt;$G137,"A",IF($G137&gt;$F137,"B","E")),"E"))</x:f>
        <x:v>B</x:v>
      </x:c>
      <x:c r="P137" t="str">
        <x:f>IF($M137="90 minutos",IF($J137&gt;$K137,"A",IF($K137&gt;$J137,"B","E")),"E")</x:f>
        <x:v>E</x:v>
      </x:c>
      <x:c r="Q137" t="str">
        <x:f>IF($H137="Sin envio","No",IF($H137=$L137,"Si","No"))</x:f>
        <x:v>No</x:v>
      </x:c>
      <x:c r="R137" t="str">
        <x:f>IF(AND($I137=$M137,NOT(AND($I137="Penales",$F137&lt;&gt;$G137))),"Si","No")</x:f>
        <x:v>No</x:v>
      </x:c>
      <x:c r="S137" t="n">
        <x:f>IF(OR($N137&lt;&gt;"Finalizado",$Q137&lt;&gt;"Si"),0,IF($O137=$P137,Reglas!$B$2,0))</x:f>
        <x:v>0</x:v>
      </x:c>
      <x:c r="T137" t="n">
        <x:f>IF(OR($N137&lt;&gt;"Finalizado",$Q137&lt;&gt;"Si"),0,Reglas!$B$3)</x:f>
        <x:v>0</x:v>
      </x:c>
      <x:c r="U137" t="n">
        <x:f>IF(OR($N137&lt;&gt;"Finalizado",$Q137&lt;&gt;"Si"),0,IF($I137=$M137,Reglas!$B$4,0))</x:f>
        <x:v>0</x:v>
      </x:c>
      <x:c r="V137" t="n">
        <x:f>IF(OR($N137&lt;&gt;"Finalizado",$Q137&lt;&gt;"Si",$R137&lt;&gt;"Si"),0,IF(AND($F137=$J137,$G137=$K137),Reglas!$B$5,0))</x:f>
        <x:v>0</x:v>
      </x:c>
      <x:c r="W137" t="n">
        <x:f>IF(OR($N137&lt;&gt;"Finalizado",$Q137&lt;&gt;"Si",$R137&lt;&gt;"Si"),0,IF($F137-$G137=$J137-$K137,Reglas!$B$6,0))</x:f>
        <x:v>0</x:v>
      </x:c>
      <x:c r="X137" t="n">
        <x:f>IF(OR($N137&lt;&gt;"Finalizado",$Q137&lt;&gt;"Si",$R137&lt;&gt;"Si"),0,IF($F137=$J137,Reglas!$B$7,0))</x:f>
        <x:v>0</x:v>
      </x:c>
      <x:c r="Y137" t="n">
        <x:f>IF(OR($N137&lt;&gt;"Finalizado",$Q137&lt;&gt;"Si",$R137&lt;&gt;"Si"),0,IF($G137=$K137,Reglas!$B$8,0))</x:f>
        <x:v>0</x:v>
      </x:c>
      <x:c r="Z137" t="n">
        <x:f>SUM($S137:$Y137)</x:f>
        <x:v>0</x:v>
      </x:c>
      <x:c r="AA137" t="str">
        <x:f>IF($N137&lt;&gt;"Finalizado","Resultado pendiente",IF($H137="Sin envio","Sin respuesta",IF($Q137&lt;&gt;"Si","No acerto clasificado","OK")))</x:f>
        <x:v>No acerto clasificado</x:v>
      </x:c>
      <x:c r="AB137" t="str">
        <x:v>8vos detalle reconstruido</x:v>
      </x:c>
      <x:c r="AC137" t="n">
        <x:v>0</x:v>
      </x:c>
      <x:c r="AD137" t="n">
        <x:f>$Z137-$AC137</x:f>
        <x:v>0</x:v>
      </x:c>
    </x:row>
    <x:row r="138" ht="15" hidden="0" customHeight="1">
      <x:c r="A138" t="str">
        <x:v>8vos</x:v>
      </x:c>
      <x:c r="B138" t="str">
        <x:v>O7</x:v>
      </x:c>
      <x:c r="C138" t="str">
        <x:v>Jesús</x:v>
      </x:c>
      <x:c r="D138" t="str">
        <x:v>Suiza</x:v>
      </x:c>
      <x:c r="E138" t="str">
        <x:v>Colombia</x:v>
      </x:c>
      <x:c r="F138" t="n">
        <x:v>0</x:v>
      </x:c>
      <x:c r="G138" t="n">
        <x:v>2</x:v>
      </x:c>
      <x:c r="H138" t="str">
        <x:v>Colombia</x:v>
      </x:c>
      <x:c r="I138" t="str">
        <x:v>90 minutos</x:v>
      </x:c>
      <x:c r="J138" t="n">
        <x:v>0</x:v>
      </x:c>
      <x:c r="K138" t="n">
        <x:v>0</x:v>
      </x:c>
      <x:c r="L138" t="str">
        <x:v>Suiza</x:v>
      </x:c>
      <x:c r="M138" t="str">
        <x:v>Penales</x:v>
      </x:c>
      <x:c r="N138" t="str">
        <x:v>Finalizado</x:v>
      </x:c>
      <x:c r="O138" t="str">
        <x:f>IF($H138="Sin envio","Sin envio",IF($I138="90 minutos",IF($F138&gt;$G138,"A",IF($G138&gt;$F138,"B","E")),"E"))</x:f>
        <x:v>B</x:v>
      </x:c>
      <x:c r="P138" t="str">
        <x:f>IF($M138="90 minutos",IF($J138&gt;$K138,"A",IF($K138&gt;$J138,"B","E")),"E")</x:f>
        <x:v>E</x:v>
      </x:c>
      <x:c r="Q138" t="str">
        <x:f>IF($H138="Sin envio","No",IF($H138=$L138,"Si","No"))</x:f>
        <x:v>No</x:v>
      </x:c>
      <x:c r="R138" t="str">
        <x:f>IF(AND($I138=$M138,NOT(AND($I138="Penales",$F138&lt;&gt;$G138))),"Si","No")</x:f>
        <x:v>No</x:v>
      </x:c>
      <x:c r="S138" t="n">
        <x:f>IF(OR($N138&lt;&gt;"Finalizado",$Q138&lt;&gt;"Si"),0,IF($O138=$P138,Reglas!$B$2,0))</x:f>
        <x:v>0</x:v>
      </x:c>
      <x:c r="T138" t="n">
        <x:f>IF(OR($N138&lt;&gt;"Finalizado",$Q138&lt;&gt;"Si"),0,Reglas!$B$3)</x:f>
        <x:v>0</x:v>
      </x:c>
      <x:c r="U138" t="n">
        <x:f>IF(OR($N138&lt;&gt;"Finalizado",$Q138&lt;&gt;"Si"),0,IF($I138=$M138,Reglas!$B$4,0))</x:f>
        <x:v>0</x:v>
      </x:c>
      <x:c r="V138" t="n">
        <x:f>IF(OR($N138&lt;&gt;"Finalizado",$Q138&lt;&gt;"Si",$R138&lt;&gt;"Si"),0,IF(AND($F138=$J138,$G138=$K138),Reglas!$B$5,0))</x:f>
        <x:v>0</x:v>
      </x:c>
      <x:c r="W138" t="n">
        <x:f>IF(OR($N138&lt;&gt;"Finalizado",$Q138&lt;&gt;"Si",$R138&lt;&gt;"Si"),0,IF($F138-$G138=$J138-$K138,Reglas!$B$6,0))</x:f>
        <x:v>0</x:v>
      </x:c>
      <x:c r="X138" t="n">
        <x:f>IF(OR($N138&lt;&gt;"Finalizado",$Q138&lt;&gt;"Si",$R138&lt;&gt;"Si"),0,IF($F138=$J138,Reglas!$B$7,0))</x:f>
        <x:v>0</x:v>
      </x:c>
      <x:c r="Y138" t="n">
        <x:f>IF(OR($N138&lt;&gt;"Finalizado",$Q138&lt;&gt;"Si",$R138&lt;&gt;"Si"),0,IF($G138=$K138,Reglas!$B$8,0))</x:f>
        <x:v>0</x:v>
      </x:c>
      <x:c r="Z138" t="n">
        <x:f>SUM($S138:$Y138)</x:f>
        <x:v>0</x:v>
      </x:c>
      <x:c r="AA138" t="str">
        <x:f>IF($N138&lt;&gt;"Finalizado","Resultado pendiente",IF($H138="Sin envio","Sin respuesta",IF($Q138&lt;&gt;"Si","No acerto clasificado","OK")))</x:f>
        <x:v>No acerto clasificado</x:v>
      </x:c>
      <x:c r="AB138" t="str">
        <x:v>8vos detalle reconstruido</x:v>
      </x:c>
      <x:c r="AC138" t="n">
        <x:v>0</x:v>
      </x:c>
      <x:c r="AD138" t="n">
        <x:f>$Z138-$AC138</x:f>
        <x:v>0</x:v>
      </x:c>
    </x:row>
    <x:row r="139" ht="15" hidden="0" customHeight="1">
      <x:c r="A139" t="str">
        <x:v>8vos</x:v>
      </x:c>
      <x:c r="B139" t="str">
        <x:v>O7</x:v>
      </x:c>
      <x:c r="C139" t="str">
        <x:v>Diego</x:v>
      </x:c>
      <x:c r="D139" t="str">
        <x:v>Suiza</x:v>
      </x:c>
      <x:c r="E139" t="str">
        <x:v>Colombia</x:v>
      </x:c>
      <x:c r="F139" t="n">
        <x:v>1</x:v>
      </x:c>
      <x:c r="G139" t="n">
        <x:v>1</x:v>
      </x:c>
      <x:c r="H139" t="str">
        <x:v>Colombia</x:v>
      </x:c>
      <x:c r="I139" t="str">
        <x:v>Penales</x:v>
      </x:c>
      <x:c r="J139" t="n">
        <x:v>0</x:v>
      </x:c>
      <x:c r="K139" t="n">
        <x:v>0</x:v>
      </x:c>
      <x:c r="L139" t="str">
        <x:v>Suiza</x:v>
      </x:c>
      <x:c r="M139" t="str">
        <x:v>Penales</x:v>
      </x:c>
      <x:c r="N139" t="str">
        <x:v>Finalizado</x:v>
      </x:c>
      <x:c r="O139" t="str">
        <x:f>IF($H139="Sin envio","Sin envio",IF($I139="90 minutos",IF($F139&gt;$G139,"A",IF($G139&gt;$F139,"B","E")),"E"))</x:f>
        <x:v>E</x:v>
      </x:c>
      <x:c r="P139" t="str">
        <x:f>IF($M139="90 minutos",IF($J139&gt;$K139,"A",IF($K139&gt;$J139,"B","E")),"E")</x:f>
        <x:v>E</x:v>
      </x:c>
      <x:c r="Q139" t="str">
        <x:f>IF($H139="Sin envio","No",IF($H139=$L139,"Si","No"))</x:f>
        <x:v>No</x:v>
      </x:c>
      <x:c r="R139" t="str">
        <x:f>IF(AND($I139=$M139,NOT(AND($I139="Penales",$F139&lt;&gt;$G139))),"Si","No")</x:f>
        <x:v>Si</x:v>
      </x:c>
      <x:c r="S139" t="n">
        <x:f>IF(OR($N139&lt;&gt;"Finalizado",$Q139&lt;&gt;"Si"),0,IF($O139=$P139,Reglas!$B$2,0))</x:f>
        <x:v>0</x:v>
      </x:c>
      <x:c r="T139" t="n">
        <x:f>IF(OR($N139&lt;&gt;"Finalizado",$Q139&lt;&gt;"Si"),0,Reglas!$B$3)</x:f>
        <x:v>0</x:v>
      </x:c>
      <x:c r="U139" t="n">
        <x:f>IF(OR($N139&lt;&gt;"Finalizado",$Q139&lt;&gt;"Si"),0,IF($I139=$M139,Reglas!$B$4,0))</x:f>
        <x:v>0</x:v>
      </x:c>
      <x:c r="V139" t="n">
        <x:f>IF(OR($N139&lt;&gt;"Finalizado",$Q139&lt;&gt;"Si",$R139&lt;&gt;"Si"),0,IF(AND($F139=$J139,$G139=$K139),Reglas!$B$5,0))</x:f>
        <x:v>0</x:v>
      </x:c>
      <x:c r="W139" t="n">
        <x:f>IF(OR($N139&lt;&gt;"Finalizado",$Q139&lt;&gt;"Si",$R139&lt;&gt;"Si"),0,IF($F139-$G139=$J139-$K139,Reglas!$B$6,0))</x:f>
        <x:v>0</x:v>
      </x:c>
      <x:c r="X139" t="n">
        <x:f>IF(OR($N139&lt;&gt;"Finalizado",$Q139&lt;&gt;"Si",$R139&lt;&gt;"Si"),0,IF($F139=$J139,Reglas!$B$7,0))</x:f>
        <x:v>0</x:v>
      </x:c>
      <x:c r="Y139" t="n">
        <x:f>IF(OR($N139&lt;&gt;"Finalizado",$Q139&lt;&gt;"Si",$R139&lt;&gt;"Si"),0,IF($G139=$K139,Reglas!$B$8,0))</x:f>
        <x:v>0</x:v>
      </x:c>
      <x:c r="Z139" t="n">
        <x:f>SUM($S139:$Y139)</x:f>
        <x:v>0</x:v>
      </x:c>
      <x:c r="AA139" t="str">
        <x:f>IF($N139&lt;&gt;"Finalizado","Resultado pendiente",IF($H139="Sin envio","Sin respuesta",IF($Q139&lt;&gt;"Si","No acerto clasificado","OK")))</x:f>
        <x:v>No acerto clasificado</x:v>
      </x:c>
      <x:c r="AB139" t="str">
        <x:v>8vos detalle reconstruido</x:v>
      </x:c>
      <x:c r="AC139" t="n">
        <x:v>0</x:v>
      </x:c>
      <x:c r="AD139" t="n">
        <x:f>$Z139-$AC139</x:f>
        <x:v>0</x:v>
      </x:c>
    </x:row>
    <x:row r="140" ht="15" hidden="0" customHeight="1">
      <x:c r="A140" t="str">
        <x:v>8vos</x:v>
      </x:c>
      <x:c r="B140" t="str">
        <x:v>O7</x:v>
      </x:c>
      <x:c r="C140" t="str">
        <x:v>Aldo</x:v>
      </x:c>
      <x:c r="D140" t="str">
        <x:v>Suiza</x:v>
      </x:c>
      <x:c r="E140" t="str">
        <x:v>Colombia</x:v>
      </x:c>
      <x:c r="F140" t="n">
        <x:v>1</x:v>
      </x:c>
      <x:c r="G140" t="n">
        <x:v>2</x:v>
      </x:c>
      <x:c r="H140" t="str">
        <x:v>Colombia</x:v>
      </x:c>
      <x:c r="I140" t="str">
        <x:v>90 minutos</x:v>
      </x:c>
      <x:c r="J140" t="n">
        <x:v>0</x:v>
      </x:c>
      <x:c r="K140" t="n">
        <x:v>0</x:v>
      </x:c>
      <x:c r="L140" t="str">
        <x:v>Suiza</x:v>
      </x:c>
      <x:c r="M140" t="str">
        <x:v>Penales</x:v>
      </x:c>
      <x:c r="N140" t="str">
        <x:v>Finalizado</x:v>
      </x:c>
      <x:c r="O140" t="str">
        <x:f>IF($H140="Sin envio","Sin envio",IF($I140="90 minutos",IF($F140&gt;$G140,"A",IF($G140&gt;$F140,"B","E")),"E"))</x:f>
        <x:v>B</x:v>
      </x:c>
      <x:c r="P140" t="str">
        <x:f>IF($M140="90 minutos",IF($J140&gt;$K140,"A",IF($K140&gt;$J140,"B","E")),"E")</x:f>
        <x:v>E</x:v>
      </x:c>
      <x:c r="Q140" t="str">
        <x:f>IF($H140="Sin envio","No",IF($H140=$L140,"Si","No"))</x:f>
        <x:v>No</x:v>
      </x:c>
      <x:c r="R140" t="str">
        <x:f>IF(AND($I140=$M140,NOT(AND($I140="Penales",$F140&lt;&gt;$G140))),"Si","No")</x:f>
        <x:v>No</x:v>
      </x:c>
      <x:c r="S140" t="n">
        <x:f>IF(OR($N140&lt;&gt;"Finalizado",$Q140&lt;&gt;"Si"),0,IF($O140=$P140,Reglas!$B$2,0))</x:f>
        <x:v>0</x:v>
      </x:c>
      <x:c r="T140" t="n">
        <x:f>IF(OR($N140&lt;&gt;"Finalizado",$Q140&lt;&gt;"Si"),0,Reglas!$B$3)</x:f>
        <x:v>0</x:v>
      </x:c>
      <x:c r="U140" t="n">
        <x:f>IF(OR($N140&lt;&gt;"Finalizado",$Q140&lt;&gt;"Si"),0,IF($I140=$M140,Reglas!$B$4,0))</x:f>
        <x:v>0</x:v>
      </x:c>
      <x:c r="V140" t="n">
        <x:f>IF(OR($N140&lt;&gt;"Finalizado",$Q140&lt;&gt;"Si",$R140&lt;&gt;"Si"),0,IF(AND($F140=$J140,$G140=$K140),Reglas!$B$5,0))</x:f>
        <x:v>0</x:v>
      </x:c>
      <x:c r="W140" t="n">
        <x:f>IF(OR($N140&lt;&gt;"Finalizado",$Q140&lt;&gt;"Si",$R140&lt;&gt;"Si"),0,IF($F140-$G140=$J140-$K140,Reglas!$B$6,0))</x:f>
        <x:v>0</x:v>
      </x:c>
      <x:c r="X140" t="n">
        <x:f>IF(OR($N140&lt;&gt;"Finalizado",$Q140&lt;&gt;"Si",$R140&lt;&gt;"Si"),0,IF($F140=$J140,Reglas!$B$7,0))</x:f>
        <x:v>0</x:v>
      </x:c>
      <x:c r="Y140" t="n">
        <x:f>IF(OR($N140&lt;&gt;"Finalizado",$Q140&lt;&gt;"Si",$R140&lt;&gt;"Si"),0,IF($G140=$K140,Reglas!$B$8,0))</x:f>
        <x:v>0</x:v>
      </x:c>
      <x:c r="Z140" t="n">
        <x:f>SUM($S140:$Y140)</x:f>
        <x:v>0</x:v>
      </x:c>
      <x:c r="AA140" t="str">
        <x:f>IF($N140&lt;&gt;"Finalizado","Resultado pendiente",IF($H140="Sin envio","Sin respuesta",IF($Q140&lt;&gt;"Si","No acerto clasificado","OK")))</x:f>
        <x:v>No acerto clasificado</x:v>
      </x:c>
      <x:c r="AB140" t="str">
        <x:v>8vos detalle reconstruido</x:v>
      </x:c>
      <x:c r="AC140" t="n">
        <x:v>0</x:v>
      </x:c>
      <x:c r="AD140" t="n">
        <x:f>$Z140-$AC140</x:f>
        <x:v>0</x:v>
      </x:c>
    </x:row>
    <x:row r="141" ht="15" hidden="0" customHeight="1">
      <x:c r="A141" t="str">
        <x:v>8vos</x:v>
      </x:c>
      <x:c r="B141" t="str">
        <x:v>O7</x:v>
      </x:c>
      <x:c r="C141" t="str">
        <x:v>Javier</x:v>
      </x:c>
      <x:c r="D141" t="str">
        <x:v>Suiza</x:v>
      </x:c>
      <x:c r="E141" t="str">
        <x:v>Colombia</x:v>
      </x:c>
      <x:c r="F141" t="n">
        <x:v>1</x:v>
      </x:c>
      <x:c r="G141" t="n">
        <x:v>2</x:v>
      </x:c>
      <x:c r="H141" t="str">
        <x:v>Colombia</x:v>
      </x:c>
      <x:c r="I141" t="str">
        <x:v>Suplementario</x:v>
      </x:c>
      <x:c r="J141" t="n">
        <x:v>0</x:v>
      </x:c>
      <x:c r="K141" t="n">
        <x:v>0</x:v>
      </x:c>
      <x:c r="L141" t="str">
        <x:v>Suiza</x:v>
      </x:c>
      <x:c r="M141" t="str">
        <x:v>Penales</x:v>
      </x:c>
      <x:c r="N141" t="str">
        <x:v>Finalizado</x:v>
      </x:c>
      <x:c r="O141" t="str">
        <x:f>IF($H141="Sin envio","Sin envio",IF($I141="90 minutos",IF($F141&gt;$G141,"A",IF($G141&gt;$F141,"B","E")),"E"))</x:f>
        <x:v>E</x:v>
      </x:c>
      <x:c r="P141" t="str">
        <x:f>IF($M141="90 minutos",IF($J141&gt;$K141,"A",IF($K141&gt;$J141,"B","E")),"E")</x:f>
        <x:v>E</x:v>
      </x:c>
      <x:c r="Q141" t="str">
        <x:f>IF($H141="Sin envio","No",IF($H141=$L141,"Si","No"))</x:f>
        <x:v>No</x:v>
      </x:c>
      <x:c r="R141" t="str">
        <x:f>IF(AND($I141=$M141,NOT(AND($I141="Penales",$F141&lt;&gt;$G141))),"Si","No")</x:f>
        <x:v>No</x:v>
      </x:c>
      <x:c r="S141" t="n">
        <x:f>IF(OR($N141&lt;&gt;"Finalizado",$Q141&lt;&gt;"Si"),0,IF($O141=$P141,Reglas!$B$2,0))</x:f>
        <x:v>0</x:v>
      </x:c>
      <x:c r="T141" t="n">
        <x:f>IF(OR($N141&lt;&gt;"Finalizado",$Q141&lt;&gt;"Si"),0,Reglas!$B$3)</x:f>
        <x:v>0</x:v>
      </x:c>
      <x:c r="U141" t="n">
        <x:f>IF(OR($N141&lt;&gt;"Finalizado",$Q141&lt;&gt;"Si"),0,IF($I141=$M141,Reglas!$B$4,0))</x:f>
        <x:v>0</x:v>
      </x:c>
      <x:c r="V141" t="n">
        <x:f>IF(OR($N141&lt;&gt;"Finalizado",$Q141&lt;&gt;"Si",$R141&lt;&gt;"Si"),0,IF(AND($F141=$J141,$G141=$K141),Reglas!$B$5,0))</x:f>
        <x:v>0</x:v>
      </x:c>
      <x:c r="W141" t="n">
        <x:f>IF(OR($N141&lt;&gt;"Finalizado",$Q141&lt;&gt;"Si",$R141&lt;&gt;"Si"),0,IF($F141-$G141=$J141-$K141,Reglas!$B$6,0))</x:f>
        <x:v>0</x:v>
      </x:c>
      <x:c r="X141" t="n">
        <x:f>IF(OR($N141&lt;&gt;"Finalizado",$Q141&lt;&gt;"Si",$R141&lt;&gt;"Si"),0,IF($F141=$J141,Reglas!$B$7,0))</x:f>
        <x:v>0</x:v>
      </x:c>
      <x:c r="Y141" t="n">
        <x:f>IF(OR($N141&lt;&gt;"Finalizado",$Q141&lt;&gt;"Si",$R141&lt;&gt;"Si"),0,IF($G141=$K141,Reglas!$B$8,0))</x:f>
        <x:v>0</x:v>
      </x:c>
      <x:c r="Z141" t="n">
        <x:f>SUM($S141:$Y141)</x:f>
        <x:v>0</x:v>
      </x:c>
      <x:c r="AA141" t="str">
        <x:f>IF($N141&lt;&gt;"Finalizado","Resultado pendiente",IF($H141="Sin envio","Sin respuesta",IF($Q141&lt;&gt;"Si","No acerto clasificado","OK")))</x:f>
        <x:v>No acerto clasificado</x:v>
      </x:c>
      <x:c r="AB141" t="str">
        <x:v>8vos detalle reconstruido</x:v>
      </x:c>
      <x:c r="AC141" t="n">
        <x:v>0</x:v>
      </x:c>
      <x:c r="AD141" t="n">
        <x:f>$Z141-$AC141</x:f>
        <x:v>0</x:v>
      </x:c>
    </x:row>
    <x:row r="142" ht="15" hidden="0" customHeight="1">
      <x:c r="A142" t="str">
        <x:v>8vos</x:v>
      </x:c>
      <x:c r="B142" t="str">
        <x:v>O7</x:v>
      </x:c>
      <x:c r="C142" t="str">
        <x:v>Gino</x:v>
      </x:c>
      <x:c r="D142" t="str">
        <x:v>Suiza</x:v>
      </x:c>
      <x:c r="E142" t="str">
        <x:v>Colombia</x:v>
      </x:c>
      <x:c r="F142" t="n">
        <x:v>0</x:v>
      </x:c>
      <x:c r="G142" t="n">
        <x:v>2</x:v>
      </x:c>
      <x:c r="H142" t="str">
        <x:v>Colombia</x:v>
      </x:c>
      <x:c r="I142" t="str">
        <x:v>90 minutos</x:v>
      </x:c>
      <x:c r="J142" t="n">
        <x:v>0</x:v>
      </x:c>
      <x:c r="K142" t="n">
        <x:v>0</x:v>
      </x:c>
      <x:c r="L142" t="str">
        <x:v>Suiza</x:v>
      </x:c>
      <x:c r="M142" t="str">
        <x:v>Penales</x:v>
      </x:c>
      <x:c r="N142" t="str">
        <x:v>Finalizado</x:v>
      </x:c>
      <x:c r="O142" t="str">
        <x:f>IF($H142="Sin envio","Sin envio",IF($I142="90 minutos",IF($F142&gt;$G142,"A",IF($G142&gt;$F142,"B","E")),"E"))</x:f>
        <x:v>B</x:v>
      </x:c>
      <x:c r="P142" t="str">
        <x:f>IF($M142="90 minutos",IF($J142&gt;$K142,"A",IF($K142&gt;$J142,"B","E")),"E")</x:f>
        <x:v>E</x:v>
      </x:c>
      <x:c r="Q142" t="str">
        <x:f>IF($H142="Sin envio","No",IF($H142=$L142,"Si","No"))</x:f>
        <x:v>No</x:v>
      </x:c>
      <x:c r="R142" t="str">
        <x:f>IF(AND($I142=$M142,NOT(AND($I142="Penales",$F142&lt;&gt;$G142))),"Si","No")</x:f>
        <x:v>No</x:v>
      </x:c>
      <x:c r="S142" t="n">
        <x:f>IF(OR($N142&lt;&gt;"Finalizado",$Q142&lt;&gt;"Si"),0,IF($O142=$P142,Reglas!$B$2,0))</x:f>
        <x:v>0</x:v>
      </x:c>
      <x:c r="T142" t="n">
        <x:f>IF(OR($N142&lt;&gt;"Finalizado",$Q142&lt;&gt;"Si"),0,Reglas!$B$3)</x:f>
        <x:v>0</x:v>
      </x:c>
      <x:c r="U142" t="n">
        <x:f>IF(OR($N142&lt;&gt;"Finalizado",$Q142&lt;&gt;"Si"),0,IF($I142=$M142,Reglas!$B$4,0))</x:f>
        <x:v>0</x:v>
      </x:c>
      <x:c r="V142" t="n">
        <x:f>IF(OR($N142&lt;&gt;"Finalizado",$Q142&lt;&gt;"Si",$R142&lt;&gt;"Si"),0,IF(AND($F142=$J142,$G142=$K142),Reglas!$B$5,0))</x:f>
        <x:v>0</x:v>
      </x:c>
      <x:c r="W142" t="n">
        <x:f>IF(OR($N142&lt;&gt;"Finalizado",$Q142&lt;&gt;"Si",$R142&lt;&gt;"Si"),0,IF($F142-$G142=$J142-$K142,Reglas!$B$6,0))</x:f>
        <x:v>0</x:v>
      </x:c>
      <x:c r="X142" t="n">
        <x:f>IF(OR($N142&lt;&gt;"Finalizado",$Q142&lt;&gt;"Si",$R142&lt;&gt;"Si"),0,IF($F142=$J142,Reglas!$B$7,0))</x:f>
        <x:v>0</x:v>
      </x:c>
      <x:c r="Y142" t="n">
        <x:f>IF(OR($N142&lt;&gt;"Finalizado",$Q142&lt;&gt;"Si",$R142&lt;&gt;"Si"),0,IF($G142=$K142,Reglas!$B$8,0))</x:f>
        <x:v>0</x:v>
      </x:c>
      <x:c r="Z142" t="n">
        <x:f>SUM($S142:$Y142)</x:f>
        <x:v>0</x:v>
      </x:c>
      <x:c r="AA142" t="str">
        <x:f>IF($N142&lt;&gt;"Finalizado","Resultado pendiente",IF($H142="Sin envio","Sin respuesta",IF($Q142&lt;&gt;"Si","No acerto clasificado","OK")))</x:f>
        <x:v>No acerto clasificado</x:v>
      </x:c>
      <x:c r="AB142" t="str">
        <x:v>8vos detalle reconstruido</x:v>
      </x:c>
      <x:c r="AC142" t="n">
        <x:v>0</x:v>
      </x:c>
      <x:c r="AD142" t="n">
        <x:f>$Z142-$AC142</x:f>
        <x:v>0</x:v>
      </x:c>
    </x:row>
    <x:row r="143" ht="15" hidden="0" customHeight="1">
      <x:c r="A143" t="str">
        <x:v>8vos</x:v>
      </x:c>
      <x:c r="B143" t="str">
        <x:v>O7</x:v>
      </x:c>
      <x:c r="C143" t="str">
        <x:v>Manuel</x:v>
      </x:c>
      <x:c r="D143" t="str">
        <x:v>Suiza</x:v>
      </x:c>
      <x:c r="E143" t="str">
        <x:v>Colombia</x:v>
      </x:c>
      <x:c r="F143" t="n">
        <x:v>2</x:v>
      </x:c>
      <x:c r="G143" t="n">
        <x:v>2</x:v>
      </x:c>
      <x:c r="H143" t="str">
        <x:v>Colombia</x:v>
      </x:c>
      <x:c r="I143" t="str">
        <x:v>Penales</x:v>
      </x:c>
      <x:c r="J143" t="n">
        <x:v>0</x:v>
      </x:c>
      <x:c r="K143" t="n">
        <x:v>0</x:v>
      </x:c>
      <x:c r="L143" t="str">
        <x:v>Suiza</x:v>
      </x:c>
      <x:c r="M143" t="str">
        <x:v>Penales</x:v>
      </x:c>
      <x:c r="N143" t="str">
        <x:v>Finalizado</x:v>
      </x:c>
      <x:c r="O143" t="str">
        <x:f>IF($H143="Sin envio","Sin envio",IF($I143="90 minutos",IF($F143&gt;$G143,"A",IF($G143&gt;$F143,"B","E")),"E"))</x:f>
        <x:v>E</x:v>
      </x:c>
      <x:c r="P143" t="str">
        <x:f>IF($M143="90 minutos",IF($J143&gt;$K143,"A",IF($K143&gt;$J143,"B","E")),"E")</x:f>
        <x:v>E</x:v>
      </x:c>
      <x:c r="Q143" t="str">
        <x:f>IF($H143="Sin envio","No",IF($H143=$L143,"Si","No"))</x:f>
        <x:v>No</x:v>
      </x:c>
      <x:c r="R143" t="str">
        <x:f>IF(AND($I143=$M143,NOT(AND($I143="Penales",$F143&lt;&gt;$G143))),"Si","No")</x:f>
        <x:v>Si</x:v>
      </x:c>
      <x:c r="S143" t="n">
        <x:f>IF(OR($N143&lt;&gt;"Finalizado",$Q143&lt;&gt;"Si"),0,IF($O143=$P143,Reglas!$B$2,0))</x:f>
        <x:v>0</x:v>
      </x:c>
      <x:c r="T143" t="n">
        <x:f>IF(OR($N143&lt;&gt;"Finalizado",$Q143&lt;&gt;"Si"),0,Reglas!$B$3)</x:f>
        <x:v>0</x:v>
      </x:c>
      <x:c r="U143" t="n">
        <x:f>IF(OR($N143&lt;&gt;"Finalizado",$Q143&lt;&gt;"Si"),0,IF($I143=$M143,Reglas!$B$4,0))</x:f>
        <x:v>0</x:v>
      </x:c>
      <x:c r="V143" t="n">
        <x:f>IF(OR($N143&lt;&gt;"Finalizado",$Q143&lt;&gt;"Si",$R143&lt;&gt;"Si"),0,IF(AND($F143=$J143,$G143=$K143),Reglas!$B$5,0))</x:f>
        <x:v>0</x:v>
      </x:c>
      <x:c r="W143" t="n">
        <x:f>IF(OR($N143&lt;&gt;"Finalizado",$Q143&lt;&gt;"Si",$R143&lt;&gt;"Si"),0,IF($F143-$G143=$J143-$K143,Reglas!$B$6,0))</x:f>
        <x:v>0</x:v>
      </x:c>
      <x:c r="X143" t="n">
        <x:f>IF(OR($N143&lt;&gt;"Finalizado",$Q143&lt;&gt;"Si",$R143&lt;&gt;"Si"),0,IF($F143=$J143,Reglas!$B$7,0))</x:f>
        <x:v>0</x:v>
      </x:c>
      <x:c r="Y143" t="n">
        <x:f>IF(OR($N143&lt;&gt;"Finalizado",$Q143&lt;&gt;"Si",$R143&lt;&gt;"Si"),0,IF($G143=$K143,Reglas!$B$8,0))</x:f>
        <x:v>0</x:v>
      </x:c>
      <x:c r="Z143" t="n">
        <x:f>SUM($S143:$Y143)</x:f>
        <x:v>0</x:v>
      </x:c>
      <x:c r="AA143" t="str">
        <x:f>IF($N143&lt;&gt;"Finalizado","Resultado pendiente",IF($H143="Sin envio","Sin respuesta",IF($Q143&lt;&gt;"Si","No acerto clasificado","OK")))</x:f>
        <x:v>No acerto clasificado</x:v>
      </x:c>
      <x:c r="AB143" t="str">
        <x:v>8vos detalle reconstruido</x:v>
      </x:c>
      <x:c r="AC143" t="n">
        <x:v>0</x:v>
      </x:c>
      <x:c r="AD143" t="n">
        <x:f>$Z143-$AC143</x:f>
        <x:v>0</x:v>
      </x:c>
    </x:row>
    <x:row r="144" ht="15" hidden="0" customHeight="1">
      <x:c r="A144" t="str">
        <x:v>8vos</x:v>
      </x:c>
      <x:c r="B144" t="str">
        <x:v>O7</x:v>
      </x:c>
      <x:c r="C144" t="str">
        <x:v>Jorge</x:v>
      </x:c>
      <x:c r="D144" t="str">
        <x:v>Suiza</x:v>
      </x:c>
      <x:c r="E144" t="str">
        <x:v>Colombia</x:v>
      </x:c>
      <x:c r="F144" t="n">
        <x:v>1</x:v>
      </x:c>
      <x:c r="G144" t="n">
        <x:v>2</x:v>
      </x:c>
      <x:c r="H144" t="str">
        <x:v>Colombia</x:v>
      </x:c>
      <x:c r="I144" t="str">
        <x:v>Suplementario</x:v>
      </x:c>
      <x:c r="J144" t="n">
        <x:v>0</x:v>
      </x:c>
      <x:c r="K144" t="n">
        <x:v>0</x:v>
      </x:c>
      <x:c r="L144" t="str">
        <x:v>Suiza</x:v>
      </x:c>
      <x:c r="M144" t="str">
        <x:v>Penales</x:v>
      </x:c>
      <x:c r="N144" t="str">
        <x:v>Finalizado</x:v>
      </x:c>
      <x:c r="O144" t="str">
        <x:f>IF($H144="Sin envio","Sin envio",IF($I144="90 minutos",IF($F144&gt;$G144,"A",IF($G144&gt;$F144,"B","E")),"E"))</x:f>
        <x:v>E</x:v>
      </x:c>
      <x:c r="P144" t="str">
        <x:f>IF($M144="90 minutos",IF($J144&gt;$K144,"A",IF($K144&gt;$J144,"B","E")),"E")</x:f>
        <x:v>E</x:v>
      </x:c>
      <x:c r="Q144" t="str">
        <x:f>IF($H144="Sin envio","No",IF($H144=$L144,"Si","No"))</x:f>
        <x:v>No</x:v>
      </x:c>
      <x:c r="R144" t="str">
        <x:f>IF(AND($I144=$M144,NOT(AND($I144="Penales",$F144&lt;&gt;$G144))),"Si","No")</x:f>
        <x:v>No</x:v>
      </x:c>
      <x:c r="S144" t="n">
        <x:f>IF(OR($N144&lt;&gt;"Finalizado",$Q144&lt;&gt;"Si"),0,IF($O144=$P144,Reglas!$B$2,0))</x:f>
        <x:v>0</x:v>
      </x:c>
      <x:c r="T144" t="n">
        <x:f>IF(OR($N144&lt;&gt;"Finalizado",$Q144&lt;&gt;"Si"),0,Reglas!$B$3)</x:f>
        <x:v>0</x:v>
      </x:c>
      <x:c r="U144" t="n">
        <x:f>IF(OR($N144&lt;&gt;"Finalizado",$Q144&lt;&gt;"Si"),0,IF($I144=$M144,Reglas!$B$4,0))</x:f>
        <x:v>0</x:v>
      </x:c>
      <x:c r="V144" t="n">
        <x:f>IF(OR($N144&lt;&gt;"Finalizado",$Q144&lt;&gt;"Si",$R144&lt;&gt;"Si"),0,IF(AND($F144=$J144,$G144=$K144),Reglas!$B$5,0))</x:f>
        <x:v>0</x:v>
      </x:c>
      <x:c r="W144" t="n">
        <x:f>IF(OR($N144&lt;&gt;"Finalizado",$Q144&lt;&gt;"Si",$R144&lt;&gt;"Si"),0,IF($F144-$G144=$J144-$K144,Reglas!$B$6,0))</x:f>
        <x:v>0</x:v>
      </x:c>
      <x:c r="X144" t="n">
        <x:f>IF(OR($N144&lt;&gt;"Finalizado",$Q144&lt;&gt;"Si",$R144&lt;&gt;"Si"),0,IF($F144=$J144,Reglas!$B$7,0))</x:f>
        <x:v>0</x:v>
      </x:c>
      <x:c r="Y144" t="n">
        <x:f>IF(OR($N144&lt;&gt;"Finalizado",$Q144&lt;&gt;"Si",$R144&lt;&gt;"Si"),0,IF($G144=$K144,Reglas!$B$8,0))</x:f>
        <x:v>0</x:v>
      </x:c>
      <x:c r="Z144" t="n">
        <x:f>SUM($S144:$Y144)</x:f>
        <x:v>0</x:v>
      </x:c>
      <x:c r="AA144" t="str">
        <x:f>IF($N144&lt;&gt;"Finalizado","Resultado pendiente",IF($H144="Sin envio","Sin respuesta",IF($Q144&lt;&gt;"Si","No acerto clasificado","OK")))</x:f>
        <x:v>No acerto clasificado</x:v>
      </x:c>
      <x:c r="AB144" t="str">
        <x:v>8vos detalle reconstruido</x:v>
      </x:c>
      <x:c r="AC144" t="n">
        <x:v>0</x:v>
      </x:c>
      <x:c r="AD144" t="n">
        <x:f>$Z144-$AC144</x:f>
        <x:v>0</x:v>
      </x:c>
    </x:row>
    <x:row r="145" ht="15" hidden="0" customHeight="1">
      <x:c r="A145" t="str">
        <x:v>8vos</x:v>
      </x:c>
      <x:c r="B145" t="str">
        <x:v>O7</x:v>
      </x:c>
      <x:c r="C145" t="str">
        <x:v>Daniel</x:v>
      </x:c>
      <x:c r="D145" t="str">
        <x:v>Suiza</x:v>
      </x:c>
      <x:c r="E145" t="str">
        <x:v>Colombia</x:v>
      </x:c>
      <x:c r="F145" t="n">
        <x:v>1</x:v>
      </x:c>
      <x:c r="G145" t="n">
        <x:v>2</x:v>
      </x:c>
      <x:c r="H145" t="str">
        <x:v>Colombia</x:v>
      </x:c>
      <x:c r="I145" t="str">
        <x:v>Suplementario</x:v>
      </x:c>
      <x:c r="J145" t="n">
        <x:v>0</x:v>
      </x:c>
      <x:c r="K145" t="n">
        <x:v>0</x:v>
      </x:c>
      <x:c r="L145" t="str">
        <x:v>Suiza</x:v>
      </x:c>
      <x:c r="M145" t="str">
        <x:v>Penales</x:v>
      </x:c>
      <x:c r="N145" t="str">
        <x:v>Finalizado</x:v>
      </x:c>
      <x:c r="O145" t="str">
        <x:f>IF($H145="Sin envio","Sin envio",IF($I145="90 minutos",IF($F145&gt;$G145,"A",IF($G145&gt;$F145,"B","E")),"E"))</x:f>
        <x:v>E</x:v>
      </x:c>
      <x:c r="P145" t="str">
        <x:f>IF($M145="90 minutos",IF($J145&gt;$K145,"A",IF($K145&gt;$J145,"B","E")),"E")</x:f>
        <x:v>E</x:v>
      </x:c>
      <x:c r="Q145" t="str">
        <x:f>IF($H145="Sin envio","No",IF($H145=$L145,"Si","No"))</x:f>
        <x:v>No</x:v>
      </x:c>
      <x:c r="R145" t="str">
        <x:f>IF(AND($I145=$M145,NOT(AND($I145="Penales",$F145&lt;&gt;$G145))),"Si","No")</x:f>
        <x:v>No</x:v>
      </x:c>
      <x:c r="S145" t="n">
        <x:f>IF(OR($N145&lt;&gt;"Finalizado",$Q145&lt;&gt;"Si"),0,IF($O145=$P145,Reglas!$B$2,0))</x:f>
        <x:v>0</x:v>
      </x:c>
      <x:c r="T145" t="n">
        <x:f>IF(OR($N145&lt;&gt;"Finalizado",$Q145&lt;&gt;"Si"),0,Reglas!$B$3)</x:f>
        <x:v>0</x:v>
      </x:c>
      <x:c r="U145" t="n">
        <x:f>IF(OR($N145&lt;&gt;"Finalizado",$Q145&lt;&gt;"Si"),0,IF($I145=$M145,Reglas!$B$4,0))</x:f>
        <x:v>0</x:v>
      </x:c>
      <x:c r="V145" t="n">
        <x:f>IF(OR($N145&lt;&gt;"Finalizado",$Q145&lt;&gt;"Si",$R145&lt;&gt;"Si"),0,IF(AND($F145=$J145,$G145=$K145),Reglas!$B$5,0))</x:f>
        <x:v>0</x:v>
      </x:c>
      <x:c r="W145" t="n">
        <x:f>IF(OR($N145&lt;&gt;"Finalizado",$Q145&lt;&gt;"Si",$R145&lt;&gt;"Si"),0,IF($F145-$G145=$J145-$K145,Reglas!$B$6,0))</x:f>
        <x:v>0</x:v>
      </x:c>
      <x:c r="X145" t="n">
        <x:f>IF(OR($N145&lt;&gt;"Finalizado",$Q145&lt;&gt;"Si",$R145&lt;&gt;"Si"),0,IF($F145=$J145,Reglas!$B$7,0))</x:f>
        <x:v>0</x:v>
      </x:c>
      <x:c r="Y145" t="n">
        <x:f>IF(OR($N145&lt;&gt;"Finalizado",$Q145&lt;&gt;"Si",$R145&lt;&gt;"Si"),0,IF($G145=$K145,Reglas!$B$8,0))</x:f>
        <x:v>0</x:v>
      </x:c>
      <x:c r="Z145" t="n">
        <x:f>SUM($S145:$Y145)</x:f>
        <x:v>0</x:v>
      </x:c>
      <x:c r="AA145" t="str">
        <x:f>IF($N145&lt;&gt;"Finalizado","Resultado pendiente",IF($H145="Sin envio","Sin respuesta",IF($Q145&lt;&gt;"Si","No acerto clasificado","OK")))</x:f>
        <x:v>No acerto clasificado</x:v>
      </x:c>
      <x:c r="AB145" t="str">
        <x:v>8vos detalle reconstruido</x:v>
      </x:c>
      <x:c r="AC145" t="n">
        <x:v>0</x:v>
      </x:c>
      <x:c r="AD145" t="n">
        <x:f>$Z145-$AC145</x:f>
        <x:v>0</x:v>
      </x:c>
    </x:row>
    <x:row r="146" ht="15" hidden="0" customHeight="1">
      <x:c r="A146" t="str">
        <x:v>8vos</x:v>
      </x:c>
      <x:c r="B146" t="str">
        <x:v>O7</x:v>
      </x:c>
      <x:c r="C146" t="str">
        <x:v>Arthur</x:v>
      </x:c>
      <x:c r="D146" t="str">
        <x:v>Suiza</x:v>
      </x:c>
      <x:c r="E146" t="str">
        <x:v>Colombia</x:v>
      </x:c>
      <x:c r="F146" t="n">
        <x:v>1</x:v>
      </x:c>
      <x:c r="G146" t="n">
        <x:v>2</x:v>
      </x:c>
      <x:c r="H146" t="str">
        <x:v>Colombia</x:v>
      </x:c>
      <x:c r="I146" t="str">
        <x:v>90 minutos</x:v>
      </x:c>
      <x:c r="J146" t="n">
        <x:v>0</x:v>
      </x:c>
      <x:c r="K146" t="n">
        <x:v>0</x:v>
      </x:c>
      <x:c r="L146" t="str">
        <x:v>Suiza</x:v>
      </x:c>
      <x:c r="M146" t="str">
        <x:v>Penales</x:v>
      </x:c>
      <x:c r="N146" t="str">
        <x:v>Finalizado</x:v>
      </x:c>
      <x:c r="O146" t="str">
        <x:f>IF($H146="Sin envio","Sin envio",IF($I146="90 minutos",IF($F146&gt;$G146,"A",IF($G146&gt;$F146,"B","E")),"E"))</x:f>
        <x:v>B</x:v>
      </x:c>
      <x:c r="P146" t="str">
        <x:f>IF($M146="90 minutos",IF($J146&gt;$K146,"A",IF($K146&gt;$J146,"B","E")),"E")</x:f>
        <x:v>E</x:v>
      </x:c>
      <x:c r="Q146" t="str">
        <x:f>IF($H146="Sin envio","No",IF($H146=$L146,"Si","No"))</x:f>
        <x:v>No</x:v>
      </x:c>
      <x:c r="R146" t="str">
        <x:f>IF(AND($I146=$M146,NOT(AND($I146="Penales",$F146&lt;&gt;$G146))),"Si","No")</x:f>
        <x:v>No</x:v>
      </x:c>
      <x:c r="S146" t="n">
        <x:f>IF(OR($N146&lt;&gt;"Finalizado",$Q146&lt;&gt;"Si"),0,IF($O146=$P146,Reglas!$B$2,0))</x:f>
        <x:v>0</x:v>
      </x:c>
      <x:c r="T146" t="n">
        <x:f>IF(OR($N146&lt;&gt;"Finalizado",$Q146&lt;&gt;"Si"),0,Reglas!$B$3)</x:f>
        <x:v>0</x:v>
      </x:c>
      <x:c r="U146" t="n">
        <x:f>IF(OR($N146&lt;&gt;"Finalizado",$Q146&lt;&gt;"Si"),0,IF($I146=$M146,Reglas!$B$4,0))</x:f>
        <x:v>0</x:v>
      </x:c>
      <x:c r="V146" t="n">
        <x:f>IF(OR($N146&lt;&gt;"Finalizado",$Q146&lt;&gt;"Si",$R146&lt;&gt;"Si"),0,IF(AND($F146=$J146,$G146=$K146),Reglas!$B$5,0))</x:f>
        <x:v>0</x:v>
      </x:c>
      <x:c r="W146" t="n">
        <x:f>IF(OR($N146&lt;&gt;"Finalizado",$Q146&lt;&gt;"Si",$R146&lt;&gt;"Si"),0,IF($F146-$G146=$J146-$K146,Reglas!$B$6,0))</x:f>
        <x:v>0</x:v>
      </x:c>
      <x:c r="X146" t="n">
        <x:f>IF(OR($N146&lt;&gt;"Finalizado",$Q146&lt;&gt;"Si",$R146&lt;&gt;"Si"),0,IF($F146=$J146,Reglas!$B$7,0))</x:f>
        <x:v>0</x:v>
      </x:c>
      <x:c r="Y146" t="n">
        <x:f>IF(OR($N146&lt;&gt;"Finalizado",$Q146&lt;&gt;"Si",$R146&lt;&gt;"Si"),0,IF($G146=$K146,Reglas!$B$8,0))</x:f>
        <x:v>0</x:v>
      </x:c>
      <x:c r="Z146" t="n">
        <x:f>SUM($S146:$Y146)</x:f>
        <x:v>0</x:v>
      </x:c>
      <x:c r="AA146" t="str">
        <x:f>IF($N146&lt;&gt;"Finalizado","Resultado pendiente",IF($H146="Sin envio","Sin respuesta",IF($Q146&lt;&gt;"Si","No acerto clasificado","OK")))</x:f>
        <x:v>No acerto clasificado</x:v>
      </x:c>
      <x:c r="AB146" t="str">
        <x:v>8vos detalle reconstruido</x:v>
      </x:c>
      <x:c r="AC146" t="n">
        <x:v>0</x:v>
      </x:c>
      <x:c r="AD146" t="n">
        <x:f>$Z146-$AC146</x:f>
        <x:v>0</x:v>
      </x:c>
    </x:row>
    <x:row r="147" ht="15" hidden="0" customHeight="1">
      <x:c r="A147" t="str">
        <x:v>8vos</x:v>
      </x:c>
      <x:c r="B147" t="str">
        <x:v>O7</x:v>
      </x:c>
      <x:c r="C147" t="str">
        <x:v>José Luis</x:v>
      </x:c>
      <x:c r="D147" t="str">
        <x:v>Suiza</x:v>
      </x:c>
      <x:c r="E147" t="str">
        <x:v>Colombia</x:v>
      </x:c>
      <x:c r="F147"/>
      <x:c r="G147"/>
      <x:c r="H147" t="str">
        <x:v>Sin envio</x:v>
      </x:c>
      <x:c r="I147" t="str">
        <x:v>Sin envio</x:v>
      </x:c>
      <x:c r="J147" t="n">
        <x:v>0</x:v>
      </x:c>
      <x:c r="K147" t="n">
        <x:v>0</x:v>
      </x:c>
      <x:c r="L147" t="str">
        <x:v>Suiza</x:v>
      </x:c>
      <x:c r="M147" t="str">
        <x:v>Penales</x:v>
      </x:c>
      <x:c r="N147" t="str">
        <x:v>Finalizado</x:v>
      </x:c>
      <x:c r="O147" t="str">
        <x:f>IF($H147="Sin envio","Sin envio",IF($I147="90 minutos",IF($F147&gt;$G147,"A",IF($G147&gt;$F147,"B","E")),"E"))</x:f>
        <x:v>Sin envio</x:v>
      </x:c>
      <x:c r="P147" t="str">
        <x:f>IF($M147="90 minutos",IF($J147&gt;$K147,"A",IF($K147&gt;$J147,"B","E")),"E")</x:f>
        <x:v>E</x:v>
      </x:c>
      <x:c r="Q147" t="str">
        <x:f>IF($H147="Sin envio","No",IF($H147=$L147,"Si","No"))</x:f>
        <x:v>No</x:v>
      </x:c>
      <x:c r="R147" t="str">
        <x:f>IF(AND($I147=$M147,NOT(AND($I147="Penales",$F147&lt;&gt;$G147))),"Si","No")</x:f>
        <x:v>No</x:v>
      </x:c>
      <x:c r="S147" t="n">
        <x:f>IF(OR($N147&lt;&gt;"Finalizado",$Q147&lt;&gt;"Si"),0,IF($O147=$P147,Reglas!$B$2,0))</x:f>
        <x:v>0</x:v>
      </x:c>
      <x:c r="T147" t="n">
        <x:f>IF(OR($N147&lt;&gt;"Finalizado",$Q147&lt;&gt;"Si"),0,Reglas!$B$3)</x:f>
        <x:v>0</x:v>
      </x:c>
      <x:c r="U147" t="n">
        <x:f>IF(OR($N147&lt;&gt;"Finalizado",$Q147&lt;&gt;"Si"),0,IF($I147=$M147,Reglas!$B$4,0))</x:f>
        <x:v>0</x:v>
      </x:c>
      <x:c r="V147" t="n">
        <x:f>IF(OR($N147&lt;&gt;"Finalizado",$Q147&lt;&gt;"Si",$R147&lt;&gt;"Si"),0,IF(AND($F147=$J147,$G147=$K147),Reglas!$B$5,0))</x:f>
        <x:v>0</x:v>
      </x:c>
      <x:c r="W147" t="n">
        <x:f>IF(OR($N147&lt;&gt;"Finalizado",$Q147&lt;&gt;"Si",$R147&lt;&gt;"Si"),0,IF($F147-$G147=$J147-$K147,Reglas!$B$6,0))</x:f>
        <x:v>0</x:v>
      </x:c>
      <x:c r="X147" t="n">
        <x:f>IF(OR($N147&lt;&gt;"Finalizado",$Q147&lt;&gt;"Si",$R147&lt;&gt;"Si"),0,IF($F147=$J147,Reglas!$B$7,0))</x:f>
        <x:v>0</x:v>
      </x:c>
      <x:c r="Y147" t="n">
        <x:f>IF(OR($N147&lt;&gt;"Finalizado",$Q147&lt;&gt;"Si",$R147&lt;&gt;"Si"),0,IF($G147=$K147,Reglas!$B$8,0))</x:f>
        <x:v>0</x:v>
      </x:c>
      <x:c r="Z147" t="n">
        <x:f>SUM($S147:$Y147)</x:f>
        <x:v>0</x:v>
      </x:c>
      <x:c r="AA147" t="str">
        <x:f>IF($N147&lt;&gt;"Finalizado","Resultado pendiente",IF($H147="Sin envio","Sin respuesta",IF($Q147&lt;&gt;"Si","No acerto clasificado","OK")))</x:f>
        <x:v>Sin respuesta</x:v>
      </x:c>
      <x:c r="AB147" t="str">
        <x:v>8vos detalle reconstruido</x:v>
      </x:c>
      <x:c r="AC147" t="n">
        <x:v>0</x:v>
      </x:c>
      <x:c r="AD147" t="n">
        <x:f>$Z147-$AC147</x:f>
        <x:v>0</x:v>
      </x:c>
    </x:row>
    <x:row r="148" ht="15" hidden="0" customHeight="1">
      <x:c r="A148" t="str">
        <x:v>8vos</x:v>
      </x:c>
      <x:c r="B148" t="str">
        <x:v>O7</x:v>
      </x:c>
      <x:c r="C148" t="str">
        <x:v>Marcelo</x:v>
      </x:c>
      <x:c r="D148" t="str">
        <x:v>Suiza</x:v>
      </x:c>
      <x:c r="E148" t="str">
        <x:v>Colombia</x:v>
      </x:c>
      <x:c r="F148"/>
      <x:c r="G148"/>
      <x:c r="H148" t="str">
        <x:v>Sin envio</x:v>
      </x:c>
      <x:c r="I148" t="str">
        <x:v>Sin envio</x:v>
      </x:c>
      <x:c r="J148" t="n">
        <x:v>0</x:v>
      </x:c>
      <x:c r="K148" t="n">
        <x:v>0</x:v>
      </x:c>
      <x:c r="L148" t="str">
        <x:v>Suiza</x:v>
      </x:c>
      <x:c r="M148" t="str">
        <x:v>Penales</x:v>
      </x:c>
      <x:c r="N148" t="str">
        <x:v>Finalizado</x:v>
      </x:c>
      <x:c r="O148" t="str">
        <x:f>IF($H148="Sin envio","Sin envio",IF($I148="90 minutos",IF($F148&gt;$G148,"A",IF($G148&gt;$F148,"B","E")),"E"))</x:f>
        <x:v>Sin envio</x:v>
      </x:c>
      <x:c r="P148" t="str">
        <x:f>IF($M148="90 minutos",IF($J148&gt;$K148,"A",IF($K148&gt;$J148,"B","E")),"E")</x:f>
        <x:v>E</x:v>
      </x:c>
      <x:c r="Q148" t="str">
        <x:f>IF($H148="Sin envio","No",IF($H148=$L148,"Si","No"))</x:f>
        <x:v>No</x:v>
      </x:c>
      <x:c r="R148" t="str">
        <x:f>IF(AND($I148=$M148,NOT(AND($I148="Penales",$F148&lt;&gt;$G148))),"Si","No")</x:f>
        <x:v>No</x:v>
      </x:c>
      <x:c r="S148" t="n">
        <x:f>IF(OR($N148&lt;&gt;"Finalizado",$Q148&lt;&gt;"Si"),0,IF($O148=$P148,Reglas!$B$2,0))</x:f>
        <x:v>0</x:v>
      </x:c>
      <x:c r="T148" t="n">
        <x:f>IF(OR($N148&lt;&gt;"Finalizado",$Q148&lt;&gt;"Si"),0,Reglas!$B$3)</x:f>
        <x:v>0</x:v>
      </x:c>
      <x:c r="U148" t="n">
        <x:f>IF(OR($N148&lt;&gt;"Finalizado",$Q148&lt;&gt;"Si"),0,IF($I148=$M148,Reglas!$B$4,0))</x:f>
        <x:v>0</x:v>
      </x:c>
      <x:c r="V148" t="n">
        <x:f>IF(OR($N148&lt;&gt;"Finalizado",$Q148&lt;&gt;"Si",$R148&lt;&gt;"Si"),0,IF(AND($F148=$J148,$G148=$K148),Reglas!$B$5,0))</x:f>
        <x:v>0</x:v>
      </x:c>
      <x:c r="W148" t="n">
        <x:f>IF(OR($N148&lt;&gt;"Finalizado",$Q148&lt;&gt;"Si",$R148&lt;&gt;"Si"),0,IF($F148-$G148=$J148-$K148,Reglas!$B$6,0))</x:f>
        <x:v>0</x:v>
      </x:c>
      <x:c r="X148" t="n">
        <x:f>IF(OR($N148&lt;&gt;"Finalizado",$Q148&lt;&gt;"Si",$R148&lt;&gt;"Si"),0,IF($F148=$J148,Reglas!$B$7,0))</x:f>
        <x:v>0</x:v>
      </x:c>
      <x:c r="Y148" t="n">
        <x:f>IF(OR($N148&lt;&gt;"Finalizado",$Q148&lt;&gt;"Si",$R148&lt;&gt;"Si"),0,IF($G148=$K148,Reglas!$B$8,0))</x:f>
        <x:v>0</x:v>
      </x:c>
      <x:c r="Z148" t="n">
        <x:f>SUM($S148:$Y148)</x:f>
        <x:v>0</x:v>
      </x:c>
      <x:c r="AA148" t="str">
        <x:f>IF($N148&lt;&gt;"Finalizado","Resultado pendiente",IF($H148="Sin envio","Sin respuesta",IF($Q148&lt;&gt;"Si","No acerto clasificado","OK")))</x:f>
        <x:v>Sin respuesta</x:v>
      </x:c>
      <x:c r="AB148" t="str">
        <x:v>8vos detalle reconstruido</x:v>
      </x:c>
      <x:c r="AC148" t="n">
        <x:v>0</x:v>
      </x:c>
      <x:c r="AD148" t="n">
        <x:f>$Z148-$AC148</x:f>
        <x:v>0</x:v>
      </x:c>
    </x:row>
    <x:row r="149" ht="15" hidden="0" customHeight="1">
      <x:c r="A149" t="str">
        <x:v>8vos</x:v>
      </x:c>
      <x:c r="B149" t="str">
        <x:v>O7</x:v>
      </x:c>
      <x:c r="C149" t="str">
        <x:v>Anny</x:v>
      </x:c>
      <x:c r="D149" t="str">
        <x:v>Suiza</x:v>
      </x:c>
      <x:c r="E149" t="str">
        <x:v>Colombia</x:v>
      </x:c>
      <x:c r="F149" t="n">
        <x:v>2</x:v>
      </x:c>
      <x:c r="G149" t="n">
        <x:v>2</x:v>
      </x:c>
      <x:c r="H149" t="str">
        <x:v>Colombia</x:v>
      </x:c>
      <x:c r="I149" t="str">
        <x:v>Penales</x:v>
      </x:c>
      <x:c r="J149" t="n">
        <x:v>0</x:v>
      </x:c>
      <x:c r="K149" t="n">
        <x:v>0</x:v>
      </x:c>
      <x:c r="L149" t="str">
        <x:v>Suiza</x:v>
      </x:c>
      <x:c r="M149" t="str">
        <x:v>Penales</x:v>
      </x:c>
      <x:c r="N149" t="str">
        <x:v>Finalizado</x:v>
      </x:c>
      <x:c r="O149" t="str">
        <x:f>IF($H149="Sin envio","Sin envio",IF($I149="90 minutos",IF($F149&gt;$G149,"A",IF($G149&gt;$F149,"B","E")),"E"))</x:f>
        <x:v>E</x:v>
      </x:c>
      <x:c r="P149" t="str">
        <x:f>IF($M149="90 minutos",IF($J149&gt;$K149,"A",IF($K149&gt;$J149,"B","E")),"E")</x:f>
        <x:v>E</x:v>
      </x:c>
      <x:c r="Q149" t="str">
        <x:f>IF($H149="Sin envio","No",IF($H149=$L149,"Si","No"))</x:f>
        <x:v>No</x:v>
      </x:c>
      <x:c r="R149" t="str">
        <x:f>IF(AND($I149=$M149,NOT(AND($I149="Penales",$F149&lt;&gt;$G149))),"Si","No")</x:f>
        <x:v>Si</x:v>
      </x:c>
      <x:c r="S149" t="n">
        <x:f>IF(OR($N149&lt;&gt;"Finalizado",$Q149&lt;&gt;"Si"),0,IF($O149=$P149,Reglas!$B$2,0))</x:f>
        <x:v>0</x:v>
      </x:c>
      <x:c r="T149" t="n">
        <x:f>IF(OR($N149&lt;&gt;"Finalizado",$Q149&lt;&gt;"Si"),0,Reglas!$B$3)</x:f>
        <x:v>0</x:v>
      </x:c>
      <x:c r="U149" t="n">
        <x:f>IF(OR($N149&lt;&gt;"Finalizado",$Q149&lt;&gt;"Si"),0,IF($I149=$M149,Reglas!$B$4,0))</x:f>
        <x:v>0</x:v>
      </x:c>
      <x:c r="V149" t="n">
        <x:f>IF(OR($N149&lt;&gt;"Finalizado",$Q149&lt;&gt;"Si",$R149&lt;&gt;"Si"),0,IF(AND($F149=$J149,$G149=$K149),Reglas!$B$5,0))</x:f>
        <x:v>0</x:v>
      </x:c>
      <x:c r="W149" t="n">
        <x:f>IF(OR($N149&lt;&gt;"Finalizado",$Q149&lt;&gt;"Si",$R149&lt;&gt;"Si"),0,IF($F149-$G149=$J149-$K149,Reglas!$B$6,0))</x:f>
        <x:v>0</x:v>
      </x:c>
      <x:c r="X149" t="n">
        <x:f>IF(OR($N149&lt;&gt;"Finalizado",$Q149&lt;&gt;"Si",$R149&lt;&gt;"Si"),0,IF($F149=$J149,Reglas!$B$7,0))</x:f>
        <x:v>0</x:v>
      </x:c>
      <x:c r="Y149" t="n">
        <x:f>IF(OR($N149&lt;&gt;"Finalizado",$Q149&lt;&gt;"Si",$R149&lt;&gt;"Si"),0,IF($G149=$K149,Reglas!$B$8,0))</x:f>
        <x:v>0</x:v>
      </x:c>
      <x:c r="Z149" t="n">
        <x:f>SUM($S149:$Y149)</x:f>
        <x:v>0</x:v>
      </x:c>
      <x:c r="AA149" t="str">
        <x:f>IF($N149&lt;&gt;"Finalizado","Resultado pendiente",IF($H149="Sin envio","Sin respuesta",IF($Q149&lt;&gt;"Si","No acerto clasificado","OK")))</x:f>
        <x:v>No acerto clasificado</x:v>
      </x:c>
      <x:c r="AB149" t="str">
        <x:v>8vos detalle reconstruido</x:v>
      </x:c>
      <x:c r="AC149" t="n">
        <x:v>0</x:v>
      </x:c>
      <x:c r="AD149" t="n">
        <x:f>$Z149-$AC149</x:f>
        <x:v>0</x:v>
      </x:c>
    </x:row>
    <x:row r="150" ht="15" hidden="0" customHeight="1">
      <x:c r="A150" t="str">
        <x:v>8vos</x:v>
      </x:c>
      <x:c r="B150" t="str">
        <x:v>O7</x:v>
      </x:c>
      <x:c r="C150" t="str">
        <x:v>Moisés</x:v>
      </x:c>
      <x:c r="D150" t="str">
        <x:v>Suiza</x:v>
      </x:c>
      <x:c r="E150" t="str">
        <x:v>Colombia</x:v>
      </x:c>
      <x:c r="F150" t="n">
        <x:v>1</x:v>
      </x:c>
      <x:c r="G150" t="n">
        <x:v>2</x:v>
      </x:c>
      <x:c r="H150" t="str">
        <x:v>Colombia</x:v>
      </x:c>
      <x:c r="I150" t="str">
        <x:v>Suplementario</x:v>
      </x:c>
      <x:c r="J150" t="n">
        <x:v>0</x:v>
      </x:c>
      <x:c r="K150" t="n">
        <x:v>0</x:v>
      </x:c>
      <x:c r="L150" t="str">
        <x:v>Suiza</x:v>
      </x:c>
      <x:c r="M150" t="str">
        <x:v>Penales</x:v>
      </x:c>
      <x:c r="N150" t="str">
        <x:v>Finalizado</x:v>
      </x:c>
      <x:c r="O150" t="str">
        <x:f>IF($H150="Sin envio","Sin envio",IF($I150="90 minutos",IF($F150&gt;$G150,"A",IF($G150&gt;$F150,"B","E")),"E"))</x:f>
        <x:v>E</x:v>
      </x:c>
      <x:c r="P150" t="str">
        <x:f>IF($M150="90 minutos",IF($J150&gt;$K150,"A",IF($K150&gt;$J150,"B","E")),"E")</x:f>
        <x:v>E</x:v>
      </x:c>
      <x:c r="Q150" t="str">
        <x:f>IF($H150="Sin envio","No",IF($H150=$L150,"Si","No"))</x:f>
        <x:v>No</x:v>
      </x:c>
      <x:c r="R150" t="str">
        <x:f>IF(AND($I150=$M150,NOT(AND($I150="Penales",$F150&lt;&gt;$G150))),"Si","No")</x:f>
        <x:v>No</x:v>
      </x:c>
      <x:c r="S150" t="n">
        <x:f>IF(OR($N150&lt;&gt;"Finalizado",$Q150&lt;&gt;"Si"),0,IF($O150=$P150,Reglas!$B$2,0))</x:f>
        <x:v>0</x:v>
      </x:c>
      <x:c r="T150" t="n">
        <x:f>IF(OR($N150&lt;&gt;"Finalizado",$Q150&lt;&gt;"Si"),0,Reglas!$B$3)</x:f>
        <x:v>0</x:v>
      </x:c>
      <x:c r="U150" t="n">
        <x:f>IF(OR($N150&lt;&gt;"Finalizado",$Q150&lt;&gt;"Si"),0,IF($I150=$M150,Reglas!$B$4,0))</x:f>
        <x:v>0</x:v>
      </x:c>
      <x:c r="V150" t="n">
        <x:f>IF(OR($N150&lt;&gt;"Finalizado",$Q150&lt;&gt;"Si",$R150&lt;&gt;"Si"),0,IF(AND($F150=$J150,$G150=$K150),Reglas!$B$5,0))</x:f>
        <x:v>0</x:v>
      </x:c>
      <x:c r="W150" t="n">
        <x:f>IF(OR($N150&lt;&gt;"Finalizado",$Q150&lt;&gt;"Si",$R150&lt;&gt;"Si"),0,IF($F150-$G150=$J150-$K150,Reglas!$B$6,0))</x:f>
        <x:v>0</x:v>
      </x:c>
      <x:c r="X150" t="n">
        <x:f>IF(OR($N150&lt;&gt;"Finalizado",$Q150&lt;&gt;"Si",$R150&lt;&gt;"Si"),0,IF($F150=$J150,Reglas!$B$7,0))</x:f>
        <x:v>0</x:v>
      </x:c>
      <x:c r="Y150" t="n">
        <x:f>IF(OR($N150&lt;&gt;"Finalizado",$Q150&lt;&gt;"Si",$R150&lt;&gt;"Si"),0,IF($G150=$K150,Reglas!$B$8,0))</x:f>
        <x:v>0</x:v>
      </x:c>
      <x:c r="Z150" t="n">
        <x:f>SUM($S150:$Y150)</x:f>
        <x:v>0</x:v>
      </x:c>
      <x:c r="AA150" t="str">
        <x:f>IF($N150&lt;&gt;"Finalizado","Resultado pendiente",IF($H150="Sin envio","Sin respuesta",IF($Q150&lt;&gt;"Si","No acerto clasificado","OK")))</x:f>
        <x:v>No acerto clasificado</x:v>
      </x:c>
      <x:c r="AB150" t="str">
        <x:v>8vos detalle reconstruido</x:v>
      </x:c>
      <x:c r="AC150" t="n">
        <x:v>0</x:v>
      </x:c>
      <x:c r="AD150" t="n">
        <x:f>$Z150-$AC150</x:f>
        <x:v>0</x:v>
      </x:c>
    </x:row>
    <x:row r="151" ht="15" hidden="0" customHeight="1">
      <x:c r="A151" t="str">
        <x:v>8vos</x:v>
      </x:c>
      <x:c r="B151" t="str">
        <x:v>O7</x:v>
      </x:c>
      <x:c r="C151" t="str">
        <x:v>Alex</x:v>
      </x:c>
      <x:c r="D151" t="str">
        <x:v>Suiza</x:v>
      </x:c>
      <x:c r="E151" t="str">
        <x:v>Colombia</x:v>
      </x:c>
      <x:c r="F151" t="n">
        <x:v>2</x:v>
      </x:c>
      <x:c r="G151" t="n">
        <x:v>3</x:v>
      </x:c>
      <x:c r="H151" t="str">
        <x:v>Colombia</x:v>
      </x:c>
      <x:c r="I151" t="str">
        <x:v>Suplementario</x:v>
      </x:c>
      <x:c r="J151" t="n">
        <x:v>0</x:v>
      </x:c>
      <x:c r="K151" t="n">
        <x:v>0</x:v>
      </x:c>
      <x:c r="L151" t="str">
        <x:v>Suiza</x:v>
      </x:c>
      <x:c r="M151" t="str">
        <x:v>Penales</x:v>
      </x:c>
      <x:c r="N151" t="str">
        <x:v>Finalizado</x:v>
      </x:c>
      <x:c r="O151" t="str">
        <x:f>IF($H151="Sin envio","Sin envio",IF($I151="90 minutos",IF($F151&gt;$G151,"A",IF($G151&gt;$F151,"B","E")),"E"))</x:f>
        <x:v>E</x:v>
      </x:c>
      <x:c r="P151" t="str">
        <x:f>IF($M151="90 minutos",IF($J151&gt;$K151,"A",IF($K151&gt;$J151,"B","E")),"E")</x:f>
        <x:v>E</x:v>
      </x:c>
      <x:c r="Q151" t="str">
        <x:f>IF($H151="Sin envio","No",IF($H151=$L151,"Si","No"))</x:f>
        <x:v>No</x:v>
      </x:c>
      <x:c r="R151" t="str">
        <x:f>IF(AND($I151=$M151,NOT(AND($I151="Penales",$F151&lt;&gt;$G151))),"Si","No")</x:f>
        <x:v>No</x:v>
      </x:c>
      <x:c r="S151" t="n">
        <x:f>IF(OR($N151&lt;&gt;"Finalizado",$Q151&lt;&gt;"Si"),0,IF($O151=$P151,Reglas!$B$2,0))</x:f>
        <x:v>0</x:v>
      </x:c>
      <x:c r="T151" t="n">
        <x:f>IF(OR($N151&lt;&gt;"Finalizado",$Q151&lt;&gt;"Si"),0,Reglas!$B$3)</x:f>
        <x:v>0</x:v>
      </x:c>
      <x:c r="U151" t="n">
        <x:f>IF(OR($N151&lt;&gt;"Finalizado",$Q151&lt;&gt;"Si"),0,IF($I151=$M151,Reglas!$B$4,0))</x:f>
        <x:v>0</x:v>
      </x:c>
      <x:c r="V151" t="n">
        <x:f>IF(OR($N151&lt;&gt;"Finalizado",$Q151&lt;&gt;"Si",$R151&lt;&gt;"Si"),0,IF(AND($F151=$J151,$G151=$K151),Reglas!$B$5,0))</x:f>
        <x:v>0</x:v>
      </x:c>
      <x:c r="W151" t="n">
        <x:f>IF(OR($N151&lt;&gt;"Finalizado",$Q151&lt;&gt;"Si",$R151&lt;&gt;"Si"),0,IF($F151-$G151=$J151-$K151,Reglas!$B$6,0))</x:f>
        <x:v>0</x:v>
      </x:c>
      <x:c r="X151" t="n">
        <x:f>IF(OR($N151&lt;&gt;"Finalizado",$Q151&lt;&gt;"Si",$R151&lt;&gt;"Si"),0,IF($F151=$J151,Reglas!$B$7,0))</x:f>
        <x:v>0</x:v>
      </x:c>
      <x:c r="Y151" t="n">
        <x:f>IF(OR($N151&lt;&gt;"Finalizado",$Q151&lt;&gt;"Si",$R151&lt;&gt;"Si"),0,IF($G151=$K151,Reglas!$B$8,0))</x:f>
        <x:v>0</x:v>
      </x:c>
      <x:c r="Z151" t="n">
        <x:f>SUM($S151:$Y151)</x:f>
        <x:v>0</x:v>
      </x:c>
      <x:c r="AA151" t="str">
        <x:f>IF($N151&lt;&gt;"Finalizado","Resultado pendiente",IF($H151="Sin envio","Sin respuesta",IF($Q151&lt;&gt;"Si","No acerto clasificado","OK")))</x:f>
        <x:v>No acerto clasificado</x:v>
      </x:c>
      <x:c r="AB151" t="str">
        <x:v>8vos detalle reconstruido</x:v>
      </x:c>
      <x:c r="AC151" t="n">
        <x:v>0</x:v>
      </x:c>
      <x:c r="AD151" t="n">
        <x:f>$Z151-$AC151</x:f>
        <x:v>0</x:v>
      </x:c>
    </x:row>
    <x:row r="152" ht="15" hidden="0" customHeight="1">
      <x:c r="A152" t="str">
        <x:v>8vos</x:v>
      </x:c>
      <x:c r="B152" t="str">
        <x:v>O7</x:v>
      </x:c>
      <x:c r="C152" t="str">
        <x:v>Omar</x:v>
      </x:c>
      <x:c r="D152" t="str">
        <x:v>Suiza</x:v>
      </x:c>
      <x:c r="E152" t="str">
        <x:v>Colombia</x:v>
      </x:c>
      <x:c r="F152"/>
      <x:c r="G152"/>
      <x:c r="H152" t="str">
        <x:v>Sin envio</x:v>
      </x:c>
      <x:c r="I152" t="str">
        <x:v>Sin envio</x:v>
      </x:c>
      <x:c r="J152" t="n">
        <x:v>0</x:v>
      </x:c>
      <x:c r="K152" t="n">
        <x:v>0</x:v>
      </x:c>
      <x:c r="L152" t="str">
        <x:v>Suiza</x:v>
      </x:c>
      <x:c r="M152" t="str">
        <x:v>Penales</x:v>
      </x:c>
      <x:c r="N152" t="str">
        <x:v>Finalizado</x:v>
      </x:c>
      <x:c r="O152" t="str">
        <x:f>IF($H152="Sin envio","Sin envio",IF($I152="90 minutos",IF($F152&gt;$G152,"A",IF($G152&gt;$F152,"B","E")),"E"))</x:f>
        <x:v>Sin envio</x:v>
      </x:c>
      <x:c r="P152" t="str">
        <x:f>IF($M152="90 minutos",IF($J152&gt;$K152,"A",IF($K152&gt;$J152,"B","E")),"E")</x:f>
        <x:v>E</x:v>
      </x:c>
      <x:c r="Q152" t="str">
        <x:f>IF($H152="Sin envio","No",IF($H152=$L152,"Si","No"))</x:f>
        <x:v>No</x:v>
      </x:c>
      <x:c r="R152" t="str">
        <x:f>IF(AND($I152=$M152,NOT(AND($I152="Penales",$F152&lt;&gt;$G152))),"Si","No")</x:f>
        <x:v>No</x:v>
      </x:c>
      <x:c r="S152" t="n">
        <x:f>IF(OR($N152&lt;&gt;"Finalizado",$Q152&lt;&gt;"Si"),0,IF($O152=$P152,Reglas!$B$2,0))</x:f>
        <x:v>0</x:v>
      </x:c>
      <x:c r="T152" t="n">
        <x:f>IF(OR($N152&lt;&gt;"Finalizado",$Q152&lt;&gt;"Si"),0,Reglas!$B$3)</x:f>
        <x:v>0</x:v>
      </x:c>
      <x:c r="U152" t="n">
        <x:f>IF(OR($N152&lt;&gt;"Finalizado",$Q152&lt;&gt;"Si"),0,IF($I152=$M152,Reglas!$B$4,0))</x:f>
        <x:v>0</x:v>
      </x:c>
      <x:c r="V152" t="n">
        <x:f>IF(OR($N152&lt;&gt;"Finalizado",$Q152&lt;&gt;"Si",$R152&lt;&gt;"Si"),0,IF(AND($F152=$J152,$G152=$K152),Reglas!$B$5,0))</x:f>
        <x:v>0</x:v>
      </x:c>
      <x:c r="W152" t="n">
        <x:f>IF(OR($N152&lt;&gt;"Finalizado",$Q152&lt;&gt;"Si",$R152&lt;&gt;"Si"),0,IF($F152-$G152=$J152-$K152,Reglas!$B$6,0))</x:f>
        <x:v>0</x:v>
      </x:c>
      <x:c r="X152" t="n">
        <x:f>IF(OR($N152&lt;&gt;"Finalizado",$Q152&lt;&gt;"Si",$R152&lt;&gt;"Si"),0,IF($F152=$J152,Reglas!$B$7,0))</x:f>
        <x:v>0</x:v>
      </x:c>
      <x:c r="Y152" t="n">
        <x:f>IF(OR($N152&lt;&gt;"Finalizado",$Q152&lt;&gt;"Si",$R152&lt;&gt;"Si"),0,IF($G152=$K152,Reglas!$B$8,0))</x:f>
        <x:v>0</x:v>
      </x:c>
      <x:c r="Z152" t="n">
        <x:f>SUM($S152:$Y152)</x:f>
        <x:v>0</x:v>
      </x:c>
      <x:c r="AA152" t="str">
        <x:f>IF($N152&lt;&gt;"Finalizado","Resultado pendiente",IF($H152="Sin envio","Sin respuesta",IF($Q152&lt;&gt;"Si","No acerto clasificado","OK")))</x:f>
        <x:v>Sin respuesta</x:v>
      </x:c>
      <x:c r="AB152" t="str">
        <x:v>8vos detalle reconstruido</x:v>
      </x:c>
      <x:c r="AC152" t="n">
        <x:v>0</x:v>
      </x:c>
      <x:c r="AD152" t="n">
        <x:f>$Z152-$AC152</x:f>
        <x:v>0</x:v>
      </x:c>
    </x:row>
    <x:row r="153" ht="15" hidden="0" customHeight="1">
      <x:c r="A153" t="str">
        <x:v>8vos</x:v>
      </x:c>
      <x:c r="B153" t="str">
        <x:v>O7</x:v>
      </x:c>
      <x:c r="C153" t="str">
        <x:v>Fernando</x:v>
      </x:c>
      <x:c r="D153" t="str">
        <x:v>Suiza</x:v>
      </x:c>
      <x:c r="E153" t="str">
        <x:v>Colombia</x:v>
      </x:c>
      <x:c r="F153" t="n">
        <x:v>1</x:v>
      </x:c>
      <x:c r="G153" t="n">
        <x:v>2</x:v>
      </x:c>
      <x:c r="H153" t="str">
        <x:v>Colombia</x:v>
      </x:c>
      <x:c r="I153" t="str">
        <x:v>Suplementario</x:v>
      </x:c>
      <x:c r="J153" t="n">
        <x:v>0</x:v>
      </x:c>
      <x:c r="K153" t="n">
        <x:v>0</x:v>
      </x:c>
      <x:c r="L153" t="str">
        <x:v>Suiza</x:v>
      </x:c>
      <x:c r="M153" t="str">
        <x:v>Penales</x:v>
      </x:c>
      <x:c r="N153" t="str">
        <x:v>Finalizado</x:v>
      </x:c>
      <x:c r="O153" t="str">
        <x:f>IF($H153="Sin envio","Sin envio",IF($I153="90 minutos",IF($F153&gt;$G153,"A",IF($G153&gt;$F153,"B","E")),"E"))</x:f>
        <x:v>E</x:v>
      </x:c>
      <x:c r="P153" t="str">
        <x:f>IF($M153="90 minutos",IF($J153&gt;$K153,"A",IF($K153&gt;$J153,"B","E")),"E")</x:f>
        <x:v>E</x:v>
      </x:c>
      <x:c r="Q153" t="str">
        <x:f>IF($H153="Sin envio","No",IF($H153=$L153,"Si","No"))</x:f>
        <x:v>No</x:v>
      </x:c>
      <x:c r="R153" t="str">
        <x:f>IF(AND($I153=$M153,NOT(AND($I153="Penales",$F153&lt;&gt;$G153))),"Si","No")</x:f>
        <x:v>No</x:v>
      </x:c>
      <x:c r="S153" t="n">
        <x:f>IF(OR($N153&lt;&gt;"Finalizado",$Q153&lt;&gt;"Si"),0,IF($O153=$P153,Reglas!$B$2,0))</x:f>
        <x:v>0</x:v>
      </x:c>
      <x:c r="T153" t="n">
        <x:f>IF(OR($N153&lt;&gt;"Finalizado",$Q153&lt;&gt;"Si"),0,Reglas!$B$3)</x:f>
        <x:v>0</x:v>
      </x:c>
      <x:c r="U153" t="n">
        <x:f>IF(OR($N153&lt;&gt;"Finalizado",$Q153&lt;&gt;"Si"),0,IF($I153=$M153,Reglas!$B$4,0))</x:f>
        <x:v>0</x:v>
      </x:c>
      <x:c r="V153" t="n">
        <x:f>IF(OR($N153&lt;&gt;"Finalizado",$Q153&lt;&gt;"Si",$R153&lt;&gt;"Si"),0,IF(AND($F153=$J153,$G153=$K153),Reglas!$B$5,0))</x:f>
        <x:v>0</x:v>
      </x:c>
      <x:c r="W153" t="n">
        <x:f>IF(OR($N153&lt;&gt;"Finalizado",$Q153&lt;&gt;"Si",$R153&lt;&gt;"Si"),0,IF($F153-$G153=$J153-$K153,Reglas!$B$6,0))</x:f>
        <x:v>0</x:v>
      </x:c>
      <x:c r="X153" t="n">
        <x:f>IF(OR($N153&lt;&gt;"Finalizado",$Q153&lt;&gt;"Si",$R153&lt;&gt;"Si"),0,IF($F153=$J153,Reglas!$B$7,0))</x:f>
        <x:v>0</x:v>
      </x:c>
      <x:c r="Y153" t="n">
        <x:f>IF(OR($N153&lt;&gt;"Finalizado",$Q153&lt;&gt;"Si",$R153&lt;&gt;"Si"),0,IF($G153=$K153,Reglas!$B$8,0))</x:f>
        <x:v>0</x:v>
      </x:c>
      <x:c r="Z153" t="n">
        <x:f>SUM($S153:$Y153)</x:f>
        <x:v>0</x:v>
      </x:c>
      <x:c r="AA153" t="str">
        <x:f>IF($N153&lt;&gt;"Finalizado","Resultado pendiente",IF($H153="Sin envio","Sin respuesta",IF($Q153&lt;&gt;"Si","No acerto clasificado","OK")))</x:f>
        <x:v>No acerto clasificado</x:v>
      </x:c>
      <x:c r="AB153" t="str">
        <x:v>8vos detalle reconstruido</x:v>
      </x:c>
      <x:c r="AC153" t="n">
        <x:v>0</x:v>
      </x:c>
      <x:c r="AD153" t="n">
        <x:f>$Z153-$AC153</x:f>
        <x:v>0</x:v>
      </x:c>
    </x:row>
    <x:row r="154" ht="15" hidden="0" customHeight="1">
      <x:c r="A154" t="str">
        <x:v>8vos</x:v>
      </x:c>
      <x:c r="B154" t="str">
        <x:v>O7</x:v>
      </x:c>
      <x:c r="C154" t="str">
        <x:v>Diana</x:v>
      </x:c>
      <x:c r="D154" t="str">
        <x:v>Suiza</x:v>
      </x:c>
      <x:c r="E154" t="str">
        <x:v>Colombia</x:v>
      </x:c>
      <x:c r="F154" t="n">
        <x:v>0</x:v>
      </x:c>
      <x:c r="G154" t="n">
        <x:v>2</x:v>
      </x:c>
      <x:c r="H154" t="str">
        <x:v>Colombia</x:v>
      </x:c>
      <x:c r="I154" t="str">
        <x:v>90 minutos</x:v>
      </x:c>
      <x:c r="J154" t="n">
        <x:v>0</x:v>
      </x:c>
      <x:c r="K154" t="n">
        <x:v>0</x:v>
      </x:c>
      <x:c r="L154" t="str">
        <x:v>Suiza</x:v>
      </x:c>
      <x:c r="M154" t="str">
        <x:v>Penales</x:v>
      </x:c>
      <x:c r="N154" t="str">
        <x:v>Finalizado</x:v>
      </x:c>
      <x:c r="O154" t="str">
        <x:f>IF($H154="Sin envio","Sin envio",IF($I154="90 minutos",IF($F154&gt;$G154,"A",IF($G154&gt;$F154,"B","E")),"E"))</x:f>
        <x:v>B</x:v>
      </x:c>
      <x:c r="P154" t="str">
        <x:f>IF($M154="90 minutos",IF($J154&gt;$K154,"A",IF($K154&gt;$J154,"B","E")),"E")</x:f>
        <x:v>E</x:v>
      </x:c>
      <x:c r="Q154" t="str">
        <x:f>IF($H154="Sin envio","No",IF($H154=$L154,"Si","No"))</x:f>
        <x:v>No</x:v>
      </x:c>
      <x:c r="R154" t="str">
        <x:f>IF(AND($I154=$M154,NOT(AND($I154="Penales",$F154&lt;&gt;$G154))),"Si","No")</x:f>
        <x:v>No</x:v>
      </x:c>
      <x:c r="S154" t="n">
        <x:f>IF(OR($N154&lt;&gt;"Finalizado",$Q154&lt;&gt;"Si"),0,IF($O154=$P154,Reglas!$B$2,0))</x:f>
        <x:v>0</x:v>
      </x:c>
      <x:c r="T154" t="n">
        <x:f>IF(OR($N154&lt;&gt;"Finalizado",$Q154&lt;&gt;"Si"),0,Reglas!$B$3)</x:f>
        <x:v>0</x:v>
      </x:c>
      <x:c r="U154" t="n">
        <x:f>IF(OR($N154&lt;&gt;"Finalizado",$Q154&lt;&gt;"Si"),0,IF($I154=$M154,Reglas!$B$4,0))</x:f>
        <x:v>0</x:v>
      </x:c>
      <x:c r="V154" t="n">
        <x:f>IF(OR($N154&lt;&gt;"Finalizado",$Q154&lt;&gt;"Si",$R154&lt;&gt;"Si"),0,IF(AND($F154=$J154,$G154=$K154),Reglas!$B$5,0))</x:f>
        <x:v>0</x:v>
      </x:c>
      <x:c r="W154" t="n">
        <x:f>IF(OR($N154&lt;&gt;"Finalizado",$Q154&lt;&gt;"Si",$R154&lt;&gt;"Si"),0,IF($F154-$G154=$J154-$K154,Reglas!$B$6,0))</x:f>
        <x:v>0</x:v>
      </x:c>
      <x:c r="X154" t="n">
        <x:f>IF(OR($N154&lt;&gt;"Finalizado",$Q154&lt;&gt;"Si",$R154&lt;&gt;"Si"),0,IF($F154=$J154,Reglas!$B$7,0))</x:f>
        <x:v>0</x:v>
      </x:c>
      <x:c r="Y154" t="n">
        <x:f>IF(OR($N154&lt;&gt;"Finalizado",$Q154&lt;&gt;"Si",$R154&lt;&gt;"Si"),0,IF($G154=$K154,Reglas!$B$8,0))</x:f>
        <x:v>0</x:v>
      </x:c>
      <x:c r="Z154" t="n">
        <x:f>SUM($S154:$Y154)</x:f>
        <x:v>0</x:v>
      </x:c>
      <x:c r="AA154" t="str">
        <x:f>IF($N154&lt;&gt;"Finalizado","Resultado pendiente",IF($H154="Sin envio","Sin respuesta",IF($Q154&lt;&gt;"Si","No acerto clasificado","OK")))</x:f>
        <x:v>No acerto clasificado</x:v>
      </x:c>
      <x:c r="AB154" t="str">
        <x:v>8vos detalle reconstruido</x:v>
      </x:c>
      <x:c r="AC154" t="n">
        <x:v>0</x:v>
      </x:c>
      <x:c r="AD154" t="n">
        <x:f>$Z154-$AC154</x:f>
        <x:v>0</x:v>
      </x:c>
    </x:row>
    <x:row r="155" ht="15" hidden="0" customHeight="1">
      <x:c r="A155" t="str">
        <x:v>8vos</x:v>
      </x:c>
      <x:c r="B155" t="str">
        <x:v>O7</x:v>
      </x:c>
      <x:c r="C155" t="str">
        <x:v>Óscar</x:v>
      </x:c>
      <x:c r="D155" t="str">
        <x:v>Suiza</x:v>
      </x:c>
      <x:c r="E155" t="str">
        <x:v>Colombia</x:v>
      </x:c>
      <x:c r="F155" t="n">
        <x:v>2</x:v>
      </x:c>
      <x:c r="G155" t="n">
        <x:v>2</x:v>
      </x:c>
      <x:c r="H155" t="str">
        <x:v>Colombia</x:v>
      </x:c>
      <x:c r="I155" t="str">
        <x:v>Penales</x:v>
      </x:c>
      <x:c r="J155" t="n">
        <x:v>0</x:v>
      </x:c>
      <x:c r="K155" t="n">
        <x:v>0</x:v>
      </x:c>
      <x:c r="L155" t="str">
        <x:v>Suiza</x:v>
      </x:c>
      <x:c r="M155" t="str">
        <x:v>Penales</x:v>
      </x:c>
      <x:c r="N155" t="str">
        <x:v>Finalizado</x:v>
      </x:c>
      <x:c r="O155" t="str">
        <x:f>IF($H155="Sin envio","Sin envio",IF($I155="90 minutos",IF($F155&gt;$G155,"A",IF($G155&gt;$F155,"B","E")),"E"))</x:f>
        <x:v>E</x:v>
      </x:c>
      <x:c r="P155" t="str">
        <x:f>IF($M155="90 minutos",IF($J155&gt;$K155,"A",IF($K155&gt;$J155,"B","E")),"E")</x:f>
        <x:v>E</x:v>
      </x:c>
      <x:c r="Q155" t="str">
        <x:f>IF($H155="Sin envio","No",IF($H155=$L155,"Si","No"))</x:f>
        <x:v>No</x:v>
      </x:c>
      <x:c r="R155" t="str">
        <x:f>IF(AND($I155=$M155,NOT(AND($I155="Penales",$F155&lt;&gt;$G155))),"Si","No")</x:f>
        <x:v>Si</x:v>
      </x:c>
      <x:c r="S155" t="n">
        <x:f>IF(OR($N155&lt;&gt;"Finalizado",$Q155&lt;&gt;"Si"),0,IF($O155=$P155,Reglas!$B$2,0))</x:f>
        <x:v>0</x:v>
      </x:c>
      <x:c r="T155" t="n">
        <x:f>IF(OR($N155&lt;&gt;"Finalizado",$Q155&lt;&gt;"Si"),0,Reglas!$B$3)</x:f>
        <x:v>0</x:v>
      </x:c>
      <x:c r="U155" t="n">
        <x:f>IF(OR($N155&lt;&gt;"Finalizado",$Q155&lt;&gt;"Si"),0,IF($I155=$M155,Reglas!$B$4,0))</x:f>
        <x:v>0</x:v>
      </x:c>
      <x:c r="V155" t="n">
        <x:f>IF(OR($N155&lt;&gt;"Finalizado",$Q155&lt;&gt;"Si",$R155&lt;&gt;"Si"),0,IF(AND($F155=$J155,$G155=$K155),Reglas!$B$5,0))</x:f>
        <x:v>0</x:v>
      </x:c>
      <x:c r="W155" t="n">
        <x:f>IF(OR($N155&lt;&gt;"Finalizado",$Q155&lt;&gt;"Si",$R155&lt;&gt;"Si"),0,IF($F155-$G155=$J155-$K155,Reglas!$B$6,0))</x:f>
        <x:v>0</x:v>
      </x:c>
      <x:c r="X155" t="n">
        <x:f>IF(OR($N155&lt;&gt;"Finalizado",$Q155&lt;&gt;"Si",$R155&lt;&gt;"Si"),0,IF($F155=$J155,Reglas!$B$7,0))</x:f>
        <x:v>0</x:v>
      </x:c>
      <x:c r="Y155" t="n">
        <x:f>IF(OR($N155&lt;&gt;"Finalizado",$Q155&lt;&gt;"Si",$R155&lt;&gt;"Si"),0,IF($G155=$K155,Reglas!$B$8,0))</x:f>
        <x:v>0</x:v>
      </x:c>
      <x:c r="Z155" t="n">
        <x:f>SUM($S155:$Y155)</x:f>
        <x:v>0</x:v>
      </x:c>
      <x:c r="AA155" t="str">
        <x:f>IF($N155&lt;&gt;"Finalizado","Resultado pendiente",IF($H155="Sin envio","Sin respuesta",IF($Q155&lt;&gt;"Si","No acerto clasificado","OK")))</x:f>
        <x:v>No acerto clasificado</x:v>
      </x:c>
      <x:c r="AB155" t="str">
        <x:v>8vos detalle reconstruido</x:v>
      </x:c>
      <x:c r="AC155" t="n">
        <x:v>0</x:v>
      </x:c>
      <x:c r="AD155" t="n">
        <x:f>$Z155-$AC155</x:f>
        <x:v>0</x:v>
      </x:c>
    </x:row>
    <x:row r="156" ht="15" hidden="0" customHeight="1">
      <x:c r="A156" t="str">
        <x:v>8vos</x:v>
      </x:c>
      <x:c r="B156" t="str">
        <x:v>O8</x:v>
      </x:c>
      <x:c r="C156" t="str">
        <x:v>Freddy</x:v>
      </x:c>
      <x:c r="D156" t="str">
        <x:v>Argentina</x:v>
      </x:c>
      <x:c r="E156" t="str">
        <x:v>Egipto</x:v>
      </x:c>
      <x:c r="F156" t="n">
        <x:v>2</x:v>
      </x:c>
      <x:c r="G156" t="n">
        <x:v>0</x:v>
      </x:c>
      <x:c r="H156" t="str">
        <x:v>Argentina</x:v>
      </x:c>
      <x:c r="I156" t="str">
        <x:v>90 minutos</x:v>
      </x:c>
      <x:c r="J156" t="n">
        <x:v>3</x:v>
      </x:c>
      <x:c r="K156" t="n">
        <x:v>2</x:v>
      </x:c>
      <x:c r="L156" t="str">
        <x:v>Argentina</x:v>
      </x:c>
      <x:c r="M156" t="str">
        <x:v>90 minutos</x:v>
      </x:c>
      <x:c r="N156" t="str">
        <x:v>Finalizado</x:v>
      </x:c>
      <x:c r="O156" t="str">
        <x:f>IF($H156="Sin envio","Sin envio",IF($I156="90 minutos",IF($F156&gt;$G156,"A",IF($G156&gt;$F156,"B","E")),"E"))</x:f>
        <x:v>A</x:v>
      </x:c>
      <x:c r="P156" t="str">
        <x:f>IF($M156="90 minutos",IF($J156&gt;$K156,"A",IF($K156&gt;$J156,"B","E")),"E")</x:f>
        <x:v>A</x:v>
      </x:c>
      <x:c r="Q156" t="str">
        <x:f>IF($H156="Sin envio","No",IF($H156=$L156,"Si","No"))</x:f>
        <x:v>Si</x:v>
      </x:c>
      <x:c r="R156" t="str">
        <x:f>IF(AND($I156=$M156,NOT(AND($I156="Penales",$F156&lt;&gt;$G156))),"Si","No")</x:f>
        <x:v>Si</x:v>
      </x:c>
      <x:c r="S156" t="n">
        <x:f>IF(OR($N156&lt;&gt;"Finalizado",$Q156&lt;&gt;"Si"),0,IF($O156=$P156,Reglas!$B$2,0))</x:f>
        <x:v>5</x:v>
      </x:c>
      <x:c r="T156" t="n">
        <x:f>IF(OR($N156&lt;&gt;"Finalizado",$Q156&lt;&gt;"Si"),0,Reglas!$B$3)</x:f>
        <x:v>3</x:v>
      </x:c>
      <x:c r="U156" t="n">
        <x:f>IF(OR($N156&lt;&gt;"Finalizado",$Q156&lt;&gt;"Si"),0,IF($I156=$M156,Reglas!$B$4,0))</x:f>
        <x:v>2</x:v>
      </x:c>
      <x:c r="V156" t="n">
        <x:f>IF(OR($N156&lt;&gt;"Finalizado",$Q156&lt;&gt;"Si",$R156&lt;&gt;"Si"),0,IF(AND($F156=$J156,$G156=$K156),Reglas!$B$5,0))</x:f>
        <x:v>0</x:v>
      </x:c>
      <x:c r="W156" t="n">
        <x:f>IF(OR($N156&lt;&gt;"Finalizado",$Q156&lt;&gt;"Si",$R156&lt;&gt;"Si"),0,IF($F156-$G156=$J156-$K156,Reglas!$B$6,0))</x:f>
        <x:v>0</x:v>
      </x:c>
      <x:c r="X156" t="n">
        <x:f>IF(OR($N156&lt;&gt;"Finalizado",$Q156&lt;&gt;"Si",$R156&lt;&gt;"Si"),0,IF($F156=$J156,Reglas!$B$7,0))</x:f>
        <x:v>0</x:v>
      </x:c>
      <x:c r="Y156" t="n">
        <x:f>IF(OR($N156&lt;&gt;"Finalizado",$Q156&lt;&gt;"Si",$R156&lt;&gt;"Si"),0,IF($G156=$K156,Reglas!$B$8,0))</x:f>
        <x:v>0</x:v>
      </x:c>
      <x:c r="Z156" t="n">
        <x:f>SUM($S156:$Y156)</x:f>
        <x:v>10</x:v>
      </x:c>
      <x:c r="AA156" t="str">
        <x:f>IF($N156&lt;&gt;"Finalizado","Resultado pendiente",IF($H156="Sin envio","Sin respuesta",IF($Q156&lt;&gt;"Si","No acerto clasificado","OK")))</x:f>
        <x:v>OK</x:v>
      </x:c>
      <x:c r="AB156" t="str">
        <x:v>8vos detalle reconstruido</x:v>
      </x:c>
      <x:c r="AC156" t="n">
        <x:v>10</x:v>
      </x:c>
      <x:c r="AD156" t="n">
        <x:f>$Z156-$AC156</x:f>
        <x:v>0</x:v>
      </x:c>
    </x:row>
    <x:row r="157" ht="15" hidden="0" customHeight="1">
      <x:c r="A157" t="str">
        <x:v>8vos</x:v>
      </x:c>
      <x:c r="B157" t="str">
        <x:v>O8</x:v>
      </x:c>
      <x:c r="C157" t="str">
        <x:v>Gabriela</x:v>
      </x:c>
      <x:c r="D157" t="str">
        <x:v>Argentina</x:v>
      </x:c>
      <x:c r="E157" t="str">
        <x:v>Egipto</x:v>
      </x:c>
      <x:c r="F157" t="n">
        <x:v>3</x:v>
      </x:c>
      <x:c r="G157" t="n">
        <x:v>1</x:v>
      </x:c>
      <x:c r="H157" t="str">
        <x:v>Argentina</x:v>
      </x:c>
      <x:c r="I157" t="str">
        <x:v>90 minutos</x:v>
      </x:c>
      <x:c r="J157" t="n">
        <x:v>3</x:v>
      </x:c>
      <x:c r="K157" t="n">
        <x:v>2</x:v>
      </x:c>
      <x:c r="L157" t="str">
        <x:v>Argentina</x:v>
      </x:c>
      <x:c r="M157" t="str">
        <x:v>90 minutos</x:v>
      </x:c>
      <x:c r="N157" t="str">
        <x:v>Finalizado</x:v>
      </x:c>
      <x:c r="O157" t="str">
        <x:f>IF($H157="Sin envio","Sin envio",IF($I157="90 minutos",IF($F157&gt;$G157,"A",IF($G157&gt;$F157,"B","E")),"E"))</x:f>
        <x:v>A</x:v>
      </x:c>
      <x:c r="P157" t="str">
        <x:f>IF($M157="90 minutos",IF($J157&gt;$K157,"A",IF($K157&gt;$J157,"B","E")),"E")</x:f>
        <x:v>A</x:v>
      </x:c>
      <x:c r="Q157" t="str">
        <x:f>IF($H157="Sin envio","No",IF($H157=$L157,"Si","No"))</x:f>
        <x:v>Si</x:v>
      </x:c>
      <x:c r="R157" t="str">
        <x:f>IF(AND($I157=$M157,NOT(AND($I157="Penales",$F157&lt;&gt;$G157))),"Si","No")</x:f>
        <x:v>Si</x:v>
      </x:c>
      <x:c r="S157" t="n">
        <x:f>IF(OR($N157&lt;&gt;"Finalizado",$Q157&lt;&gt;"Si"),0,IF($O157=$P157,Reglas!$B$2,0))</x:f>
        <x:v>5</x:v>
      </x:c>
      <x:c r="T157" t="n">
        <x:f>IF(OR($N157&lt;&gt;"Finalizado",$Q157&lt;&gt;"Si"),0,Reglas!$B$3)</x:f>
        <x:v>3</x:v>
      </x:c>
      <x:c r="U157" t="n">
        <x:f>IF(OR($N157&lt;&gt;"Finalizado",$Q157&lt;&gt;"Si"),0,IF($I157=$M157,Reglas!$B$4,0))</x:f>
        <x:v>2</x:v>
      </x:c>
      <x:c r="V157" t="n">
        <x:f>IF(OR($N157&lt;&gt;"Finalizado",$Q157&lt;&gt;"Si",$R157&lt;&gt;"Si"),0,IF(AND($F157=$J157,$G157=$K157),Reglas!$B$5,0))</x:f>
        <x:v>0</x:v>
      </x:c>
      <x:c r="W157" t="n">
        <x:f>IF(OR($N157&lt;&gt;"Finalizado",$Q157&lt;&gt;"Si",$R157&lt;&gt;"Si"),0,IF($F157-$G157=$J157-$K157,Reglas!$B$6,0))</x:f>
        <x:v>0</x:v>
      </x:c>
      <x:c r="X157" t="n">
        <x:f>IF(OR($N157&lt;&gt;"Finalizado",$Q157&lt;&gt;"Si",$R157&lt;&gt;"Si"),0,IF($F157=$J157,Reglas!$B$7,0))</x:f>
        <x:v>1</x:v>
      </x:c>
      <x:c r="Y157" t="n">
        <x:f>IF(OR($N157&lt;&gt;"Finalizado",$Q157&lt;&gt;"Si",$R157&lt;&gt;"Si"),0,IF($G157=$K157,Reglas!$B$8,0))</x:f>
        <x:v>0</x:v>
      </x:c>
      <x:c r="Z157" t="n">
        <x:f>SUM($S157:$Y157)</x:f>
        <x:v>11</x:v>
      </x:c>
      <x:c r="AA157" t="str">
        <x:f>IF($N157&lt;&gt;"Finalizado","Resultado pendiente",IF($H157="Sin envio","Sin respuesta",IF($Q157&lt;&gt;"Si","No acerto clasificado","OK")))</x:f>
        <x:v>OK</x:v>
      </x:c>
      <x:c r="AB157" t="str">
        <x:v>8vos detalle reconstruido</x:v>
      </x:c>
      <x:c r="AC157" t="n">
        <x:v>11</x:v>
      </x:c>
      <x:c r="AD157" t="n">
        <x:f>$Z157-$AC157</x:f>
        <x:v>0</x:v>
      </x:c>
    </x:row>
    <x:row r="158" ht="15" hidden="0" customHeight="1">
      <x:c r="A158" t="str">
        <x:v>8vos</x:v>
      </x:c>
      <x:c r="B158" t="str">
        <x:v>O8</x:v>
      </x:c>
      <x:c r="C158" t="str">
        <x:v>Jean</x:v>
      </x:c>
      <x:c r="D158" t="str">
        <x:v>Argentina</x:v>
      </x:c>
      <x:c r="E158" t="str">
        <x:v>Egipto</x:v>
      </x:c>
      <x:c r="F158" t="n">
        <x:v>2</x:v>
      </x:c>
      <x:c r="G158" t="n">
        <x:v>0</x:v>
      </x:c>
      <x:c r="H158" t="str">
        <x:v>Argentina</x:v>
      </x:c>
      <x:c r="I158" t="str">
        <x:v>90 minutos</x:v>
      </x:c>
      <x:c r="J158" t="n">
        <x:v>3</x:v>
      </x:c>
      <x:c r="K158" t="n">
        <x:v>2</x:v>
      </x:c>
      <x:c r="L158" t="str">
        <x:v>Argentina</x:v>
      </x:c>
      <x:c r="M158" t="str">
        <x:v>90 minutos</x:v>
      </x:c>
      <x:c r="N158" t="str">
        <x:v>Finalizado</x:v>
      </x:c>
      <x:c r="O158" t="str">
        <x:f>IF($H158="Sin envio","Sin envio",IF($I158="90 minutos",IF($F158&gt;$G158,"A",IF($G158&gt;$F158,"B","E")),"E"))</x:f>
        <x:v>A</x:v>
      </x:c>
      <x:c r="P158" t="str">
        <x:f>IF($M158="90 minutos",IF($J158&gt;$K158,"A",IF($K158&gt;$J158,"B","E")),"E")</x:f>
        <x:v>A</x:v>
      </x:c>
      <x:c r="Q158" t="str">
        <x:f>IF($H158="Sin envio","No",IF($H158=$L158,"Si","No"))</x:f>
        <x:v>Si</x:v>
      </x:c>
      <x:c r="R158" t="str">
        <x:f>IF(AND($I158=$M158,NOT(AND($I158="Penales",$F158&lt;&gt;$G158))),"Si","No")</x:f>
        <x:v>Si</x:v>
      </x:c>
      <x:c r="S158" t="n">
        <x:f>IF(OR($N158&lt;&gt;"Finalizado",$Q158&lt;&gt;"Si"),0,IF($O158=$P158,Reglas!$B$2,0))</x:f>
        <x:v>5</x:v>
      </x:c>
      <x:c r="T158" t="n">
        <x:f>IF(OR($N158&lt;&gt;"Finalizado",$Q158&lt;&gt;"Si"),0,Reglas!$B$3)</x:f>
        <x:v>3</x:v>
      </x:c>
      <x:c r="U158" t="n">
        <x:f>IF(OR($N158&lt;&gt;"Finalizado",$Q158&lt;&gt;"Si"),0,IF($I158=$M158,Reglas!$B$4,0))</x:f>
        <x:v>2</x:v>
      </x:c>
      <x:c r="V158" t="n">
        <x:f>IF(OR($N158&lt;&gt;"Finalizado",$Q158&lt;&gt;"Si",$R158&lt;&gt;"Si"),0,IF(AND($F158=$J158,$G158=$K158),Reglas!$B$5,0))</x:f>
        <x:v>0</x:v>
      </x:c>
      <x:c r="W158" t="n">
        <x:f>IF(OR($N158&lt;&gt;"Finalizado",$Q158&lt;&gt;"Si",$R158&lt;&gt;"Si"),0,IF($F158-$G158=$J158-$K158,Reglas!$B$6,0))</x:f>
        <x:v>0</x:v>
      </x:c>
      <x:c r="X158" t="n">
        <x:f>IF(OR($N158&lt;&gt;"Finalizado",$Q158&lt;&gt;"Si",$R158&lt;&gt;"Si"),0,IF($F158=$J158,Reglas!$B$7,0))</x:f>
        <x:v>0</x:v>
      </x:c>
      <x:c r="Y158" t="n">
        <x:f>IF(OR($N158&lt;&gt;"Finalizado",$Q158&lt;&gt;"Si",$R158&lt;&gt;"Si"),0,IF($G158=$K158,Reglas!$B$8,0))</x:f>
        <x:v>0</x:v>
      </x:c>
      <x:c r="Z158" t="n">
        <x:f>SUM($S158:$Y158)</x:f>
        <x:v>10</x:v>
      </x:c>
      <x:c r="AA158" t="str">
        <x:f>IF($N158&lt;&gt;"Finalizado","Resultado pendiente",IF($H158="Sin envio","Sin respuesta",IF($Q158&lt;&gt;"Si","No acerto clasificado","OK")))</x:f>
        <x:v>OK</x:v>
      </x:c>
      <x:c r="AB158" t="str">
        <x:v>8vos detalle reconstruido</x:v>
      </x:c>
      <x:c r="AC158" t="n">
        <x:v>10</x:v>
      </x:c>
      <x:c r="AD158" t="n">
        <x:f>$Z158-$AC158</x:f>
        <x:v>0</x:v>
      </x:c>
    </x:row>
    <x:row r="159" ht="15" hidden="0" customHeight="1">
      <x:c r="A159" t="str">
        <x:v>8vos</x:v>
      </x:c>
      <x:c r="B159" t="str">
        <x:v>O8</x:v>
      </x:c>
      <x:c r="C159" t="str">
        <x:v>Juan</x:v>
      </x:c>
      <x:c r="D159" t="str">
        <x:v>Argentina</x:v>
      </x:c>
      <x:c r="E159" t="str">
        <x:v>Egipto</x:v>
      </x:c>
      <x:c r="F159" t="n">
        <x:v>2</x:v>
      </x:c>
      <x:c r="G159" t="n">
        <x:v>0</x:v>
      </x:c>
      <x:c r="H159" t="str">
        <x:v>Argentina</x:v>
      </x:c>
      <x:c r="I159" t="str">
        <x:v>90 minutos</x:v>
      </x:c>
      <x:c r="J159" t="n">
        <x:v>3</x:v>
      </x:c>
      <x:c r="K159" t="n">
        <x:v>2</x:v>
      </x:c>
      <x:c r="L159" t="str">
        <x:v>Argentina</x:v>
      </x:c>
      <x:c r="M159" t="str">
        <x:v>90 minutos</x:v>
      </x:c>
      <x:c r="N159" t="str">
        <x:v>Finalizado</x:v>
      </x:c>
      <x:c r="O159" t="str">
        <x:f>IF($H159="Sin envio","Sin envio",IF($I159="90 minutos",IF($F159&gt;$G159,"A",IF($G159&gt;$F159,"B","E")),"E"))</x:f>
        <x:v>A</x:v>
      </x:c>
      <x:c r="P159" t="str">
        <x:f>IF($M159="90 minutos",IF($J159&gt;$K159,"A",IF($K159&gt;$J159,"B","E")),"E")</x:f>
        <x:v>A</x:v>
      </x:c>
      <x:c r="Q159" t="str">
        <x:f>IF($H159="Sin envio","No",IF($H159=$L159,"Si","No"))</x:f>
        <x:v>Si</x:v>
      </x:c>
      <x:c r="R159" t="str">
        <x:f>IF(AND($I159=$M159,NOT(AND($I159="Penales",$F159&lt;&gt;$G159))),"Si","No")</x:f>
        <x:v>Si</x:v>
      </x:c>
      <x:c r="S159" t="n">
        <x:f>IF(OR($N159&lt;&gt;"Finalizado",$Q159&lt;&gt;"Si"),0,IF($O159=$P159,Reglas!$B$2,0))</x:f>
        <x:v>5</x:v>
      </x:c>
      <x:c r="T159" t="n">
        <x:f>IF(OR($N159&lt;&gt;"Finalizado",$Q159&lt;&gt;"Si"),0,Reglas!$B$3)</x:f>
        <x:v>3</x:v>
      </x:c>
      <x:c r="U159" t="n">
        <x:f>IF(OR($N159&lt;&gt;"Finalizado",$Q159&lt;&gt;"Si"),0,IF($I159=$M159,Reglas!$B$4,0))</x:f>
        <x:v>2</x:v>
      </x:c>
      <x:c r="V159" t="n">
        <x:f>IF(OR($N159&lt;&gt;"Finalizado",$Q159&lt;&gt;"Si",$R159&lt;&gt;"Si"),0,IF(AND($F159=$J159,$G159=$K159),Reglas!$B$5,0))</x:f>
        <x:v>0</x:v>
      </x:c>
      <x:c r="W159" t="n">
        <x:f>IF(OR($N159&lt;&gt;"Finalizado",$Q159&lt;&gt;"Si",$R159&lt;&gt;"Si"),0,IF($F159-$G159=$J159-$K159,Reglas!$B$6,0))</x:f>
        <x:v>0</x:v>
      </x:c>
      <x:c r="X159" t="n">
        <x:f>IF(OR($N159&lt;&gt;"Finalizado",$Q159&lt;&gt;"Si",$R159&lt;&gt;"Si"),0,IF($F159=$J159,Reglas!$B$7,0))</x:f>
        <x:v>0</x:v>
      </x:c>
      <x:c r="Y159" t="n">
        <x:f>IF(OR($N159&lt;&gt;"Finalizado",$Q159&lt;&gt;"Si",$R159&lt;&gt;"Si"),0,IF($G159=$K159,Reglas!$B$8,0))</x:f>
        <x:v>0</x:v>
      </x:c>
      <x:c r="Z159" t="n">
        <x:f>SUM($S159:$Y159)</x:f>
        <x:v>10</x:v>
      </x:c>
      <x:c r="AA159" t="str">
        <x:f>IF($N159&lt;&gt;"Finalizado","Resultado pendiente",IF($H159="Sin envio","Sin respuesta",IF($Q159&lt;&gt;"Si","No acerto clasificado","OK")))</x:f>
        <x:v>OK</x:v>
      </x:c>
      <x:c r="AB159" t="str">
        <x:v>8vos detalle reconstruido</x:v>
      </x:c>
      <x:c r="AC159" t="n">
        <x:v>10</x:v>
      </x:c>
      <x:c r="AD159" t="n">
        <x:f>$Z159-$AC159</x:f>
        <x:v>0</x:v>
      </x:c>
    </x:row>
    <x:row r="160" ht="15" hidden="0" customHeight="1">
      <x:c r="A160" t="str">
        <x:v>8vos</x:v>
      </x:c>
      <x:c r="B160" t="str">
        <x:v>O8</x:v>
      </x:c>
      <x:c r="C160" t="str">
        <x:v>Jesús</x:v>
      </x:c>
      <x:c r="D160" t="str">
        <x:v>Argentina</x:v>
      </x:c>
      <x:c r="E160" t="str">
        <x:v>Egipto</x:v>
      </x:c>
      <x:c r="F160" t="n">
        <x:v>3</x:v>
      </x:c>
      <x:c r="G160" t="n">
        <x:v>0</x:v>
      </x:c>
      <x:c r="H160" t="str">
        <x:v>Argentina</x:v>
      </x:c>
      <x:c r="I160" t="str">
        <x:v>90 minutos</x:v>
      </x:c>
      <x:c r="J160" t="n">
        <x:v>3</x:v>
      </x:c>
      <x:c r="K160" t="n">
        <x:v>2</x:v>
      </x:c>
      <x:c r="L160" t="str">
        <x:v>Argentina</x:v>
      </x:c>
      <x:c r="M160" t="str">
        <x:v>90 minutos</x:v>
      </x:c>
      <x:c r="N160" t="str">
        <x:v>Finalizado</x:v>
      </x:c>
      <x:c r="O160" t="str">
        <x:f>IF($H160="Sin envio","Sin envio",IF($I160="90 minutos",IF($F160&gt;$G160,"A",IF($G160&gt;$F160,"B","E")),"E"))</x:f>
        <x:v>A</x:v>
      </x:c>
      <x:c r="P160" t="str">
        <x:f>IF($M160="90 minutos",IF($J160&gt;$K160,"A",IF($K160&gt;$J160,"B","E")),"E")</x:f>
        <x:v>A</x:v>
      </x:c>
      <x:c r="Q160" t="str">
        <x:f>IF($H160="Sin envio","No",IF($H160=$L160,"Si","No"))</x:f>
        <x:v>Si</x:v>
      </x:c>
      <x:c r="R160" t="str">
        <x:f>IF(AND($I160=$M160,NOT(AND($I160="Penales",$F160&lt;&gt;$G160))),"Si","No")</x:f>
        <x:v>Si</x:v>
      </x:c>
      <x:c r="S160" t="n">
        <x:f>IF(OR($N160&lt;&gt;"Finalizado",$Q160&lt;&gt;"Si"),0,IF($O160=$P160,Reglas!$B$2,0))</x:f>
        <x:v>5</x:v>
      </x:c>
      <x:c r="T160" t="n">
        <x:f>IF(OR($N160&lt;&gt;"Finalizado",$Q160&lt;&gt;"Si"),0,Reglas!$B$3)</x:f>
        <x:v>3</x:v>
      </x:c>
      <x:c r="U160" t="n">
        <x:f>IF(OR($N160&lt;&gt;"Finalizado",$Q160&lt;&gt;"Si"),0,IF($I160=$M160,Reglas!$B$4,0))</x:f>
        <x:v>2</x:v>
      </x:c>
      <x:c r="V160" t="n">
        <x:f>IF(OR($N160&lt;&gt;"Finalizado",$Q160&lt;&gt;"Si",$R160&lt;&gt;"Si"),0,IF(AND($F160=$J160,$G160=$K160),Reglas!$B$5,0))</x:f>
        <x:v>0</x:v>
      </x:c>
      <x:c r="W160" t="n">
        <x:f>IF(OR($N160&lt;&gt;"Finalizado",$Q160&lt;&gt;"Si",$R160&lt;&gt;"Si"),0,IF($F160-$G160=$J160-$K160,Reglas!$B$6,0))</x:f>
        <x:v>0</x:v>
      </x:c>
      <x:c r="X160" t="n">
        <x:f>IF(OR($N160&lt;&gt;"Finalizado",$Q160&lt;&gt;"Si",$R160&lt;&gt;"Si"),0,IF($F160=$J160,Reglas!$B$7,0))</x:f>
        <x:v>1</x:v>
      </x:c>
      <x:c r="Y160" t="n">
        <x:f>IF(OR($N160&lt;&gt;"Finalizado",$Q160&lt;&gt;"Si",$R160&lt;&gt;"Si"),0,IF($G160=$K160,Reglas!$B$8,0))</x:f>
        <x:v>0</x:v>
      </x:c>
      <x:c r="Z160" t="n">
        <x:f>SUM($S160:$Y160)</x:f>
        <x:v>11</x:v>
      </x:c>
      <x:c r="AA160" t="str">
        <x:f>IF($N160&lt;&gt;"Finalizado","Resultado pendiente",IF($H160="Sin envio","Sin respuesta",IF($Q160&lt;&gt;"Si","No acerto clasificado","OK")))</x:f>
        <x:v>OK</x:v>
      </x:c>
      <x:c r="AB160" t="str">
        <x:v>8vos detalle reconstruido</x:v>
      </x:c>
      <x:c r="AC160" t="n">
        <x:v>11</x:v>
      </x:c>
      <x:c r="AD160" t="n">
        <x:f>$Z160-$AC160</x:f>
        <x:v>0</x:v>
      </x:c>
    </x:row>
    <x:row r="161" ht="15" hidden="0" customHeight="1">
      <x:c r="A161" t="str">
        <x:v>8vos</x:v>
      </x:c>
      <x:c r="B161" t="str">
        <x:v>O8</x:v>
      </x:c>
      <x:c r="C161" t="str">
        <x:v>Diego</x:v>
      </x:c>
      <x:c r="D161" t="str">
        <x:v>Argentina</x:v>
      </x:c>
      <x:c r="E161" t="str">
        <x:v>Egipto</x:v>
      </x:c>
      <x:c r="F161" t="n">
        <x:v>2</x:v>
      </x:c>
      <x:c r="G161" t="n">
        <x:v>0</x:v>
      </x:c>
      <x:c r="H161" t="str">
        <x:v>Argentina</x:v>
      </x:c>
      <x:c r="I161" t="str">
        <x:v>90 minutos</x:v>
      </x:c>
      <x:c r="J161" t="n">
        <x:v>3</x:v>
      </x:c>
      <x:c r="K161" t="n">
        <x:v>2</x:v>
      </x:c>
      <x:c r="L161" t="str">
        <x:v>Argentina</x:v>
      </x:c>
      <x:c r="M161" t="str">
        <x:v>90 minutos</x:v>
      </x:c>
      <x:c r="N161" t="str">
        <x:v>Finalizado</x:v>
      </x:c>
      <x:c r="O161" t="str">
        <x:f>IF($H161="Sin envio","Sin envio",IF($I161="90 minutos",IF($F161&gt;$G161,"A",IF($G161&gt;$F161,"B","E")),"E"))</x:f>
        <x:v>A</x:v>
      </x:c>
      <x:c r="P161" t="str">
        <x:f>IF($M161="90 minutos",IF($J161&gt;$K161,"A",IF($K161&gt;$J161,"B","E")),"E")</x:f>
        <x:v>A</x:v>
      </x:c>
      <x:c r="Q161" t="str">
        <x:f>IF($H161="Sin envio","No",IF($H161=$L161,"Si","No"))</x:f>
        <x:v>Si</x:v>
      </x:c>
      <x:c r="R161" t="str">
        <x:f>IF(AND($I161=$M161,NOT(AND($I161="Penales",$F161&lt;&gt;$G161))),"Si","No")</x:f>
        <x:v>Si</x:v>
      </x:c>
      <x:c r="S161" t="n">
        <x:f>IF(OR($N161&lt;&gt;"Finalizado",$Q161&lt;&gt;"Si"),0,IF($O161=$P161,Reglas!$B$2,0))</x:f>
        <x:v>5</x:v>
      </x:c>
      <x:c r="T161" t="n">
        <x:f>IF(OR($N161&lt;&gt;"Finalizado",$Q161&lt;&gt;"Si"),0,Reglas!$B$3)</x:f>
        <x:v>3</x:v>
      </x:c>
      <x:c r="U161" t="n">
        <x:f>IF(OR($N161&lt;&gt;"Finalizado",$Q161&lt;&gt;"Si"),0,IF($I161=$M161,Reglas!$B$4,0))</x:f>
        <x:v>2</x:v>
      </x:c>
      <x:c r="V161" t="n">
        <x:f>IF(OR($N161&lt;&gt;"Finalizado",$Q161&lt;&gt;"Si",$R161&lt;&gt;"Si"),0,IF(AND($F161=$J161,$G161=$K161),Reglas!$B$5,0))</x:f>
        <x:v>0</x:v>
      </x:c>
      <x:c r="W161" t="n">
        <x:f>IF(OR($N161&lt;&gt;"Finalizado",$Q161&lt;&gt;"Si",$R161&lt;&gt;"Si"),0,IF($F161-$G161=$J161-$K161,Reglas!$B$6,0))</x:f>
        <x:v>0</x:v>
      </x:c>
      <x:c r="X161" t="n">
        <x:f>IF(OR($N161&lt;&gt;"Finalizado",$Q161&lt;&gt;"Si",$R161&lt;&gt;"Si"),0,IF($F161=$J161,Reglas!$B$7,0))</x:f>
        <x:v>0</x:v>
      </x:c>
      <x:c r="Y161" t="n">
        <x:f>IF(OR($N161&lt;&gt;"Finalizado",$Q161&lt;&gt;"Si",$R161&lt;&gt;"Si"),0,IF($G161=$K161,Reglas!$B$8,0))</x:f>
        <x:v>0</x:v>
      </x:c>
      <x:c r="Z161" t="n">
        <x:f>SUM($S161:$Y161)</x:f>
        <x:v>10</x:v>
      </x:c>
      <x:c r="AA161" t="str">
        <x:f>IF($N161&lt;&gt;"Finalizado","Resultado pendiente",IF($H161="Sin envio","Sin respuesta",IF($Q161&lt;&gt;"Si","No acerto clasificado","OK")))</x:f>
        <x:v>OK</x:v>
      </x:c>
      <x:c r="AB161" t="str">
        <x:v>8vos detalle reconstruido</x:v>
      </x:c>
      <x:c r="AC161" t="n">
        <x:v>10</x:v>
      </x:c>
      <x:c r="AD161" t="n">
        <x:f>$Z161-$AC161</x:f>
        <x:v>0</x:v>
      </x:c>
    </x:row>
    <x:row r="162" ht="15" hidden="0" customHeight="1">
      <x:c r="A162" t="str">
        <x:v>8vos</x:v>
      </x:c>
      <x:c r="B162" t="str">
        <x:v>O8</x:v>
      </x:c>
      <x:c r="C162" t="str">
        <x:v>Aldo</x:v>
      </x:c>
      <x:c r="D162" t="str">
        <x:v>Argentina</x:v>
      </x:c>
      <x:c r="E162" t="str">
        <x:v>Egipto</x:v>
      </x:c>
      <x:c r="F162" t="n">
        <x:v>2</x:v>
      </x:c>
      <x:c r="G162" t="n">
        <x:v>1</x:v>
      </x:c>
      <x:c r="H162" t="str">
        <x:v>Argentina</x:v>
      </x:c>
      <x:c r="I162" t="str">
        <x:v>90 minutos</x:v>
      </x:c>
      <x:c r="J162" t="n">
        <x:v>3</x:v>
      </x:c>
      <x:c r="K162" t="n">
        <x:v>2</x:v>
      </x:c>
      <x:c r="L162" t="str">
        <x:v>Argentina</x:v>
      </x:c>
      <x:c r="M162" t="str">
        <x:v>90 minutos</x:v>
      </x:c>
      <x:c r="N162" t="str">
        <x:v>Finalizado</x:v>
      </x:c>
      <x:c r="O162" t="str">
        <x:f>IF($H162="Sin envio","Sin envio",IF($I162="90 minutos",IF($F162&gt;$G162,"A",IF($G162&gt;$F162,"B","E")),"E"))</x:f>
        <x:v>A</x:v>
      </x:c>
      <x:c r="P162" t="str">
        <x:f>IF($M162="90 minutos",IF($J162&gt;$K162,"A",IF($K162&gt;$J162,"B","E")),"E")</x:f>
        <x:v>A</x:v>
      </x:c>
      <x:c r="Q162" t="str">
        <x:f>IF($H162="Sin envio","No",IF($H162=$L162,"Si","No"))</x:f>
        <x:v>Si</x:v>
      </x:c>
      <x:c r="R162" t="str">
        <x:f>IF(AND($I162=$M162,NOT(AND($I162="Penales",$F162&lt;&gt;$G162))),"Si","No")</x:f>
        <x:v>Si</x:v>
      </x:c>
      <x:c r="S162" t="n">
        <x:f>IF(OR($N162&lt;&gt;"Finalizado",$Q162&lt;&gt;"Si"),0,IF($O162=$P162,Reglas!$B$2,0))</x:f>
        <x:v>5</x:v>
      </x:c>
      <x:c r="T162" t="n">
        <x:f>IF(OR($N162&lt;&gt;"Finalizado",$Q162&lt;&gt;"Si"),0,Reglas!$B$3)</x:f>
        <x:v>3</x:v>
      </x:c>
      <x:c r="U162" t="n">
        <x:f>IF(OR($N162&lt;&gt;"Finalizado",$Q162&lt;&gt;"Si"),0,IF($I162=$M162,Reglas!$B$4,0))</x:f>
        <x:v>2</x:v>
      </x:c>
      <x:c r="V162" t="n">
        <x:f>IF(OR($N162&lt;&gt;"Finalizado",$Q162&lt;&gt;"Si",$R162&lt;&gt;"Si"),0,IF(AND($F162=$J162,$G162=$K162),Reglas!$B$5,0))</x:f>
        <x:v>0</x:v>
      </x:c>
      <x:c r="W162" t="n">
        <x:f>IF(OR($N162&lt;&gt;"Finalizado",$Q162&lt;&gt;"Si",$R162&lt;&gt;"Si"),0,IF($F162-$G162=$J162-$K162,Reglas!$B$6,0))</x:f>
        <x:v>2</x:v>
      </x:c>
      <x:c r="X162" t="n">
        <x:f>IF(OR($N162&lt;&gt;"Finalizado",$Q162&lt;&gt;"Si",$R162&lt;&gt;"Si"),0,IF($F162=$J162,Reglas!$B$7,0))</x:f>
        <x:v>0</x:v>
      </x:c>
      <x:c r="Y162" t="n">
        <x:f>IF(OR($N162&lt;&gt;"Finalizado",$Q162&lt;&gt;"Si",$R162&lt;&gt;"Si"),0,IF($G162=$K162,Reglas!$B$8,0))</x:f>
        <x:v>0</x:v>
      </x:c>
      <x:c r="Z162" t="n">
        <x:f>SUM($S162:$Y162)</x:f>
        <x:v>12</x:v>
      </x:c>
      <x:c r="AA162" t="str">
        <x:f>IF($N162&lt;&gt;"Finalizado","Resultado pendiente",IF($H162="Sin envio","Sin respuesta",IF($Q162&lt;&gt;"Si","No acerto clasificado","OK")))</x:f>
        <x:v>OK</x:v>
      </x:c>
      <x:c r="AB162" t="str">
        <x:v>8vos detalle reconstruido</x:v>
      </x:c>
      <x:c r="AC162" t="n">
        <x:v>12</x:v>
      </x:c>
      <x:c r="AD162" t="n">
        <x:f>$Z162-$AC162</x:f>
        <x:v>0</x:v>
      </x:c>
    </x:row>
    <x:row r="163" ht="15" hidden="0" customHeight="1">
      <x:c r="A163" t="str">
        <x:v>8vos</x:v>
      </x:c>
      <x:c r="B163" t="str">
        <x:v>O8</x:v>
      </x:c>
      <x:c r="C163" t="str">
        <x:v>Javier</x:v>
      </x:c>
      <x:c r="D163" t="str">
        <x:v>Argentina</x:v>
      </x:c>
      <x:c r="E163" t="str">
        <x:v>Egipto</x:v>
      </x:c>
      <x:c r="F163" t="n">
        <x:v>2</x:v>
      </x:c>
      <x:c r="G163" t="n">
        <x:v>0</x:v>
      </x:c>
      <x:c r="H163" t="str">
        <x:v>Argentina</x:v>
      </x:c>
      <x:c r="I163" t="str">
        <x:v>90 minutos</x:v>
      </x:c>
      <x:c r="J163" t="n">
        <x:v>3</x:v>
      </x:c>
      <x:c r="K163" t="n">
        <x:v>2</x:v>
      </x:c>
      <x:c r="L163" t="str">
        <x:v>Argentina</x:v>
      </x:c>
      <x:c r="M163" t="str">
        <x:v>90 minutos</x:v>
      </x:c>
      <x:c r="N163" t="str">
        <x:v>Finalizado</x:v>
      </x:c>
      <x:c r="O163" t="str">
        <x:f>IF($H163="Sin envio","Sin envio",IF($I163="90 minutos",IF($F163&gt;$G163,"A",IF($G163&gt;$F163,"B","E")),"E"))</x:f>
        <x:v>A</x:v>
      </x:c>
      <x:c r="P163" t="str">
        <x:f>IF($M163="90 minutos",IF($J163&gt;$K163,"A",IF($K163&gt;$J163,"B","E")),"E")</x:f>
        <x:v>A</x:v>
      </x:c>
      <x:c r="Q163" t="str">
        <x:f>IF($H163="Sin envio","No",IF($H163=$L163,"Si","No"))</x:f>
        <x:v>Si</x:v>
      </x:c>
      <x:c r="R163" t="str">
        <x:f>IF(AND($I163=$M163,NOT(AND($I163="Penales",$F163&lt;&gt;$G163))),"Si","No")</x:f>
        <x:v>Si</x:v>
      </x:c>
      <x:c r="S163" t="n">
        <x:f>IF(OR($N163&lt;&gt;"Finalizado",$Q163&lt;&gt;"Si"),0,IF($O163=$P163,Reglas!$B$2,0))</x:f>
        <x:v>5</x:v>
      </x:c>
      <x:c r="T163" t="n">
        <x:f>IF(OR($N163&lt;&gt;"Finalizado",$Q163&lt;&gt;"Si"),0,Reglas!$B$3)</x:f>
        <x:v>3</x:v>
      </x:c>
      <x:c r="U163" t="n">
        <x:f>IF(OR($N163&lt;&gt;"Finalizado",$Q163&lt;&gt;"Si"),0,IF($I163=$M163,Reglas!$B$4,0))</x:f>
        <x:v>2</x:v>
      </x:c>
      <x:c r="V163" t="n">
        <x:f>IF(OR($N163&lt;&gt;"Finalizado",$Q163&lt;&gt;"Si",$R163&lt;&gt;"Si"),0,IF(AND($F163=$J163,$G163=$K163),Reglas!$B$5,0))</x:f>
        <x:v>0</x:v>
      </x:c>
      <x:c r="W163" t="n">
        <x:f>IF(OR($N163&lt;&gt;"Finalizado",$Q163&lt;&gt;"Si",$R163&lt;&gt;"Si"),0,IF($F163-$G163=$J163-$K163,Reglas!$B$6,0))</x:f>
        <x:v>0</x:v>
      </x:c>
      <x:c r="X163" t="n">
        <x:f>IF(OR($N163&lt;&gt;"Finalizado",$Q163&lt;&gt;"Si",$R163&lt;&gt;"Si"),0,IF($F163=$J163,Reglas!$B$7,0))</x:f>
        <x:v>0</x:v>
      </x:c>
      <x:c r="Y163" t="n">
        <x:f>IF(OR($N163&lt;&gt;"Finalizado",$Q163&lt;&gt;"Si",$R163&lt;&gt;"Si"),0,IF($G163=$K163,Reglas!$B$8,0))</x:f>
        <x:v>0</x:v>
      </x:c>
      <x:c r="Z163" t="n">
        <x:f>SUM($S163:$Y163)</x:f>
        <x:v>10</x:v>
      </x:c>
      <x:c r="AA163" t="str">
        <x:f>IF($N163&lt;&gt;"Finalizado","Resultado pendiente",IF($H163="Sin envio","Sin respuesta",IF($Q163&lt;&gt;"Si","No acerto clasificado","OK")))</x:f>
        <x:v>OK</x:v>
      </x:c>
      <x:c r="AB163" t="str">
        <x:v>8vos detalle reconstruido</x:v>
      </x:c>
      <x:c r="AC163" t="n">
        <x:v>10</x:v>
      </x:c>
      <x:c r="AD163" t="n">
        <x:f>$Z163-$AC163</x:f>
        <x:v>0</x:v>
      </x:c>
    </x:row>
    <x:row r="164" ht="15" hidden="0" customHeight="1">
      <x:c r="A164" t="str">
        <x:v>8vos</x:v>
      </x:c>
      <x:c r="B164" t="str">
        <x:v>O8</x:v>
      </x:c>
      <x:c r="C164" t="str">
        <x:v>Gino</x:v>
      </x:c>
      <x:c r="D164" t="str">
        <x:v>Argentina</x:v>
      </x:c>
      <x:c r="E164" t="str">
        <x:v>Egipto</x:v>
      </x:c>
      <x:c r="F164" t="n">
        <x:v>2</x:v>
      </x:c>
      <x:c r="G164" t="n">
        <x:v>0</x:v>
      </x:c>
      <x:c r="H164" t="str">
        <x:v>Argentina</x:v>
      </x:c>
      <x:c r="I164" t="str">
        <x:v>90 minutos</x:v>
      </x:c>
      <x:c r="J164" t="n">
        <x:v>3</x:v>
      </x:c>
      <x:c r="K164" t="n">
        <x:v>2</x:v>
      </x:c>
      <x:c r="L164" t="str">
        <x:v>Argentina</x:v>
      </x:c>
      <x:c r="M164" t="str">
        <x:v>90 minutos</x:v>
      </x:c>
      <x:c r="N164" t="str">
        <x:v>Finalizado</x:v>
      </x:c>
      <x:c r="O164" t="str">
        <x:f>IF($H164="Sin envio","Sin envio",IF($I164="90 minutos",IF($F164&gt;$G164,"A",IF($G164&gt;$F164,"B","E")),"E"))</x:f>
        <x:v>A</x:v>
      </x:c>
      <x:c r="P164" t="str">
        <x:f>IF($M164="90 minutos",IF($J164&gt;$K164,"A",IF($K164&gt;$J164,"B","E")),"E")</x:f>
        <x:v>A</x:v>
      </x:c>
      <x:c r="Q164" t="str">
        <x:f>IF($H164="Sin envio","No",IF($H164=$L164,"Si","No"))</x:f>
        <x:v>Si</x:v>
      </x:c>
      <x:c r="R164" t="str">
        <x:f>IF(AND($I164=$M164,NOT(AND($I164="Penales",$F164&lt;&gt;$G164))),"Si","No")</x:f>
        <x:v>Si</x:v>
      </x:c>
      <x:c r="S164" t="n">
        <x:f>IF(OR($N164&lt;&gt;"Finalizado",$Q164&lt;&gt;"Si"),0,IF($O164=$P164,Reglas!$B$2,0))</x:f>
        <x:v>5</x:v>
      </x:c>
      <x:c r="T164" t="n">
        <x:f>IF(OR($N164&lt;&gt;"Finalizado",$Q164&lt;&gt;"Si"),0,Reglas!$B$3)</x:f>
        <x:v>3</x:v>
      </x:c>
      <x:c r="U164" t="n">
        <x:f>IF(OR($N164&lt;&gt;"Finalizado",$Q164&lt;&gt;"Si"),0,IF($I164=$M164,Reglas!$B$4,0))</x:f>
        <x:v>2</x:v>
      </x:c>
      <x:c r="V164" t="n">
        <x:f>IF(OR($N164&lt;&gt;"Finalizado",$Q164&lt;&gt;"Si",$R164&lt;&gt;"Si"),0,IF(AND($F164=$J164,$G164=$K164),Reglas!$B$5,0))</x:f>
        <x:v>0</x:v>
      </x:c>
      <x:c r="W164" t="n">
        <x:f>IF(OR($N164&lt;&gt;"Finalizado",$Q164&lt;&gt;"Si",$R164&lt;&gt;"Si"),0,IF($F164-$G164=$J164-$K164,Reglas!$B$6,0))</x:f>
        <x:v>0</x:v>
      </x:c>
      <x:c r="X164" t="n">
        <x:f>IF(OR($N164&lt;&gt;"Finalizado",$Q164&lt;&gt;"Si",$R164&lt;&gt;"Si"),0,IF($F164=$J164,Reglas!$B$7,0))</x:f>
        <x:v>0</x:v>
      </x:c>
      <x:c r="Y164" t="n">
        <x:f>IF(OR($N164&lt;&gt;"Finalizado",$Q164&lt;&gt;"Si",$R164&lt;&gt;"Si"),0,IF($G164=$K164,Reglas!$B$8,0))</x:f>
        <x:v>0</x:v>
      </x:c>
      <x:c r="Z164" t="n">
        <x:f>SUM($S164:$Y164)</x:f>
        <x:v>10</x:v>
      </x:c>
      <x:c r="AA164" t="str">
        <x:f>IF($N164&lt;&gt;"Finalizado","Resultado pendiente",IF($H164="Sin envio","Sin respuesta",IF($Q164&lt;&gt;"Si","No acerto clasificado","OK")))</x:f>
        <x:v>OK</x:v>
      </x:c>
      <x:c r="AB164" t="str">
        <x:v>8vos detalle reconstruido</x:v>
      </x:c>
      <x:c r="AC164" t="n">
        <x:v>10</x:v>
      </x:c>
      <x:c r="AD164" t="n">
        <x:f>$Z164-$AC164</x:f>
        <x:v>0</x:v>
      </x:c>
    </x:row>
    <x:row r="165" ht="15" hidden="0" customHeight="1">
      <x:c r="A165" t="str">
        <x:v>8vos</x:v>
      </x:c>
      <x:c r="B165" t="str">
        <x:v>O8</x:v>
      </x:c>
      <x:c r="C165" t="str">
        <x:v>Manuel</x:v>
      </x:c>
      <x:c r="D165" t="str">
        <x:v>Argentina</x:v>
      </x:c>
      <x:c r="E165" t="str">
        <x:v>Egipto</x:v>
      </x:c>
      <x:c r="F165" t="n">
        <x:v>2</x:v>
      </x:c>
      <x:c r="G165" t="n">
        <x:v>1</x:v>
      </x:c>
      <x:c r="H165" t="str">
        <x:v>Argentina</x:v>
      </x:c>
      <x:c r="I165" t="str">
        <x:v>Suplementario</x:v>
      </x:c>
      <x:c r="J165" t="n">
        <x:v>3</x:v>
      </x:c>
      <x:c r="K165" t="n">
        <x:v>2</x:v>
      </x:c>
      <x:c r="L165" t="str">
        <x:v>Argentina</x:v>
      </x:c>
      <x:c r="M165" t="str">
        <x:v>90 minutos</x:v>
      </x:c>
      <x:c r="N165" t="str">
        <x:v>Finalizado</x:v>
      </x:c>
      <x:c r="O165" t="str">
        <x:f>IF($H165="Sin envio","Sin envio",IF($I165="90 minutos",IF($F165&gt;$G165,"A",IF($G165&gt;$F165,"B","E")),"E"))</x:f>
        <x:v>E</x:v>
      </x:c>
      <x:c r="P165" t="str">
        <x:f>IF($M165="90 minutos",IF($J165&gt;$K165,"A",IF($K165&gt;$J165,"B","E")),"E")</x:f>
        <x:v>A</x:v>
      </x:c>
      <x:c r="Q165" t="str">
        <x:f>IF($H165="Sin envio","No",IF($H165=$L165,"Si","No"))</x:f>
        <x:v>Si</x:v>
      </x:c>
      <x:c r="R165" t="str">
        <x:f>IF(AND($I165=$M165,NOT(AND($I165="Penales",$F165&lt;&gt;$G165))),"Si","No")</x:f>
        <x:v>No</x:v>
      </x:c>
      <x:c r="S165" t="n">
        <x:f>IF(OR($N165&lt;&gt;"Finalizado",$Q165&lt;&gt;"Si"),0,IF($O165=$P165,Reglas!$B$2,0))</x:f>
        <x:v>0</x:v>
      </x:c>
      <x:c r="T165" t="n">
        <x:f>IF(OR($N165&lt;&gt;"Finalizado",$Q165&lt;&gt;"Si"),0,Reglas!$B$3)</x:f>
        <x:v>3</x:v>
      </x:c>
      <x:c r="U165" t="n">
        <x:f>IF(OR($N165&lt;&gt;"Finalizado",$Q165&lt;&gt;"Si"),0,IF($I165=$M165,Reglas!$B$4,0))</x:f>
        <x:v>0</x:v>
      </x:c>
      <x:c r="V165" t="n">
        <x:f>IF(OR($N165&lt;&gt;"Finalizado",$Q165&lt;&gt;"Si",$R165&lt;&gt;"Si"),0,IF(AND($F165=$J165,$G165=$K165),Reglas!$B$5,0))</x:f>
        <x:v>0</x:v>
      </x:c>
      <x:c r="W165" t="n">
        <x:f>IF(OR($N165&lt;&gt;"Finalizado",$Q165&lt;&gt;"Si",$R165&lt;&gt;"Si"),0,IF($F165-$G165=$J165-$K165,Reglas!$B$6,0))</x:f>
        <x:v>0</x:v>
      </x:c>
      <x:c r="X165" t="n">
        <x:f>IF(OR($N165&lt;&gt;"Finalizado",$Q165&lt;&gt;"Si",$R165&lt;&gt;"Si"),0,IF($F165=$J165,Reglas!$B$7,0))</x:f>
        <x:v>0</x:v>
      </x:c>
      <x:c r="Y165" t="n">
        <x:f>IF(OR($N165&lt;&gt;"Finalizado",$Q165&lt;&gt;"Si",$R165&lt;&gt;"Si"),0,IF($G165=$K165,Reglas!$B$8,0))</x:f>
        <x:v>0</x:v>
      </x:c>
      <x:c r="Z165" t="n">
        <x:f>SUM($S165:$Y165)</x:f>
        <x:v>3</x:v>
      </x:c>
      <x:c r="AA165" t="str">
        <x:f>IF($N165&lt;&gt;"Finalizado","Resultado pendiente",IF($H165="Sin envio","Sin respuesta",IF($Q165&lt;&gt;"Si","No acerto clasificado","OK")))</x:f>
        <x:v>OK</x:v>
      </x:c>
      <x:c r="AB165" t="str">
        <x:v>8vos detalle reconstruido</x:v>
      </x:c>
      <x:c r="AC165" t="n">
        <x:v>3</x:v>
      </x:c>
      <x:c r="AD165" t="n">
        <x:f>$Z165-$AC165</x:f>
        <x:v>0</x:v>
      </x:c>
    </x:row>
    <x:row r="166" ht="15" hidden="0" customHeight="1">
      <x:c r="A166" t="str">
        <x:v>8vos</x:v>
      </x:c>
      <x:c r="B166" t="str">
        <x:v>O8</x:v>
      </x:c>
      <x:c r="C166" t="str">
        <x:v>Jorge</x:v>
      </x:c>
      <x:c r="D166" t="str">
        <x:v>Argentina</x:v>
      </x:c>
      <x:c r="E166" t="str">
        <x:v>Egipto</x:v>
      </x:c>
      <x:c r="F166" t="n">
        <x:v>3</x:v>
      </x:c>
      <x:c r="G166" t="n">
        <x:v>1</x:v>
      </x:c>
      <x:c r="H166" t="str">
        <x:v>Argentina</x:v>
      </x:c>
      <x:c r="I166" t="str">
        <x:v>90 minutos</x:v>
      </x:c>
      <x:c r="J166" t="n">
        <x:v>3</x:v>
      </x:c>
      <x:c r="K166" t="n">
        <x:v>2</x:v>
      </x:c>
      <x:c r="L166" t="str">
        <x:v>Argentina</x:v>
      </x:c>
      <x:c r="M166" t="str">
        <x:v>90 minutos</x:v>
      </x:c>
      <x:c r="N166" t="str">
        <x:v>Finalizado</x:v>
      </x:c>
      <x:c r="O166" t="str">
        <x:f>IF($H166="Sin envio","Sin envio",IF($I166="90 minutos",IF($F166&gt;$G166,"A",IF($G166&gt;$F166,"B","E")),"E"))</x:f>
        <x:v>A</x:v>
      </x:c>
      <x:c r="P166" t="str">
        <x:f>IF($M166="90 minutos",IF($J166&gt;$K166,"A",IF($K166&gt;$J166,"B","E")),"E")</x:f>
        <x:v>A</x:v>
      </x:c>
      <x:c r="Q166" t="str">
        <x:f>IF($H166="Sin envio","No",IF($H166=$L166,"Si","No"))</x:f>
        <x:v>Si</x:v>
      </x:c>
      <x:c r="R166" t="str">
        <x:f>IF(AND($I166=$M166,NOT(AND($I166="Penales",$F166&lt;&gt;$G166))),"Si","No")</x:f>
        <x:v>Si</x:v>
      </x:c>
      <x:c r="S166" t="n">
        <x:f>IF(OR($N166&lt;&gt;"Finalizado",$Q166&lt;&gt;"Si"),0,IF($O166=$P166,Reglas!$B$2,0))</x:f>
        <x:v>5</x:v>
      </x:c>
      <x:c r="T166" t="n">
        <x:f>IF(OR($N166&lt;&gt;"Finalizado",$Q166&lt;&gt;"Si"),0,Reglas!$B$3)</x:f>
        <x:v>3</x:v>
      </x:c>
      <x:c r="U166" t="n">
        <x:f>IF(OR($N166&lt;&gt;"Finalizado",$Q166&lt;&gt;"Si"),0,IF($I166=$M166,Reglas!$B$4,0))</x:f>
        <x:v>2</x:v>
      </x:c>
      <x:c r="V166" t="n">
        <x:f>IF(OR($N166&lt;&gt;"Finalizado",$Q166&lt;&gt;"Si",$R166&lt;&gt;"Si"),0,IF(AND($F166=$J166,$G166=$K166),Reglas!$B$5,0))</x:f>
        <x:v>0</x:v>
      </x:c>
      <x:c r="W166" t="n">
        <x:f>IF(OR($N166&lt;&gt;"Finalizado",$Q166&lt;&gt;"Si",$R166&lt;&gt;"Si"),0,IF($F166-$G166=$J166-$K166,Reglas!$B$6,0))</x:f>
        <x:v>0</x:v>
      </x:c>
      <x:c r="X166" t="n">
        <x:f>IF(OR($N166&lt;&gt;"Finalizado",$Q166&lt;&gt;"Si",$R166&lt;&gt;"Si"),0,IF($F166=$J166,Reglas!$B$7,0))</x:f>
        <x:v>1</x:v>
      </x:c>
      <x:c r="Y166" t="n">
        <x:f>IF(OR($N166&lt;&gt;"Finalizado",$Q166&lt;&gt;"Si",$R166&lt;&gt;"Si"),0,IF($G166=$K166,Reglas!$B$8,0))</x:f>
        <x:v>0</x:v>
      </x:c>
      <x:c r="Z166" t="n">
        <x:f>SUM($S166:$Y166)</x:f>
        <x:v>11</x:v>
      </x:c>
      <x:c r="AA166" t="str">
        <x:f>IF($N166&lt;&gt;"Finalizado","Resultado pendiente",IF($H166="Sin envio","Sin respuesta",IF($Q166&lt;&gt;"Si","No acerto clasificado","OK")))</x:f>
        <x:v>OK</x:v>
      </x:c>
      <x:c r="AB166" t="str">
        <x:v>8vos detalle reconstruido</x:v>
      </x:c>
      <x:c r="AC166" t="n">
        <x:v>11</x:v>
      </x:c>
      <x:c r="AD166" t="n">
        <x:f>$Z166-$AC166</x:f>
        <x:v>0</x:v>
      </x:c>
    </x:row>
    <x:row r="167" ht="15" hidden="0" customHeight="1">
      <x:c r="A167" t="str">
        <x:v>8vos</x:v>
      </x:c>
      <x:c r="B167" t="str">
        <x:v>O8</x:v>
      </x:c>
      <x:c r="C167" t="str">
        <x:v>Daniel</x:v>
      </x:c>
      <x:c r="D167" t="str">
        <x:v>Argentina</x:v>
      </x:c>
      <x:c r="E167" t="str">
        <x:v>Egipto</x:v>
      </x:c>
      <x:c r="F167" t="n">
        <x:v>2</x:v>
      </x:c>
      <x:c r="G167" t="n">
        <x:v>1</x:v>
      </x:c>
      <x:c r="H167" t="str">
        <x:v>Argentina</x:v>
      </x:c>
      <x:c r="I167" t="str">
        <x:v>90 minutos</x:v>
      </x:c>
      <x:c r="J167" t="n">
        <x:v>3</x:v>
      </x:c>
      <x:c r="K167" t="n">
        <x:v>2</x:v>
      </x:c>
      <x:c r="L167" t="str">
        <x:v>Argentina</x:v>
      </x:c>
      <x:c r="M167" t="str">
        <x:v>90 minutos</x:v>
      </x:c>
      <x:c r="N167" t="str">
        <x:v>Finalizado</x:v>
      </x:c>
      <x:c r="O167" t="str">
        <x:f>IF($H167="Sin envio","Sin envio",IF($I167="90 minutos",IF($F167&gt;$G167,"A",IF($G167&gt;$F167,"B","E")),"E"))</x:f>
        <x:v>A</x:v>
      </x:c>
      <x:c r="P167" t="str">
        <x:f>IF($M167="90 minutos",IF($J167&gt;$K167,"A",IF($K167&gt;$J167,"B","E")),"E")</x:f>
        <x:v>A</x:v>
      </x:c>
      <x:c r="Q167" t="str">
        <x:f>IF($H167="Sin envio","No",IF($H167=$L167,"Si","No"))</x:f>
        <x:v>Si</x:v>
      </x:c>
      <x:c r="R167" t="str">
        <x:f>IF(AND($I167=$M167,NOT(AND($I167="Penales",$F167&lt;&gt;$G167))),"Si","No")</x:f>
        <x:v>Si</x:v>
      </x:c>
      <x:c r="S167" t="n">
        <x:f>IF(OR($N167&lt;&gt;"Finalizado",$Q167&lt;&gt;"Si"),0,IF($O167=$P167,Reglas!$B$2,0))</x:f>
        <x:v>5</x:v>
      </x:c>
      <x:c r="T167" t="n">
        <x:f>IF(OR($N167&lt;&gt;"Finalizado",$Q167&lt;&gt;"Si"),0,Reglas!$B$3)</x:f>
        <x:v>3</x:v>
      </x:c>
      <x:c r="U167" t="n">
        <x:f>IF(OR($N167&lt;&gt;"Finalizado",$Q167&lt;&gt;"Si"),0,IF($I167=$M167,Reglas!$B$4,0))</x:f>
        <x:v>2</x:v>
      </x:c>
      <x:c r="V167" t="n">
        <x:f>IF(OR($N167&lt;&gt;"Finalizado",$Q167&lt;&gt;"Si",$R167&lt;&gt;"Si"),0,IF(AND($F167=$J167,$G167=$K167),Reglas!$B$5,0))</x:f>
        <x:v>0</x:v>
      </x:c>
      <x:c r="W167" t="n">
        <x:f>IF(OR($N167&lt;&gt;"Finalizado",$Q167&lt;&gt;"Si",$R167&lt;&gt;"Si"),0,IF($F167-$G167=$J167-$K167,Reglas!$B$6,0))</x:f>
        <x:v>2</x:v>
      </x:c>
      <x:c r="X167" t="n">
        <x:f>IF(OR($N167&lt;&gt;"Finalizado",$Q167&lt;&gt;"Si",$R167&lt;&gt;"Si"),0,IF($F167=$J167,Reglas!$B$7,0))</x:f>
        <x:v>0</x:v>
      </x:c>
      <x:c r="Y167" t="n">
        <x:f>IF(OR($N167&lt;&gt;"Finalizado",$Q167&lt;&gt;"Si",$R167&lt;&gt;"Si"),0,IF($G167=$K167,Reglas!$B$8,0))</x:f>
        <x:v>0</x:v>
      </x:c>
      <x:c r="Z167" t="n">
        <x:f>SUM($S167:$Y167)</x:f>
        <x:v>12</x:v>
      </x:c>
      <x:c r="AA167" t="str">
        <x:f>IF($N167&lt;&gt;"Finalizado","Resultado pendiente",IF($H167="Sin envio","Sin respuesta",IF($Q167&lt;&gt;"Si","No acerto clasificado","OK")))</x:f>
        <x:v>OK</x:v>
      </x:c>
      <x:c r="AB167" t="str">
        <x:v>8vos detalle reconstruido</x:v>
      </x:c>
      <x:c r="AC167" t="n">
        <x:v>12</x:v>
      </x:c>
      <x:c r="AD167" t="n">
        <x:f>$Z167-$AC167</x:f>
        <x:v>0</x:v>
      </x:c>
    </x:row>
    <x:row r="168" ht="15" hidden="0" customHeight="1">
      <x:c r="A168" t="str">
        <x:v>8vos</x:v>
      </x:c>
      <x:c r="B168" t="str">
        <x:v>O8</x:v>
      </x:c>
      <x:c r="C168" t="str">
        <x:v>Arthur</x:v>
      </x:c>
      <x:c r="D168" t="str">
        <x:v>Argentina</x:v>
      </x:c>
      <x:c r="E168" t="str">
        <x:v>Egipto</x:v>
      </x:c>
      <x:c r="F168" t="n">
        <x:v>2</x:v>
      </x:c>
      <x:c r="G168" t="n">
        <x:v>0</x:v>
      </x:c>
      <x:c r="H168" t="str">
        <x:v>Argentina</x:v>
      </x:c>
      <x:c r="I168" t="str">
        <x:v>90 minutos</x:v>
      </x:c>
      <x:c r="J168" t="n">
        <x:v>3</x:v>
      </x:c>
      <x:c r="K168" t="n">
        <x:v>2</x:v>
      </x:c>
      <x:c r="L168" t="str">
        <x:v>Argentina</x:v>
      </x:c>
      <x:c r="M168" t="str">
        <x:v>90 minutos</x:v>
      </x:c>
      <x:c r="N168" t="str">
        <x:v>Finalizado</x:v>
      </x:c>
      <x:c r="O168" t="str">
        <x:f>IF($H168="Sin envio","Sin envio",IF($I168="90 minutos",IF($F168&gt;$G168,"A",IF($G168&gt;$F168,"B","E")),"E"))</x:f>
        <x:v>A</x:v>
      </x:c>
      <x:c r="P168" t="str">
        <x:f>IF($M168="90 minutos",IF($J168&gt;$K168,"A",IF($K168&gt;$J168,"B","E")),"E")</x:f>
        <x:v>A</x:v>
      </x:c>
      <x:c r="Q168" t="str">
        <x:f>IF($H168="Sin envio","No",IF($H168=$L168,"Si","No"))</x:f>
        <x:v>Si</x:v>
      </x:c>
      <x:c r="R168" t="str">
        <x:f>IF(AND($I168=$M168,NOT(AND($I168="Penales",$F168&lt;&gt;$G168))),"Si","No")</x:f>
        <x:v>Si</x:v>
      </x:c>
      <x:c r="S168" t="n">
        <x:f>IF(OR($N168&lt;&gt;"Finalizado",$Q168&lt;&gt;"Si"),0,IF($O168=$P168,Reglas!$B$2,0))</x:f>
        <x:v>5</x:v>
      </x:c>
      <x:c r="T168" t="n">
        <x:f>IF(OR($N168&lt;&gt;"Finalizado",$Q168&lt;&gt;"Si"),0,Reglas!$B$3)</x:f>
        <x:v>3</x:v>
      </x:c>
      <x:c r="U168" t="n">
        <x:f>IF(OR($N168&lt;&gt;"Finalizado",$Q168&lt;&gt;"Si"),0,IF($I168=$M168,Reglas!$B$4,0))</x:f>
        <x:v>2</x:v>
      </x:c>
      <x:c r="V168" t="n">
        <x:f>IF(OR($N168&lt;&gt;"Finalizado",$Q168&lt;&gt;"Si",$R168&lt;&gt;"Si"),0,IF(AND($F168=$J168,$G168=$K168),Reglas!$B$5,0))</x:f>
        <x:v>0</x:v>
      </x:c>
      <x:c r="W168" t="n">
        <x:f>IF(OR($N168&lt;&gt;"Finalizado",$Q168&lt;&gt;"Si",$R168&lt;&gt;"Si"),0,IF($F168-$G168=$J168-$K168,Reglas!$B$6,0))</x:f>
        <x:v>0</x:v>
      </x:c>
      <x:c r="X168" t="n">
        <x:f>IF(OR($N168&lt;&gt;"Finalizado",$Q168&lt;&gt;"Si",$R168&lt;&gt;"Si"),0,IF($F168=$J168,Reglas!$B$7,0))</x:f>
        <x:v>0</x:v>
      </x:c>
      <x:c r="Y168" t="n">
        <x:f>IF(OR($N168&lt;&gt;"Finalizado",$Q168&lt;&gt;"Si",$R168&lt;&gt;"Si"),0,IF($G168=$K168,Reglas!$B$8,0))</x:f>
        <x:v>0</x:v>
      </x:c>
      <x:c r="Z168" t="n">
        <x:f>SUM($S168:$Y168)</x:f>
        <x:v>10</x:v>
      </x:c>
      <x:c r="AA168" t="str">
        <x:f>IF($N168&lt;&gt;"Finalizado","Resultado pendiente",IF($H168="Sin envio","Sin respuesta",IF($Q168&lt;&gt;"Si","No acerto clasificado","OK")))</x:f>
        <x:v>OK</x:v>
      </x:c>
      <x:c r="AB168" t="str">
        <x:v>8vos detalle reconstruido</x:v>
      </x:c>
      <x:c r="AC168" t="n">
        <x:v>10</x:v>
      </x:c>
      <x:c r="AD168" t="n">
        <x:f>$Z168-$AC168</x:f>
        <x:v>0</x:v>
      </x:c>
    </x:row>
    <x:row r="169" ht="15" hidden="0" customHeight="1">
      <x:c r="A169" t="str">
        <x:v>8vos</x:v>
      </x:c>
      <x:c r="B169" t="str">
        <x:v>O8</x:v>
      </x:c>
      <x:c r="C169" t="str">
        <x:v>José Luis</x:v>
      </x:c>
      <x:c r="D169" t="str">
        <x:v>Argentina</x:v>
      </x:c>
      <x:c r="E169" t="str">
        <x:v>Egipto</x:v>
      </x:c>
      <x:c r="F169"/>
      <x:c r="G169"/>
      <x:c r="H169" t="str">
        <x:v>Sin envio</x:v>
      </x:c>
      <x:c r="I169" t="str">
        <x:v>Sin envio</x:v>
      </x:c>
      <x:c r="J169" t="n">
        <x:v>3</x:v>
      </x:c>
      <x:c r="K169" t="n">
        <x:v>2</x:v>
      </x:c>
      <x:c r="L169" t="str">
        <x:v>Argentina</x:v>
      </x:c>
      <x:c r="M169" t="str">
        <x:v>90 minutos</x:v>
      </x:c>
      <x:c r="N169" t="str">
        <x:v>Finalizado</x:v>
      </x:c>
      <x:c r="O169" t="str">
        <x:f>IF($H169="Sin envio","Sin envio",IF($I169="90 minutos",IF($F169&gt;$G169,"A",IF($G169&gt;$F169,"B","E")),"E"))</x:f>
        <x:v>Sin envio</x:v>
      </x:c>
      <x:c r="P169" t="str">
        <x:f>IF($M169="90 minutos",IF($J169&gt;$K169,"A",IF($K169&gt;$J169,"B","E")),"E")</x:f>
        <x:v>A</x:v>
      </x:c>
      <x:c r="Q169" t="str">
        <x:f>IF($H169="Sin envio","No",IF($H169=$L169,"Si","No"))</x:f>
        <x:v>No</x:v>
      </x:c>
      <x:c r="R169" t="str">
        <x:f>IF(AND($I169=$M169,NOT(AND($I169="Penales",$F169&lt;&gt;$G169))),"Si","No")</x:f>
        <x:v>No</x:v>
      </x:c>
      <x:c r="S169" t="n">
        <x:f>IF(OR($N169&lt;&gt;"Finalizado",$Q169&lt;&gt;"Si"),0,IF($O169=$P169,Reglas!$B$2,0))</x:f>
        <x:v>0</x:v>
      </x:c>
      <x:c r="T169" t="n">
        <x:f>IF(OR($N169&lt;&gt;"Finalizado",$Q169&lt;&gt;"Si"),0,Reglas!$B$3)</x:f>
        <x:v>0</x:v>
      </x:c>
      <x:c r="U169" t="n">
        <x:f>IF(OR($N169&lt;&gt;"Finalizado",$Q169&lt;&gt;"Si"),0,IF($I169=$M169,Reglas!$B$4,0))</x:f>
        <x:v>0</x:v>
      </x:c>
      <x:c r="V169" t="n">
        <x:f>IF(OR($N169&lt;&gt;"Finalizado",$Q169&lt;&gt;"Si",$R169&lt;&gt;"Si"),0,IF(AND($F169=$J169,$G169=$K169),Reglas!$B$5,0))</x:f>
        <x:v>0</x:v>
      </x:c>
      <x:c r="W169" t="n">
        <x:f>IF(OR($N169&lt;&gt;"Finalizado",$Q169&lt;&gt;"Si",$R169&lt;&gt;"Si"),0,IF($F169-$G169=$J169-$K169,Reglas!$B$6,0))</x:f>
        <x:v>0</x:v>
      </x:c>
      <x:c r="X169" t="n">
        <x:f>IF(OR($N169&lt;&gt;"Finalizado",$Q169&lt;&gt;"Si",$R169&lt;&gt;"Si"),0,IF($F169=$J169,Reglas!$B$7,0))</x:f>
        <x:v>0</x:v>
      </x:c>
      <x:c r="Y169" t="n">
        <x:f>IF(OR($N169&lt;&gt;"Finalizado",$Q169&lt;&gt;"Si",$R169&lt;&gt;"Si"),0,IF($G169=$K169,Reglas!$B$8,0))</x:f>
        <x:v>0</x:v>
      </x:c>
      <x:c r="Z169" t="n">
        <x:f>SUM($S169:$Y169)</x:f>
        <x:v>0</x:v>
      </x:c>
      <x:c r="AA169" t="str">
        <x:f>IF($N169&lt;&gt;"Finalizado","Resultado pendiente",IF($H169="Sin envio","Sin respuesta",IF($Q169&lt;&gt;"Si","No acerto clasificado","OK")))</x:f>
        <x:v>Sin respuesta</x:v>
      </x:c>
      <x:c r="AB169" t="str">
        <x:v>8vos detalle reconstruido</x:v>
      </x:c>
      <x:c r="AC169" t="n">
        <x:v>0</x:v>
      </x:c>
      <x:c r="AD169" t="n">
        <x:f>$Z169-$AC169</x:f>
        <x:v>0</x:v>
      </x:c>
    </x:row>
    <x:row r="170" ht="15" hidden="0" customHeight="1">
      <x:c r="A170" t="str">
        <x:v>8vos</x:v>
      </x:c>
      <x:c r="B170" t="str">
        <x:v>O8</x:v>
      </x:c>
      <x:c r="C170" t="str">
        <x:v>Marcelo</x:v>
      </x:c>
      <x:c r="D170" t="str">
        <x:v>Argentina</x:v>
      </x:c>
      <x:c r="E170" t="str">
        <x:v>Egipto</x:v>
      </x:c>
      <x:c r="F170"/>
      <x:c r="G170"/>
      <x:c r="H170" t="str">
        <x:v>Sin envio</x:v>
      </x:c>
      <x:c r="I170" t="str">
        <x:v>Sin envio</x:v>
      </x:c>
      <x:c r="J170" t="n">
        <x:v>3</x:v>
      </x:c>
      <x:c r="K170" t="n">
        <x:v>2</x:v>
      </x:c>
      <x:c r="L170" t="str">
        <x:v>Argentina</x:v>
      </x:c>
      <x:c r="M170" t="str">
        <x:v>90 minutos</x:v>
      </x:c>
      <x:c r="N170" t="str">
        <x:v>Finalizado</x:v>
      </x:c>
      <x:c r="O170" t="str">
        <x:f>IF($H170="Sin envio","Sin envio",IF($I170="90 minutos",IF($F170&gt;$G170,"A",IF($G170&gt;$F170,"B","E")),"E"))</x:f>
        <x:v>Sin envio</x:v>
      </x:c>
      <x:c r="P170" t="str">
        <x:f>IF($M170="90 minutos",IF($J170&gt;$K170,"A",IF($K170&gt;$J170,"B","E")),"E")</x:f>
        <x:v>A</x:v>
      </x:c>
      <x:c r="Q170" t="str">
        <x:f>IF($H170="Sin envio","No",IF($H170=$L170,"Si","No"))</x:f>
        <x:v>No</x:v>
      </x:c>
      <x:c r="R170" t="str">
        <x:f>IF(AND($I170=$M170,NOT(AND($I170="Penales",$F170&lt;&gt;$G170))),"Si","No")</x:f>
        <x:v>No</x:v>
      </x:c>
      <x:c r="S170" t="n">
        <x:f>IF(OR($N170&lt;&gt;"Finalizado",$Q170&lt;&gt;"Si"),0,IF($O170=$P170,Reglas!$B$2,0))</x:f>
        <x:v>0</x:v>
      </x:c>
      <x:c r="T170" t="n">
        <x:f>IF(OR($N170&lt;&gt;"Finalizado",$Q170&lt;&gt;"Si"),0,Reglas!$B$3)</x:f>
        <x:v>0</x:v>
      </x:c>
      <x:c r="U170" t="n">
        <x:f>IF(OR($N170&lt;&gt;"Finalizado",$Q170&lt;&gt;"Si"),0,IF($I170=$M170,Reglas!$B$4,0))</x:f>
        <x:v>0</x:v>
      </x:c>
      <x:c r="V170" t="n">
        <x:f>IF(OR($N170&lt;&gt;"Finalizado",$Q170&lt;&gt;"Si",$R170&lt;&gt;"Si"),0,IF(AND($F170=$J170,$G170=$K170),Reglas!$B$5,0))</x:f>
        <x:v>0</x:v>
      </x:c>
      <x:c r="W170" t="n">
        <x:f>IF(OR($N170&lt;&gt;"Finalizado",$Q170&lt;&gt;"Si",$R170&lt;&gt;"Si"),0,IF($F170-$G170=$J170-$K170,Reglas!$B$6,0))</x:f>
        <x:v>0</x:v>
      </x:c>
      <x:c r="X170" t="n">
        <x:f>IF(OR($N170&lt;&gt;"Finalizado",$Q170&lt;&gt;"Si",$R170&lt;&gt;"Si"),0,IF($F170=$J170,Reglas!$B$7,0))</x:f>
        <x:v>0</x:v>
      </x:c>
      <x:c r="Y170" t="n">
        <x:f>IF(OR($N170&lt;&gt;"Finalizado",$Q170&lt;&gt;"Si",$R170&lt;&gt;"Si"),0,IF($G170=$K170,Reglas!$B$8,0))</x:f>
        <x:v>0</x:v>
      </x:c>
      <x:c r="Z170" t="n">
        <x:f>SUM($S170:$Y170)</x:f>
        <x:v>0</x:v>
      </x:c>
      <x:c r="AA170" t="str">
        <x:f>IF($N170&lt;&gt;"Finalizado","Resultado pendiente",IF($H170="Sin envio","Sin respuesta",IF($Q170&lt;&gt;"Si","No acerto clasificado","OK")))</x:f>
        <x:v>Sin respuesta</x:v>
      </x:c>
      <x:c r="AB170" t="str">
        <x:v>8vos detalle reconstruido</x:v>
      </x:c>
      <x:c r="AC170" t="n">
        <x:v>0</x:v>
      </x:c>
      <x:c r="AD170" t="n">
        <x:f>$Z170-$AC170</x:f>
        <x:v>0</x:v>
      </x:c>
    </x:row>
    <x:row r="171" ht="15" hidden="0" customHeight="1">
      <x:c r="A171" t="str">
        <x:v>8vos</x:v>
      </x:c>
      <x:c r="B171" t="str">
        <x:v>O8</x:v>
      </x:c>
      <x:c r="C171" t="str">
        <x:v>Anny</x:v>
      </x:c>
      <x:c r="D171" t="str">
        <x:v>Argentina</x:v>
      </x:c>
      <x:c r="E171" t="str">
        <x:v>Egipto</x:v>
      </x:c>
      <x:c r="F171" t="n">
        <x:v>2</x:v>
      </x:c>
      <x:c r="G171" t="n">
        <x:v>1</x:v>
      </x:c>
      <x:c r="H171" t="str">
        <x:v>Argentina</x:v>
      </x:c>
      <x:c r="I171" t="str">
        <x:v>90 minutos</x:v>
      </x:c>
      <x:c r="J171" t="n">
        <x:v>3</x:v>
      </x:c>
      <x:c r="K171" t="n">
        <x:v>2</x:v>
      </x:c>
      <x:c r="L171" t="str">
        <x:v>Argentina</x:v>
      </x:c>
      <x:c r="M171" t="str">
        <x:v>90 minutos</x:v>
      </x:c>
      <x:c r="N171" t="str">
        <x:v>Finalizado</x:v>
      </x:c>
      <x:c r="O171" t="str">
        <x:f>IF($H171="Sin envio","Sin envio",IF($I171="90 minutos",IF($F171&gt;$G171,"A",IF($G171&gt;$F171,"B","E")),"E"))</x:f>
        <x:v>A</x:v>
      </x:c>
      <x:c r="P171" t="str">
        <x:f>IF($M171="90 minutos",IF($J171&gt;$K171,"A",IF($K171&gt;$J171,"B","E")),"E")</x:f>
        <x:v>A</x:v>
      </x:c>
      <x:c r="Q171" t="str">
        <x:f>IF($H171="Sin envio","No",IF($H171=$L171,"Si","No"))</x:f>
        <x:v>Si</x:v>
      </x:c>
      <x:c r="R171" t="str">
        <x:f>IF(AND($I171=$M171,NOT(AND($I171="Penales",$F171&lt;&gt;$G171))),"Si","No")</x:f>
        <x:v>Si</x:v>
      </x:c>
      <x:c r="S171" t="n">
        <x:f>IF(OR($N171&lt;&gt;"Finalizado",$Q171&lt;&gt;"Si"),0,IF($O171=$P171,Reglas!$B$2,0))</x:f>
        <x:v>5</x:v>
      </x:c>
      <x:c r="T171" t="n">
        <x:f>IF(OR($N171&lt;&gt;"Finalizado",$Q171&lt;&gt;"Si"),0,Reglas!$B$3)</x:f>
        <x:v>3</x:v>
      </x:c>
      <x:c r="U171" t="n">
        <x:f>IF(OR($N171&lt;&gt;"Finalizado",$Q171&lt;&gt;"Si"),0,IF($I171=$M171,Reglas!$B$4,0))</x:f>
        <x:v>2</x:v>
      </x:c>
      <x:c r="V171" t="n">
        <x:f>IF(OR($N171&lt;&gt;"Finalizado",$Q171&lt;&gt;"Si",$R171&lt;&gt;"Si"),0,IF(AND($F171=$J171,$G171=$K171),Reglas!$B$5,0))</x:f>
        <x:v>0</x:v>
      </x:c>
      <x:c r="W171" t="n">
        <x:f>IF(OR($N171&lt;&gt;"Finalizado",$Q171&lt;&gt;"Si",$R171&lt;&gt;"Si"),0,IF($F171-$G171=$J171-$K171,Reglas!$B$6,0))</x:f>
        <x:v>2</x:v>
      </x:c>
      <x:c r="X171" t="n">
        <x:f>IF(OR($N171&lt;&gt;"Finalizado",$Q171&lt;&gt;"Si",$R171&lt;&gt;"Si"),0,IF($F171=$J171,Reglas!$B$7,0))</x:f>
        <x:v>0</x:v>
      </x:c>
      <x:c r="Y171" t="n">
        <x:f>IF(OR($N171&lt;&gt;"Finalizado",$Q171&lt;&gt;"Si",$R171&lt;&gt;"Si"),0,IF($G171=$K171,Reglas!$B$8,0))</x:f>
        <x:v>0</x:v>
      </x:c>
      <x:c r="Z171" t="n">
        <x:f>SUM($S171:$Y171)</x:f>
        <x:v>12</x:v>
      </x:c>
      <x:c r="AA171" t="str">
        <x:f>IF($N171&lt;&gt;"Finalizado","Resultado pendiente",IF($H171="Sin envio","Sin respuesta",IF($Q171&lt;&gt;"Si","No acerto clasificado","OK")))</x:f>
        <x:v>OK</x:v>
      </x:c>
      <x:c r="AB171" t="str">
        <x:v>8vos detalle reconstruido</x:v>
      </x:c>
      <x:c r="AC171" t="n">
        <x:v>12</x:v>
      </x:c>
      <x:c r="AD171" t="n">
        <x:f>$Z171-$AC171</x:f>
        <x:v>0</x:v>
      </x:c>
    </x:row>
    <x:row r="172" ht="15" hidden="0" customHeight="1">
      <x:c r="A172" t="str">
        <x:v>8vos</x:v>
      </x:c>
      <x:c r="B172" t="str">
        <x:v>O8</x:v>
      </x:c>
      <x:c r="C172" t="str">
        <x:v>Moisés</x:v>
      </x:c>
      <x:c r="D172" t="str">
        <x:v>Argentina</x:v>
      </x:c>
      <x:c r="E172" t="str">
        <x:v>Egipto</x:v>
      </x:c>
      <x:c r="F172" t="n">
        <x:v>2</x:v>
      </x:c>
      <x:c r="G172" t="n">
        <x:v>1</x:v>
      </x:c>
      <x:c r="H172" t="str">
        <x:v>Argentina</x:v>
      </x:c>
      <x:c r="I172" t="str">
        <x:v>Suplementario</x:v>
      </x:c>
      <x:c r="J172" t="n">
        <x:v>3</x:v>
      </x:c>
      <x:c r="K172" t="n">
        <x:v>2</x:v>
      </x:c>
      <x:c r="L172" t="str">
        <x:v>Argentina</x:v>
      </x:c>
      <x:c r="M172" t="str">
        <x:v>90 minutos</x:v>
      </x:c>
      <x:c r="N172" t="str">
        <x:v>Finalizado</x:v>
      </x:c>
      <x:c r="O172" t="str">
        <x:f>IF($H172="Sin envio","Sin envio",IF($I172="90 minutos",IF($F172&gt;$G172,"A",IF($G172&gt;$F172,"B","E")),"E"))</x:f>
        <x:v>E</x:v>
      </x:c>
      <x:c r="P172" t="str">
        <x:f>IF($M172="90 minutos",IF($J172&gt;$K172,"A",IF($K172&gt;$J172,"B","E")),"E")</x:f>
        <x:v>A</x:v>
      </x:c>
      <x:c r="Q172" t="str">
        <x:f>IF($H172="Sin envio","No",IF($H172=$L172,"Si","No"))</x:f>
        <x:v>Si</x:v>
      </x:c>
      <x:c r="R172" t="str">
        <x:f>IF(AND($I172=$M172,NOT(AND($I172="Penales",$F172&lt;&gt;$G172))),"Si","No")</x:f>
        <x:v>No</x:v>
      </x:c>
      <x:c r="S172" t="n">
        <x:f>IF(OR($N172&lt;&gt;"Finalizado",$Q172&lt;&gt;"Si"),0,IF($O172=$P172,Reglas!$B$2,0))</x:f>
        <x:v>0</x:v>
      </x:c>
      <x:c r="T172" t="n">
        <x:f>IF(OR($N172&lt;&gt;"Finalizado",$Q172&lt;&gt;"Si"),0,Reglas!$B$3)</x:f>
        <x:v>3</x:v>
      </x:c>
      <x:c r="U172" t="n">
        <x:f>IF(OR($N172&lt;&gt;"Finalizado",$Q172&lt;&gt;"Si"),0,IF($I172=$M172,Reglas!$B$4,0))</x:f>
        <x:v>0</x:v>
      </x:c>
      <x:c r="V172" t="n">
        <x:f>IF(OR($N172&lt;&gt;"Finalizado",$Q172&lt;&gt;"Si",$R172&lt;&gt;"Si"),0,IF(AND($F172=$J172,$G172=$K172),Reglas!$B$5,0))</x:f>
        <x:v>0</x:v>
      </x:c>
      <x:c r="W172" t="n">
        <x:f>IF(OR($N172&lt;&gt;"Finalizado",$Q172&lt;&gt;"Si",$R172&lt;&gt;"Si"),0,IF($F172-$G172=$J172-$K172,Reglas!$B$6,0))</x:f>
        <x:v>0</x:v>
      </x:c>
      <x:c r="X172" t="n">
        <x:f>IF(OR($N172&lt;&gt;"Finalizado",$Q172&lt;&gt;"Si",$R172&lt;&gt;"Si"),0,IF($F172=$J172,Reglas!$B$7,0))</x:f>
        <x:v>0</x:v>
      </x:c>
      <x:c r="Y172" t="n">
        <x:f>IF(OR($N172&lt;&gt;"Finalizado",$Q172&lt;&gt;"Si",$R172&lt;&gt;"Si"),0,IF($G172=$K172,Reglas!$B$8,0))</x:f>
        <x:v>0</x:v>
      </x:c>
      <x:c r="Z172" t="n">
        <x:f>SUM($S172:$Y172)</x:f>
        <x:v>3</x:v>
      </x:c>
      <x:c r="AA172" t="str">
        <x:f>IF($N172&lt;&gt;"Finalizado","Resultado pendiente",IF($H172="Sin envio","Sin respuesta",IF($Q172&lt;&gt;"Si","No acerto clasificado","OK")))</x:f>
        <x:v>OK</x:v>
      </x:c>
      <x:c r="AB172" t="str">
        <x:v>8vos detalle reconstruido</x:v>
      </x:c>
      <x:c r="AC172" t="n">
        <x:v>3</x:v>
      </x:c>
      <x:c r="AD172" t="n">
        <x:f>$Z172-$AC172</x:f>
        <x:v>0</x:v>
      </x:c>
    </x:row>
    <x:row r="173" ht="15" hidden="0" customHeight="1">
      <x:c r="A173" t="str">
        <x:v>8vos</x:v>
      </x:c>
      <x:c r="B173" t="str">
        <x:v>O8</x:v>
      </x:c>
      <x:c r="C173" t="str">
        <x:v>Alex</x:v>
      </x:c>
      <x:c r="D173" t="str">
        <x:v>Argentina</x:v>
      </x:c>
      <x:c r="E173" t="str">
        <x:v>Egipto</x:v>
      </x:c>
      <x:c r="F173" t="n">
        <x:v>2</x:v>
      </x:c>
      <x:c r="G173" t="n">
        <x:v>1</x:v>
      </x:c>
      <x:c r="H173" t="str">
        <x:v>Argentina</x:v>
      </x:c>
      <x:c r="I173" t="str">
        <x:v>90 minutos</x:v>
      </x:c>
      <x:c r="J173" t="n">
        <x:v>3</x:v>
      </x:c>
      <x:c r="K173" t="n">
        <x:v>2</x:v>
      </x:c>
      <x:c r="L173" t="str">
        <x:v>Argentina</x:v>
      </x:c>
      <x:c r="M173" t="str">
        <x:v>90 minutos</x:v>
      </x:c>
      <x:c r="N173" t="str">
        <x:v>Finalizado</x:v>
      </x:c>
      <x:c r="O173" t="str">
        <x:f>IF($H173="Sin envio","Sin envio",IF($I173="90 minutos",IF($F173&gt;$G173,"A",IF($G173&gt;$F173,"B","E")),"E"))</x:f>
        <x:v>A</x:v>
      </x:c>
      <x:c r="P173" t="str">
        <x:f>IF($M173="90 minutos",IF($J173&gt;$K173,"A",IF($K173&gt;$J173,"B","E")),"E")</x:f>
        <x:v>A</x:v>
      </x:c>
      <x:c r="Q173" t="str">
        <x:f>IF($H173="Sin envio","No",IF($H173=$L173,"Si","No"))</x:f>
        <x:v>Si</x:v>
      </x:c>
      <x:c r="R173" t="str">
        <x:f>IF(AND($I173=$M173,NOT(AND($I173="Penales",$F173&lt;&gt;$G173))),"Si","No")</x:f>
        <x:v>Si</x:v>
      </x:c>
      <x:c r="S173" t="n">
        <x:f>IF(OR($N173&lt;&gt;"Finalizado",$Q173&lt;&gt;"Si"),0,IF($O173=$P173,Reglas!$B$2,0))</x:f>
        <x:v>5</x:v>
      </x:c>
      <x:c r="T173" t="n">
        <x:f>IF(OR($N173&lt;&gt;"Finalizado",$Q173&lt;&gt;"Si"),0,Reglas!$B$3)</x:f>
        <x:v>3</x:v>
      </x:c>
      <x:c r="U173" t="n">
        <x:f>IF(OR($N173&lt;&gt;"Finalizado",$Q173&lt;&gt;"Si"),0,IF($I173=$M173,Reglas!$B$4,0))</x:f>
        <x:v>2</x:v>
      </x:c>
      <x:c r="V173" t="n">
        <x:f>IF(OR($N173&lt;&gt;"Finalizado",$Q173&lt;&gt;"Si",$R173&lt;&gt;"Si"),0,IF(AND($F173=$J173,$G173=$K173),Reglas!$B$5,0))</x:f>
        <x:v>0</x:v>
      </x:c>
      <x:c r="W173" t="n">
        <x:f>IF(OR($N173&lt;&gt;"Finalizado",$Q173&lt;&gt;"Si",$R173&lt;&gt;"Si"),0,IF($F173-$G173=$J173-$K173,Reglas!$B$6,0))</x:f>
        <x:v>2</x:v>
      </x:c>
      <x:c r="X173" t="n">
        <x:f>IF(OR($N173&lt;&gt;"Finalizado",$Q173&lt;&gt;"Si",$R173&lt;&gt;"Si"),0,IF($F173=$J173,Reglas!$B$7,0))</x:f>
        <x:v>0</x:v>
      </x:c>
      <x:c r="Y173" t="n">
        <x:f>IF(OR($N173&lt;&gt;"Finalizado",$Q173&lt;&gt;"Si",$R173&lt;&gt;"Si"),0,IF($G173=$K173,Reglas!$B$8,0))</x:f>
        <x:v>0</x:v>
      </x:c>
      <x:c r="Z173" t="n">
        <x:f>SUM($S173:$Y173)</x:f>
        <x:v>12</x:v>
      </x:c>
      <x:c r="AA173" t="str">
        <x:f>IF($N173&lt;&gt;"Finalizado","Resultado pendiente",IF($H173="Sin envio","Sin respuesta",IF($Q173&lt;&gt;"Si","No acerto clasificado","OK")))</x:f>
        <x:v>OK</x:v>
      </x:c>
      <x:c r="AB173" t="str">
        <x:v>8vos detalle reconstruido</x:v>
      </x:c>
      <x:c r="AC173" t="n">
        <x:v>12</x:v>
      </x:c>
      <x:c r="AD173" t="n">
        <x:f>$Z173-$AC173</x:f>
        <x:v>0</x:v>
      </x:c>
    </x:row>
    <x:row r="174" ht="15" hidden="0" customHeight="1">
      <x:c r="A174" t="str">
        <x:v>8vos</x:v>
      </x:c>
      <x:c r="B174" t="str">
        <x:v>O8</x:v>
      </x:c>
      <x:c r="C174" t="str">
        <x:v>Omar</x:v>
      </x:c>
      <x:c r="D174" t="str">
        <x:v>Argentina</x:v>
      </x:c>
      <x:c r="E174" t="str">
        <x:v>Egipto</x:v>
      </x:c>
      <x:c r="F174"/>
      <x:c r="G174"/>
      <x:c r="H174" t="str">
        <x:v>Sin envio</x:v>
      </x:c>
      <x:c r="I174" t="str">
        <x:v>Sin envio</x:v>
      </x:c>
      <x:c r="J174" t="n">
        <x:v>3</x:v>
      </x:c>
      <x:c r="K174" t="n">
        <x:v>2</x:v>
      </x:c>
      <x:c r="L174" t="str">
        <x:v>Argentina</x:v>
      </x:c>
      <x:c r="M174" t="str">
        <x:v>90 minutos</x:v>
      </x:c>
      <x:c r="N174" t="str">
        <x:v>Finalizado</x:v>
      </x:c>
      <x:c r="O174" t="str">
        <x:f>IF($H174="Sin envio","Sin envio",IF($I174="90 minutos",IF($F174&gt;$G174,"A",IF($G174&gt;$F174,"B","E")),"E"))</x:f>
        <x:v>Sin envio</x:v>
      </x:c>
      <x:c r="P174" t="str">
        <x:f>IF($M174="90 minutos",IF($J174&gt;$K174,"A",IF($K174&gt;$J174,"B","E")),"E")</x:f>
        <x:v>A</x:v>
      </x:c>
      <x:c r="Q174" t="str">
        <x:f>IF($H174="Sin envio","No",IF($H174=$L174,"Si","No"))</x:f>
        <x:v>No</x:v>
      </x:c>
      <x:c r="R174" t="str">
        <x:f>IF(AND($I174=$M174,NOT(AND($I174="Penales",$F174&lt;&gt;$G174))),"Si","No")</x:f>
        <x:v>No</x:v>
      </x:c>
      <x:c r="S174" t="n">
        <x:f>IF(OR($N174&lt;&gt;"Finalizado",$Q174&lt;&gt;"Si"),0,IF($O174=$P174,Reglas!$B$2,0))</x:f>
        <x:v>0</x:v>
      </x:c>
      <x:c r="T174" t="n">
        <x:f>IF(OR($N174&lt;&gt;"Finalizado",$Q174&lt;&gt;"Si"),0,Reglas!$B$3)</x:f>
        <x:v>0</x:v>
      </x:c>
      <x:c r="U174" t="n">
        <x:f>IF(OR($N174&lt;&gt;"Finalizado",$Q174&lt;&gt;"Si"),0,IF($I174=$M174,Reglas!$B$4,0))</x:f>
        <x:v>0</x:v>
      </x:c>
      <x:c r="V174" t="n">
        <x:f>IF(OR($N174&lt;&gt;"Finalizado",$Q174&lt;&gt;"Si",$R174&lt;&gt;"Si"),0,IF(AND($F174=$J174,$G174=$K174),Reglas!$B$5,0))</x:f>
        <x:v>0</x:v>
      </x:c>
      <x:c r="W174" t="n">
        <x:f>IF(OR($N174&lt;&gt;"Finalizado",$Q174&lt;&gt;"Si",$R174&lt;&gt;"Si"),0,IF($F174-$G174=$J174-$K174,Reglas!$B$6,0))</x:f>
        <x:v>0</x:v>
      </x:c>
      <x:c r="X174" t="n">
        <x:f>IF(OR($N174&lt;&gt;"Finalizado",$Q174&lt;&gt;"Si",$R174&lt;&gt;"Si"),0,IF($F174=$J174,Reglas!$B$7,0))</x:f>
        <x:v>0</x:v>
      </x:c>
      <x:c r="Y174" t="n">
        <x:f>IF(OR($N174&lt;&gt;"Finalizado",$Q174&lt;&gt;"Si",$R174&lt;&gt;"Si"),0,IF($G174=$K174,Reglas!$B$8,0))</x:f>
        <x:v>0</x:v>
      </x:c>
      <x:c r="Z174" t="n">
        <x:f>SUM($S174:$Y174)</x:f>
        <x:v>0</x:v>
      </x:c>
      <x:c r="AA174" t="str">
        <x:f>IF($N174&lt;&gt;"Finalizado","Resultado pendiente",IF($H174="Sin envio","Sin respuesta",IF($Q174&lt;&gt;"Si","No acerto clasificado","OK")))</x:f>
        <x:v>Sin respuesta</x:v>
      </x:c>
      <x:c r="AB174" t="str">
        <x:v>8vos detalle reconstruido</x:v>
      </x:c>
      <x:c r="AC174" t="n">
        <x:v>0</x:v>
      </x:c>
      <x:c r="AD174" t="n">
        <x:f>$Z174-$AC174</x:f>
        <x:v>0</x:v>
      </x:c>
    </x:row>
    <x:row r="175" ht="15" hidden="0" customHeight="1">
      <x:c r="A175" t="str">
        <x:v>8vos</x:v>
      </x:c>
      <x:c r="B175" t="str">
        <x:v>O8</x:v>
      </x:c>
      <x:c r="C175" t="str">
        <x:v>Fernando</x:v>
      </x:c>
      <x:c r="D175" t="str">
        <x:v>Argentina</x:v>
      </x:c>
      <x:c r="E175" t="str">
        <x:v>Egipto</x:v>
      </x:c>
      <x:c r="F175" t="n">
        <x:v>3</x:v>
      </x:c>
      <x:c r="G175" t="n">
        <x:v>2</x:v>
      </x:c>
      <x:c r="H175" t="str">
        <x:v>Argentina</x:v>
      </x:c>
      <x:c r="I175" t="str">
        <x:v>Suplementario</x:v>
      </x:c>
      <x:c r="J175" t="n">
        <x:v>3</x:v>
      </x:c>
      <x:c r="K175" t="n">
        <x:v>2</x:v>
      </x:c>
      <x:c r="L175" t="str">
        <x:v>Argentina</x:v>
      </x:c>
      <x:c r="M175" t="str">
        <x:v>90 minutos</x:v>
      </x:c>
      <x:c r="N175" t="str">
        <x:v>Finalizado</x:v>
      </x:c>
      <x:c r="O175" t="str">
        <x:f>IF($H175="Sin envio","Sin envio",IF($I175="90 minutos",IF($F175&gt;$G175,"A",IF($G175&gt;$F175,"B","E")),"E"))</x:f>
        <x:v>E</x:v>
      </x:c>
      <x:c r="P175" t="str">
        <x:f>IF($M175="90 minutos",IF($J175&gt;$K175,"A",IF($K175&gt;$J175,"B","E")),"E")</x:f>
        <x:v>A</x:v>
      </x:c>
      <x:c r="Q175" t="str">
        <x:f>IF($H175="Sin envio","No",IF($H175=$L175,"Si","No"))</x:f>
        <x:v>Si</x:v>
      </x:c>
      <x:c r="R175" t="str">
        <x:f>IF(AND($I175=$M175,NOT(AND($I175="Penales",$F175&lt;&gt;$G175))),"Si","No")</x:f>
        <x:v>No</x:v>
      </x:c>
      <x:c r="S175" t="n">
        <x:f>IF(OR($N175&lt;&gt;"Finalizado",$Q175&lt;&gt;"Si"),0,IF($O175=$P175,Reglas!$B$2,0))</x:f>
        <x:v>0</x:v>
      </x:c>
      <x:c r="T175" t="n">
        <x:f>IF(OR($N175&lt;&gt;"Finalizado",$Q175&lt;&gt;"Si"),0,Reglas!$B$3)</x:f>
        <x:v>3</x:v>
      </x:c>
      <x:c r="U175" t="n">
        <x:f>IF(OR($N175&lt;&gt;"Finalizado",$Q175&lt;&gt;"Si"),0,IF($I175=$M175,Reglas!$B$4,0))</x:f>
        <x:v>0</x:v>
      </x:c>
      <x:c r="V175" t="n">
        <x:f>IF(OR($N175&lt;&gt;"Finalizado",$Q175&lt;&gt;"Si",$R175&lt;&gt;"Si"),0,IF(AND($F175=$J175,$G175=$K175),Reglas!$B$5,0))</x:f>
        <x:v>0</x:v>
      </x:c>
      <x:c r="W175" t="n">
        <x:f>IF(OR($N175&lt;&gt;"Finalizado",$Q175&lt;&gt;"Si",$R175&lt;&gt;"Si"),0,IF($F175-$G175=$J175-$K175,Reglas!$B$6,0))</x:f>
        <x:v>0</x:v>
      </x:c>
      <x:c r="X175" t="n">
        <x:f>IF(OR($N175&lt;&gt;"Finalizado",$Q175&lt;&gt;"Si",$R175&lt;&gt;"Si"),0,IF($F175=$J175,Reglas!$B$7,0))</x:f>
        <x:v>0</x:v>
      </x:c>
      <x:c r="Y175" t="n">
        <x:f>IF(OR($N175&lt;&gt;"Finalizado",$Q175&lt;&gt;"Si",$R175&lt;&gt;"Si"),0,IF($G175=$K175,Reglas!$B$8,0))</x:f>
        <x:v>0</x:v>
      </x:c>
      <x:c r="Z175" t="n">
        <x:f>SUM($S175:$Y175)</x:f>
        <x:v>3</x:v>
      </x:c>
      <x:c r="AA175" t="str">
        <x:f>IF($N175&lt;&gt;"Finalizado","Resultado pendiente",IF($H175="Sin envio","Sin respuesta",IF($Q175&lt;&gt;"Si","No acerto clasificado","OK")))</x:f>
        <x:v>OK</x:v>
      </x:c>
      <x:c r="AB175" t="str">
        <x:v>8vos detalle reconstruido</x:v>
      </x:c>
      <x:c r="AC175" t="n">
        <x:v>3</x:v>
      </x:c>
      <x:c r="AD175" t="n">
        <x:f>$Z175-$AC175</x:f>
        <x:v>0</x:v>
      </x:c>
    </x:row>
    <x:row r="176" ht="15" hidden="0" customHeight="1">
      <x:c r="A176" t="str">
        <x:v>8vos</x:v>
      </x:c>
      <x:c r="B176" t="str">
        <x:v>O8</x:v>
      </x:c>
      <x:c r="C176" t="str">
        <x:v>Diana</x:v>
      </x:c>
      <x:c r="D176" t="str">
        <x:v>Argentina</x:v>
      </x:c>
      <x:c r="E176" t="str">
        <x:v>Egipto</x:v>
      </x:c>
      <x:c r="F176" t="n">
        <x:v>3</x:v>
      </x:c>
      <x:c r="G176" t="n">
        <x:v>1</x:v>
      </x:c>
      <x:c r="H176" t="str">
        <x:v>Argentina</x:v>
      </x:c>
      <x:c r="I176" t="str">
        <x:v>90 minutos</x:v>
      </x:c>
      <x:c r="J176" t="n">
        <x:v>3</x:v>
      </x:c>
      <x:c r="K176" t="n">
        <x:v>2</x:v>
      </x:c>
      <x:c r="L176" t="str">
        <x:v>Argentina</x:v>
      </x:c>
      <x:c r="M176" t="str">
        <x:v>90 minutos</x:v>
      </x:c>
      <x:c r="N176" t="str">
        <x:v>Finalizado</x:v>
      </x:c>
      <x:c r="O176" t="str">
        <x:f>IF($H176="Sin envio","Sin envio",IF($I176="90 minutos",IF($F176&gt;$G176,"A",IF($G176&gt;$F176,"B","E")),"E"))</x:f>
        <x:v>A</x:v>
      </x:c>
      <x:c r="P176" t="str">
        <x:f>IF($M176="90 minutos",IF($J176&gt;$K176,"A",IF($K176&gt;$J176,"B","E")),"E")</x:f>
        <x:v>A</x:v>
      </x:c>
      <x:c r="Q176" t="str">
        <x:f>IF($H176="Sin envio","No",IF($H176=$L176,"Si","No"))</x:f>
        <x:v>Si</x:v>
      </x:c>
      <x:c r="R176" t="str">
        <x:f>IF(AND($I176=$M176,NOT(AND($I176="Penales",$F176&lt;&gt;$G176))),"Si","No")</x:f>
        <x:v>Si</x:v>
      </x:c>
      <x:c r="S176" t="n">
        <x:f>IF(OR($N176&lt;&gt;"Finalizado",$Q176&lt;&gt;"Si"),0,IF($O176=$P176,Reglas!$B$2,0))</x:f>
        <x:v>5</x:v>
      </x:c>
      <x:c r="T176" t="n">
        <x:f>IF(OR($N176&lt;&gt;"Finalizado",$Q176&lt;&gt;"Si"),0,Reglas!$B$3)</x:f>
        <x:v>3</x:v>
      </x:c>
      <x:c r="U176" t="n">
        <x:f>IF(OR($N176&lt;&gt;"Finalizado",$Q176&lt;&gt;"Si"),0,IF($I176=$M176,Reglas!$B$4,0))</x:f>
        <x:v>2</x:v>
      </x:c>
      <x:c r="V176" t="n">
        <x:f>IF(OR($N176&lt;&gt;"Finalizado",$Q176&lt;&gt;"Si",$R176&lt;&gt;"Si"),0,IF(AND($F176=$J176,$G176=$K176),Reglas!$B$5,0))</x:f>
        <x:v>0</x:v>
      </x:c>
      <x:c r="W176" t="n">
        <x:f>IF(OR($N176&lt;&gt;"Finalizado",$Q176&lt;&gt;"Si",$R176&lt;&gt;"Si"),0,IF($F176-$G176=$J176-$K176,Reglas!$B$6,0))</x:f>
        <x:v>0</x:v>
      </x:c>
      <x:c r="X176" t="n">
        <x:f>IF(OR($N176&lt;&gt;"Finalizado",$Q176&lt;&gt;"Si",$R176&lt;&gt;"Si"),0,IF($F176=$J176,Reglas!$B$7,0))</x:f>
        <x:v>1</x:v>
      </x:c>
      <x:c r="Y176" t="n">
        <x:f>IF(OR($N176&lt;&gt;"Finalizado",$Q176&lt;&gt;"Si",$R176&lt;&gt;"Si"),0,IF($G176=$K176,Reglas!$B$8,0))</x:f>
        <x:v>0</x:v>
      </x:c>
      <x:c r="Z176" t="n">
        <x:f>SUM($S176:$Y176)</x:f>
        <x:v>11</x:v>
      </x:c>
      <x:c r="AA176" t="str">
        <x:f>IF($N176&lt;&gt;"Finalizado","Resultado pendiente",IF($H176="Sin envio","Sin respuesta",IF($Q176&lt;&gt;"Si","No acerto clasificado","OK")))</x:f>
        <x:v>OK</x:v>
      </x:c>
      <x:c r="AB176" t="str">
        <x:v>8vos detalle reconstruido</x:v>
      </x:c>
      <x:c r="AC176" t="n">
        <x:v>11</x:v>
      </x:c>
      <x:c r="AD176" t="n">
        <x:f>$Z176-$AC176</x:f>
        <x:v>0</x:v>
      </x:c>
    </x:row>
    <x:row r="177" ht="15" hidden="0" customHeight="1">
      <x:c r="A177" t="str">
        <x:v>8vos</x:v>
      </x:c>
      <x:c r="B177" t="str">
        <x:v>O8</x:v>
      </x:c>
      <x:c r="C177" t="str">
        <x:v>Óscar</x:v>
      </x:c>
      <x:c r="D177" t="str">
        <x:v>Argentina</x:v>
      </x:c>
      <x:c r="E177" t="str">
        <x:v>Egipto</x:v>
      </x:c>
      <x:c r="F177" t="n">
        <x:v>3</x:v>
      </x:c>
      <x:c r="G177" t="n">
        <x:v>2</x:v>
      </x:c>
      <x:c r="H177" t="str">
        <x:v>Argentina</x:v>
      </x:c>
      <x:c r="I177" t="str">
        <x:v>Suplementario</x:v>
      </x:c>
      <x:c r="J177" t="n">
        <x:v>3</x:v>
      </x:c>
      <x:c r="K177" t="n">
        <x:v>2</x:v>
      </x:c>
      <x:c r="L177" t="str">
        <x:v>Argentina</x:v>
      </x:c>
      <x:c r="M177" t="str">
        <x:v>90 minutos</x:v>
      </x:c>
      <x:c r="N177" t="str">
        <x:v>Finalizado</x:v>
      </x:c>
      <x:c r="O177" t="str">
        <x:f>IF($H177="Sin envio","Sin envio",IF($I177="90 minutos",IF($F177&gt;$G177,"A",IF($G177&gt;$F177,"B","E")),"E"))</x:f>
        <x:v>E</x:v>
      </x:c>
      <x:c r="P177" t="str">
        <x:f>IF($M177="90 minutos",IF($J177&gt;$K177,"A",IF($K177&gt;$J177,"B","E")),"E")</x:f>
        <x:v>A</x:v>
      </x:c>
      <x:c r="Q177" t="str">
        <x:f>IF($H177="Sin envio","No",IF($H177=$L177,"Si","No"))</x:f>
        <x:v>Si</x:v>
      </x:c>
      <x:c r="R177" t="str">
        <x:f>IF(AND($I177=$M177,NOT(AND($I177="Penales",$F177&lt;&gt;$G177))),"Si","No")</x:f>
        <x:v>No</x:v>
      </x:c>
      <x:c r="S177" t="n">
        <x:f>IF(OR($N177&lt;&gt;"Finalizado",$Q177&lt;&gt;"Si"),0,IF($O177=$P177,Reglas!$B$2,0))</x:f>
        <x:v>0</x:v>
      </x:c>
      <x:c r="T177" t="n">
        <x:f>IF(OR($N177&lt;&gt;"Finalizado",$Q177&lt;&gt;"Si"),0,Reglas!$B$3)</x:f>
        <x:v>3</x:v>
      </x:c>
      <x:c r="U177" t="n">
        <x:f>IF(OR($N177&lt;&gt;"Finalizado",$Q177&lt;&gt;"Si"),0,IF($I177=$M177,Reglas!$B$4,0))</x:f>
        <x:v>0</x:v>
      </x:c>
      <x:c r="V177" t="n">
        <x:f>IF(OR($N177&lt;&gt;"Finalizado",$Q177&lt;&gt;"Si",$R177&lt;&gt;"Si"),0,IF(AND($F177=$J177,$G177=$K177),Reglas!$B$5,0))</x:f>
        <x:v>0</x:v>
      </x:c>
      <x:c r="W177" t="n">
        <x:f>IF(OR($N177&lt;&gt;"Finalizado",$Q177&lt;&gt;"Si",$R177&lt;&gt;"Si"),0,IF($F177-$G177=$J177-$K177,Reglas!$B$6,0))</x:f>
        <x:v>0</x:v>
      </x:c>
      <x:c r="X177" t="n">
        <x:f>IF(OR($N177&lt;&gt;"Finalizado",$Q177&lt;&gt;"Si",$R177&lt;&gt;"Si"),0,IF($F177=$J177,Reglas!$B$7,0))</x:f>
        <x:v>0</x:v>
      </x:c>
      <x:c r="Y177" t="n">
        <x:f>IF(OR($N177&lt;&gt;"Finalizado",$Q177&lt;&gt;"Si",$R177&lt;&gt;"Si"),0,IF($G177=$K177,Reglas!$B$8,0))</x:f>
        <x:v>0</x:v>
      </x:c>
      <x:c r="Z177" t="n">
        <x:f>SUM($S177:$Y177)</x:f>
        <x:v>3</x:v>
      </x:c>
      <x:c r="AA177" t="str">
        <x:f>IF($N177&lt;&gt;"Finalizado","Resultado pendiente",IF($H177="Sin envio","Sin respuesta",IF($Q177&lt;&gt;"Si","No acerto clasificado","OK")))</x:f>
        <x:v>OK</x:v>
      </x:c>
      <x:c r="AB177" t="str">
        <x:v>8vos detalle reconstruido</x:v>
      </x:c>
      <x:c r="AC177" t="n">
        <x:v>3</x:v>
      </x:c>
      <x:c r="AD177" t="n">
        <x:f>$Z177-$AC177</x:f>
        <x:v>0</x:v>
      </x:c>
    </x:row>
    <x:row r="178" ht="15" hidden="0" customHeight="1">
      <x:c r="A178" t="str">
        <x:v>4tos</x:v>
      </x:c>
      <x:c r="B178" t="str">
        <x:v>QF1</x:v>
      </x:c>
      <x:c r="C178" t="str">
        <x:v>Freddy</x:v>
      </x:c>
      <x:c r="D178" t="str">
        <x:v>Francia</x:v>
      </x:c>
      <x:c r="E178" t="str">
        <x:v>Marruecos</x:v>
      </x:c>
      <x:c r="F178" t="n">
        <x:v>1</x:v>
      </x:c>
      <x:c r="G178" t="n">
        <x:v>0</x:v>
      </x:c>
      <x:c r="H178" t="str">
        <x:v>Francia</x:v>
      </x:c>
      <x:c r="I178" t="str">
        <x:v>90 minutos</x:v>
      </x:c>
      <x:c r="J178" t="n">
        <x:v>2</x:v>
      </x:c>
      <x:c r="K178" t="n">
        <x:v>0</x:v>
      </x:c>
      <x:c r="L178" t="str">
        <x:v>Francia</x:v>
      </x:c>
      <x:c r="M178" t="str">
        <x:v>90 minutos</x:v>
      </x:c>
      <x:c r="N178" t="str">
        <x:v>Finalizado</x:v>
      </x:c>
      <x:c r="O178" t="str">
        <x:f>IF($H178="Sin envio","Sin envio",IF($I178="90 minutos",IF($F178&gt;$G178,"A",IF($G178&gt;$F178,"B","E")),"E"))</x:f>
        <x:v>A</x:v>
      </x:c>
      <x:c r="P178" t="str">
        <x:f>IF($M178="90 minutos",IF($J178&gt;$K178,"A",IF($K178&gt;$J178,"B","E")),"E")</x:f>
        <x:v>A</x:v>
      </x:c>
      <x:c r="Q178" t="str">
        <x:f>IF($H178="Sin envio","No",IF($H178=$L178,"Si","No"))</x:f>
        <x:v>Si</x:v>
      </x:c>
      <x:c r="R178" t="str">
        <x:f>IF(AND($I178=$M178,NOT(AND($I178="Penales",$F178&lt;&gt;$G178))),"Si","No")</x:f>
        <x:v>Si</x:v>
      </x:c>
      <x:c r="S178" t="n">
        <x:f>IF(OR($N178&lt;&gt;"Finalizado",$Q178&lt;&gt;"Si"),0,IF($O178=$P178,Reglas!$B$2,0))</x:f>
        <x:v>5</x:v>
      </x:c>
      <x:c r="T178" t="n">
        <x:f>IF(OR($N178&lt;&gt;"Finalizado",$Q178&lt;&gt;"Si"),0,Reglas!$B$3)</x:f>
        <x:v>3</x:v>
      </x:c>
      <x:c r="U178" t="n">
        <x:f>IF(OR($N178&lt;&gt;"Finalizado",$Q178&lt;&gt;"Si"),0,IF($I178=$M178,Reglas!$B$4,0))</x:f>
        <x:v>2</x:v>
      </x:c>
      <x:c r="V178" t="n">
        <x:f>IF(OR($N178&lt;&gt;"Finalizado",$Q178&lt;&gt;"Si",$R178&lt;&gt;"Si"),0,IF(AND($F178=$J178,$G178=$K178),Reglas!$B$5,0))</x:f>
        <x:v>0</x:v>
      </x:c>
      <x:c r="W178" t="n">
        <x:f>IF(OR($N178&lt;&gt;"Finalizado",$Q178&lt;&gt;"Si",$R178&lt;&gt;"Si"),0,IF($F178-$G178=$J178-$K178,Reglas!$B$6,0))</x:f>
        <x:v>0</x:v>
      </x:c>
      <x:c r="X178" t="n">
        <x:f>IF(OR($N178&lt;&gt;"Finalizado",$Q178&lt;&gt;"Si",$R178&lt;&gt;"Si"),0,IF($F178=$J178,Reglas!$B$7,0))</x:f>
        <x:v>0</x:v>
      </x:c>
      <x:c r="Y178" t="n">
        <x:f>IF(OR($N178&lt;&gt;"Finalizado",$Q178&lt;&gt;"Si",$R178&lt;&gt;"Si"),0,IF($G178=$K178,Reglas!$B$8,0))</x:f>
        <x:v>1</x:v>
      </x:c>
      <x:c r="Z178" t="n">
        <x:f>SUM($S178:$Y178)</x:f>
        <x:v>11</x:v>
      </x:c>
      <x:c r="AA178" t="str">
        <x:f>IF($N178&lt;&gt;"Finalizado","Resultado pendiente",IF($H178="Sin envio","Sin respuesta",IF($Q178&lt;&gt;"Si","No acerto clasificado","OK")))</x:f>
        <x:v>OK</x:v>
      </x:c>
      <x:c r="AB178" t="str">
        <x:v>Google Forms cuartos + ESPN</x:v>
      </x:c>
      <x:c r="AC178" t="n">
        <x:v>11</x:v>
      </x:c>
      <x:c r="AD178" t="n">
        <x:f>$Z178-$AC178</x:f>
        <x:v>0</x:v>
      </x:c>
    </x:row>
    <x:row r="179" ht="15" hidden="0" customHeight="1">
      <x:c r="A179" t="str">
        <x:v>4tos</x:v>
      </x:c>
      <x:c r="B179" t="str">
        <x:v>QF1</x:v>
      </x:c>
      <x:c r="C179" t="str">
        <x:v>Gabriela</x:v>
      </x:c>
      <x:c r="D179" t="str">
        <x:v>Francia</x:v>
      </x:c>
      <x:c r="E179" t="str">
        <x:v>Marruecos</x:v>
      </x:c>
      <x:c r="F179" t="n">
        <x:v>3</x:v>
      </x:c>
      <x:c r="G179" t="n">
        <x:v>2</x:v>
      </x:c>
      <x:c r="H179" t="str">
        <x:v>Francia</x:v>
      </x:c>
      <x:c r="I179" t="str">
        <x:v>Suplementario</x:v>
      </x:c>
      <x:c r="J179" t="n">
        <x:v>2</x:v>
      </x:c>
      <x:c r="K179" t="n">
        <x:v>0</x:v>
      </x:c>
      <x:c r="L179" t="str">
        <x:v>Francia</x:v>
      </x:c>
      <x:c r="M179" t="str">
        <x:v>90 minutos</x:v>
      </x:c>
      <x:c r="N179" t="str">
        <x:v>Finalizado</x:v>
      </x:c>
      <x:c r="O179" t="str">
        <x:f>IF($H179="Sin envio","Sin envio",IF($I179="90 minutos",IF($F179&gt;$G179,"A",IF($G179&gt;$F179,"B","E")),"E"))</x:f>
        <x:v>E</x:v>
      </x:c>
      <x:c r="P179" t="str">
        <x:f>IF($M179="90 minutos",IF($J179&gt;$K179,"A",IF($K179&gt;$J179,"B","E")),"E")</x:f>
        <x:v>A</x:v>
      </x:c>
      <x:c r="Q179" t="str">
        <x:f>IF($H179="Sin envio","No",IF($H179=$L179,"Si","No"))</x:f>
        <x:v>Si</x:v>
      </x:c>
      <x:c r="R179" t="str">
        <x:f>IF(AND($I179=$M179,NOT(AND($I179="Penales",$F179&lt;&gt;$G179))),"Si","No")</x:f>
        <x:v>No</x:v>
      </x:c>
      <x:c r="S179" t="n">
        <x:f>IF(OR($N179&lt;&gt;"Finalizado",$Q179&lt;&gt;"Si"),0,IF($O179=$P179,Reglas!$B$2,0))</x:f>
        <x:v>0</x:v>
      </x:c>
      <x:c r="T179" t="n">
        <x:f>IF(OR($N179&lt;&gt;"Finalizado",$Q179&lt;&gt;"Si"),0,Reglas!$B$3)</x:f>
        <x:v>3</x:v>
      </x:c>
      <x:c r="U179" t="n">
        <x:f>IF(OR($N179&lt;&gt;"Finalizado",$Q179&lt;&gt;"Si"),0,IF($I179=$M179,Reglas!$B$4,0))</x:f>
        <x:v>0</x:v>
      </x:c>
      <x:c r="V179" t="n">
        <x:f>IF(OR($N179&lt;&gt;"Finalizado",$Q179&lt;&gt;"Si",$R179&lt;&gt;"Si"),0,IF(AND($F179=$J179,$G179=$K179),Reglas!$B$5,0))</x:f>
        <x:v>0</x:v>
      </x:c>
      <x:c r="W179" t="n">
        <x:f>IF(OR($N179&lt;&gt;"Finalizado",$Q179&lt;&gt;"Si",$R179&lt;&gt;"Si"),0,IF($F179-$G179=$J179-$K179,Reglas!$B$6,0))</x:f>
        <x:v>0</x:v>
      </x:c>
      <x:c r="X179" t="n">
        <x:f>IF(OR($N179&lt;&gt;"Finalizado",$Q179&lt;&gt;"Si",$R179&lt;&gt;"Si"),0,IF($F179=$J179,Reglas!$B$7,0))</x:f>
        <x:v>0</x:v>
      </x:c>
      <x:c r="Y179" t="n">
        <x:f>IF(OR($N179&lt;&gt;"Finalizado",$Q179&lt;&gt;"Si",$R179&lt;&gt;"Si"),0,IF($G179=$K179,Reglas!$B$8,0))</x:f>
        <x:v>0</x:v>
      </x:c>
      <x:c r="Z179" t="n">
        <x:f>SUM($S179:$Y179)</x:f>
        <x:v>3</x:v>
      </x:c>
      <x:c r="AA179" t="str">
        <x:f>IF($N179&lt;&gt;"Finalizado","Resultado pendiente",IF($H179="Sin envio","Sin respuesta",IF($Q179&lt;&gt;"Si","No acerto clasificado","OK")))</x:f>
        <x:v>OK</x:v>
      </x:c>
      <x:c r="AB179" t="str">
        <x:v>Google Forms cuartos + ESPN</x:v>
      </x:c>
      <x:c r="AC179" t="n">
        <x:v>3</x:v>
      </x:c>
      <x:c r="AD179" t="n">
        <x:f>$Z179-$AC179</x:f>
        <x:v>0</x:v>
      </x:c>
    </x:row>
    <x:row r="180" ht="15" hidden="0" customHeight="1">
      <x:c r="A180" t="str">
        <x:v>4tos</x:v>
      </x:c>
      <x:c r="B180" t="str">
        <x:v>QF1</x:v>
      </x:c>
      <x:c r="C180" t="str">
        <x:v>Jean</x:v>
      </x:c>
      <x:c r="D180" t="str">
        <x:v>Francia</x:v>
      </x:c>
      <x:c r="E180" t="str">
        <x:v>Marruecos</x:v>
      </x:c>
      <x:c r="F180" t="n">
        <x:v>1</x:v>
      </x:c>
      <x:c r="G180" t="n">
        <x:v>0</x:v>
      </x:c>
      <x:c r="H180" t="str">
        <x:v>Francia</x:v>
      </x:c>
      <x:c r="I180" t="str">
        <x:v>90 minutos</x:v>
      </x:c>
      <x:c r="J180" t="n">
        <x:v>2</x:v>
      </x:c>
      <x:c r="K180" t="n">
        <x:v>0</x:v>
      </x:c>
      <x:c r="L180" t="str">
        <x:v>Francia</x:v>
      </x:c>
      <x:c r="M180" t="str">
        <x:v>90 minutos</x:v>
      </x:c>
      <x:c r="N180" t="str">
        <x:v>Finalizado</x:v>
      </x:c>
      <x:c r="O180" t="str">
        <x:f>IF($H180="Sin envio","Sin envio",IF($I180="90 minutos",IF($F180&gt;$G180,"A",IF($G180&gt;$F180,"B","E")),"E"))</x:f>
        <x:v>A</x:v>
      </x:c>
      <x:c r="P180" t="str">
        <x:f>IF($M180="90 minutos",IF($J180&gt;$K180,"A",IF($K180&gt;$J180,"B","E")),"E")</x:f>
        <x:v>A</x:v>
      </x:c>
      <x:c r="Q180" t="str">
        <x:f>IF($H180="Sin envio","No",IF($H180=$L180,"Si","No"))</x:f>
        <x:v>Si</x:v>
      </x:c>
      <x:c r="R180" t="str">
        <x:f>IF(AND($I180=$M180,NOT(AND($I180="Penales",$F180&lt;&gt;$G180))),"Si","No")</x:f>
        <x:v>Si</x:v>
      </x:c>
      <x:c r="S180" t="n">
        <x:f>IF(OR($N180&lt;&gt;"Finalizado",$Q180&lt;&gt;"Si"),0,IF($O180=$P180,Reglas!$B$2,0))</x:f>
        <x:v>5</x:v>
      </x:c>
      <x:c r="T180" t="n">
        <x:f>IF(OR($N180&lt;&gt;"Finalizado",$Q180&lt;&gt;"Si"),0,Reglas!$B$3)</x:f>
        <x:v>3</x:v>
      </x:c>
      <x:c r="U180" t="n">
        <x:f>IF(OR($N180&lt;&gt;"Finalizado",$Q180&lt;&gt;"Si"),0,IF($I180=$M180,Reglas!$B$4,0))</x:f>
        <x:v>2</x:v>
      </x:c>
      <x:c r="V180" t="n">
        <x:f>IF(OR($N180&lt;&gt;"Finalizado",$Q180&lt;&gt;"Si",$R180&lt;&gt;"Si"),0,IF(AND($F180=$J180,$G180=$K180),Reglas!$B$5,0))</x:f>
        <x:v>0</x:v>
      </x:c>
      <x:c r="W180" t="n">
        <x:f>IF(OR($N180&lt;&gt;"Finalizado",$Q180&lt;&gt;"Si",$R180&lt;&gt;"Si"),0,IF($F180-$G180=$J180-$K180,Reglas!$B$6,0))</x:f>
        <x:v>0</x:v>
      </x:c>
      <x:c r="X180" t="n">
        <x:f>IF(OR($N180&lt;&gt;"Finalizado",$Q180&lt;&gt;"Si",$R180&lt;&gt;"Si"),0,IF($F180=$J180,Reglas!$B$7,0))</x:f>
        <x:v>0</x:v>
      </x:c>
      <x:c r="Y180" t="n">
        <x:f>IF(OR($N180&lt;&gt;"Finalizado",$Q180&lt;&gt;"Si",$R180&lt;&gt;"Si"),0,IF($G180=$K180,Reglas!$B$8,0))</x:f>
        <x:v>1</x:v>
      </x:c>
      <x:c r="Z180" t="n">
        <x:f>SUM($S180:$Y180)</x:f>
        <x:v>11</x:v>
      </x:c>
      <x:c r="AA180" t="str">
        <x:f>IF($N180&lt;&gt;"Finalizado","Resultado pendiente",IF($H180="Sin envio","Sin respuesta",IF($Q180&lt;&gt;"Si","No acerto clasificado","OK")))</x:f>
        <x:v>OK</x:v>
      </x:c>
      <x:c r="AB180" t="str">
        <x:v>Google Forms cuartos + ESPN</x:v>
      </x:c>
      <x:c r="AC180" t="n">
        <x:v>11</x:v>
      </x:c>
      <x:c r="AD180" t="n">
        <x:f>$Z180-$AC180</x:f>
        <x:v>0</x:v>
      </x:c>
    </x:row>
    <x:row r="181" ht="15" hidden="0" customHeight="1">
      <x:c r="A181" t="str">
        <x:v>4tos</x:v>
      </x:c>
      <x:c r="B181" t="str">
        <x:v>QF1</x:v>
      </x:c>
      <x:c r="C181" t="str">
        <x:v>Juan</x:v>
      </x:c>
      <x:c r="D181" t="str">
        <x:v>Francia</x:v>
      </x:c>
      <x:c r="E181" t="str">
        <x:v>Marruecos</x:v>
      </x:c>
      <x:c r="F181"/>
      <x:c r="G181"/>
      <x:c r="H181" t="str">
        <x:v>Sin envio</x:v>
      </x:c>
      <x:c r="I181" t="str">
        <x:v>Sin envio</x:v>
      </x:c>
      <x:c r="J181" t="n">
        <x:v>2</x:v>
      </x:c>
      <x:c r="K181" t="n">
        <x:v>0</x:v>
      </x:c>
      <x:c r="L181" t="str">
        <x:v>Francia</x:v>
      </x:c>
      <x:c r="M181" t="str">
        <x:v>90 minutos</x:v>
      </x:c>
      <x:c r="N181" t="str">
        <x:v>Finalizado</x:v>
      </x:c>
      <x:c r="O181" t="str">
        <x:f>IF($H181="Sin envio","Sin envio",IF($I181="90 minutos",IF($F181&gt;$G181,"A",IF($G181&gt;$F181,"B","E")),"E"))</x:f>
        <x:v>Sin envio</x:v>
      </x:c>
      <x:c r="P181" t="str">
        <x:f>IF($M181="90 minutos",IF($J181&gt;$K181,"A",IF($K181&gt;$J181,"B","E")),"E")</x:f>
        <x:v>A</x:v>
      </x:c>
      <x:c r="Q181" t="str">
        <x:f>IF($H181="Sin envio","No",IF($H181=$L181,"Si","No"))</x:f>
        <x:v>No</x:v>
      </x:c>
      <x:c r="R181" t="str">
        <x:f>IF(AND($I181=$M181,NOT(AND($I181="Penales",$F181&lt;&gt;$G181))),"Si","No")</x:f>
        <x:v>No</x:v>
      </x:c>
      <x:c r="S181" t="n">
        <x:f>IF(OR($N181&lt;&gt;"Finalizado",$Q181&lt;&gt;"Si"),0,IF($O181=$P181,Reglas!$B$2,0))</x:f>
        <x:v>0</x:v>
      </x:c>
      <x:c r="T181" t="n">
        <x:f>IF(OR($N181&lt;&gt;"Finalizado",$Q181&lt;&gt;"Si"),0,Reglas!$B$3)</x:f>
        <x:v>0</x:v>
      </x:c>
      <x:c r="U181" t="n">
        <x:f>IF(OR($N181&lt;&gt;"Finalizado",$Q181&lt;&gt;"Si"),0,IF($I181=$M181,Reglas!$B$4,0))</x:f>
        <x:v>0</x:v>
      </x:c>
      <x:c r="V181" t="n">
        <x:f>IF(OR($N181&lt;&gt;"Finalizado",$Q181&lt;&gt;"Si",$R181&lt;&gt;"Si"),0,IF(AND($F181=$J181,$G181=$K181),Reglas!$B$5,0))</x:f>
        <x:v>0</x:v>
      </x:c>
      <x:c r="W181" t="n">
        <x:f>IF(OR($N181&lt;&gt;"Finalizado",$Q181&lt;&gt;"Si",$R181&lt;&gt;"Si"),0,IF($F181-$G181=$J181-$K181,Reglas!$B$6,0))</x:f>
        <x:v>0</x:v>
      </x:c>
      <x:c r="X181" t="n">
        <x:f>IF(OR($N181&lt;&gt;"Finalizado",$Q181&lt;&gt;"Si",$R181&lt;&gt;"Si"),0,IF($F181=$J181,Reglas!$B$7,0))</x:f>
        <x:v>0</x:v>
      </x:c>
      <x:c r="Y181" t="n">
        <x:f>IF(OR($N181&lt;&gt;"Finalizado",$Q181&lt;&gt;"Si",$R181&lt;&gt;"Si"),0,IF($G181=$K181,Reglas!$B$8,0))</x:f>
        <x:v>0</x:v>
      </x:c>
      <x:c r="Z181" t="n">
        <x:f>SUM($S181:$Y181)</x:f>
        <x:v>0</x:v>
      </x:c>
      <x:c r="AA181" t="str">
        <x:f>IF($N181&lt;&gt;"Finalizado","Resultado pendiente",IF($H181="Sin envio","Sin respuesta",IF($Q181&lt;&gt;"Si","No acerto clasificado","OK")))</x:f>
        <x:v>Sin respuesta</x:v>
      </x:c>
      <x:c r="AB181" t="str">
        <x:v>Google Forms cuartos + ESPN</x:v>
      </x:c>
      <x:c r="AC181" t="n">
        <x:v>0</x:v>
      </x:c>
      <x:c r="AD181" t="n">
        <x:f>$Z181-$AC181</x:f>
        <x:v>0</x:v>
      </x:c>
    </x:row>
    <x:row r="182" ht="15" hidden="0" customHeight="1">
      <x:c r="A182" t="str">
        <x:v>4tos</x:v>
      </x:c>
      <x:c r="B182" t="str">
        <x:v>QF1</x:v>
      </x:c>
      <x:c r="C182" t="str">
        <x:v>Jesús</x:v>
      </x:c>
      <x:c r="D182" t="str">
        <x:v>Francia</x:v>
      </x:c>
      <x:c r="E182" t="str">
        <x:v>Marruecos</x:v>
      </x:c>
      <x:c r="F182" t="n">
        <x:v>3</x:v>
      </x:c>
      <x:c r="G182" t="n">
        <x:v>1</x:v>
      </x:c>
      <x:c r="H182" t="str">
        <x:v>Francia</x:v>
      </x:c>
      <x:c r="I182" t="str">
        <x:v>90 minutos</x:v>
      </x:c>
      <x:c r="J182" t="n">
        <x:v>2</x:v>
      </x:c>
      <x:c r="K182" t="n">
        <x:v>0</x:v>
      </x:c>
      <x:c r="L182" t="str">
        <x:v>Francia</x:v>
      </x:c>
      <x:c r="M182" t="str">
        <x:v>90 minutos</x:v>
      </x:c>
      <x:c r="N182" t="str">
        <x:v>Finalizado</x:v>
      </x:c>
      <x:c r="O182" t="str">
        <x:f>IF($H182="Sin envio","Sin envio",IF($I182="90 minutos",IF($F182&gt;$G182,"A",IF($G182&gt;$F182,"B","E")),"E"))</x:f>
        <x:v>A</x:v>
      </x:c>
      <x:c r="P182" t="str">
        <x:f>IF($M182="90 minutos",IF($J182&gt;$K182,"A",IF($K182&gt;$J182,"B","E")),"E")</x:f>
        <x:v>A</x:v>
      </x:c>
      <x:c r="Q182" t="str">
        <x:f>IF($H182="Sin envio","No",IF($H182=$L182,"Si","No"))</x:f>
        <x:v>Si</x:v>
      </x:c>
      <x:c r="R182" t="str">
        <x:f>IF(AND($I182=$M182,NOT(AND($I182="Penales",$F182&lt;&gt;$G182))),"Si","No")</x:f>
        <x:v>Si</x:v>
      </x:c>
      <x:c r="S182" t="n">
        <x:f>IF(OR($N182&lt;&gt;"Finalizado",$Q182&lt;&gt;"Si"),0,IF($O182=$P182,Reglas!$B$2,0))</x:f>
        <x:v>5</x:v>
      </x:c>
      <x:c r="T182" t="n">
        <x:f>IF(OR($N182&lt;&gt;"Finalizado",$Q182&lt;&gt;"Si"),0,Reglas!$B$3)</x:f>
        <x:v>3</x:v>
      </x:c>
      <x:c r="U182" t="n">
        <x:f>IF(OR($N182&lt;&gt;"Finalizado",$Q182&lt;&gt;"Si"),0,IF($I182=$M182,Reglas!$B$4,0))</x:f>
        <x:v>2</x:v>
      </x:c>
      <x:c r="V182" t="n">
        <x:f>IF(OR($N182&lt;&gt;"Finalizado",$Q182&lt;&gt;"Si",$R182&lt;&gt;"Si"),0,IF(AND($F182=$J182,$G182=$K182),Reglas!$B$5,0))</x:f>
        <x:v>0</x:v>
      </x:c>
      <x:c r="W182" t="n">
        <x:f>IF(OR($N182&lt;&gt;"Finalizado",$Q182&lt;&gt;"Si",$R182&lt;&gt;"Si"),0,IF($F182-$G182=$J182-$K182,Reglas!$B$6,0))</x:f>
        <x:v>2</x:v>
      </x:c>
      <x:c r="X182" t="n">
        <x:f>IF(OR($N182&lt;&gt;"Finalizado",$Q182&lt;&gt;"Si",$R182&lt;&gt;"Si"),0,IF($F182=$J182,Reglas!$B$7,0))</x:f>
        <x:v>0</x:v>
      </x:c>
      <x:c r="Y182" t="n">
        <x:f>IF(OR($N182&lt;&gt;"Finalizado",$Q182&lt;&gt;"Si",$R182&lt;&gt;"Si"),0,IF($G182=$K182,Reglas!$B$8,0))</x:f>
        <x:v>0</x:v>
      </x:c>
      <x:c r="Z182" t="n">
        <x:f>SUM($S182:$Y182)</x:f>
        <x:v>12</x:v>
      </x:c>
      <x:c r="AA182" t="str">
        <x:f>IF($N182&lt;&gt;"Finalizado","Resultado pendiente",IF($H182="Sin envio","Sin respuesta",IF($Q182&lt;&gt;"Si","No acerto clasificado","OK")))</x:f>
        <x:v>OK</x:v>
      </x:c>
      <x:c r="AB182" t="str">
        <x:v>Google Forms cuartos + ESPN</x:v>
      </x:c>
      <x:c r="AC182" t="n">
        <x:v>12</x:v>
      </x:c>
      <x:c r="AD182" t="n">
        <x:f>$Z182-$AC182</x:f>
        <x:v>0</x:v>
      </x:c>
    </x:row>
    <x:row r="183" ht="15" hidden="0" customHeight="1">
      <x:c r="A183" t="str">
        <x:v>4tos</x:v>
      </x:c>
      <x:c r="B183" t="str">
        <x:v>QF1</x:v>
      </x:c>
      <x:c r="C183" t="str">
        <x:v>Diego</x:v>
      </x:c>
      <x:c r="D183" t="str">
        <x:v>Francia</x:v>
      </x:c>
      <x:c r="E183" t="str">
        <x:v>Marruecos</x:v>
      </x:c>
      <x:c r="F183" t="n">
        <x:v>2</x:v>
      </x:c>
      <x:c r="G183" t="n">
        <x:v>1</x:v>
      </x:c>
      <x:c r="H183" t="str">
        <x:v>Francia</x:v>
      </x:c>
      <x:c r="I183" t="str">
        <x:v>90 minutos</x:v>
      </x:c>
      <x:c r="J183" t="n">
        <x:v>2</x:v>
      </x:c>
      <x:c r="K183" t="n">
        <x:v>0</x:v>
      </x:c>
      <x:c r="L183" t="str">
        <x:v>Francia</x:v>
      </x:c>
      <x:c r="M183" t="str">
        <x:v>90 minutos</x:v>
      </x:c>
      <x:c r="N183" t="str">
        <x:v>Finalizado</x:v>
      </x:c>
      <x:c r="O183" t="str">
        <x:f>IF($H183="Sin envio","Sin envio",IF($I183="90 minutos",IF($F183&gt;$G183,"A",IF($G183&gt;$F183,"B","E")),"E"))</x:f>
        <x:v>A</x:v>
      </x:c>
      <x:c r="P183" t="str">
        <x:f>IF($M183="90 minutos",IF($J183&gt;$K183,"A",IF($K183&gt;$J183,"B","E")),"E")</x:f>
        <x:v>A</x:v>
      </x:c>
      <x:c r="Q183" t="str">
        <x:f>IF($H183="Sin envio","No",IF($H183=$L183,"Si","No"))</x:f>
        <x:v>Si</x:v>
      </x:c>
      <x:c r="R183" t="str">
        <x:f>IF(AND($I183=$M183,NOT(AND($I183="Penales",$F183&lt;&gt;$G183))),"Si","No")</x:f>
        <x:v>Si</x:v>
      </x:c>
      <x:c r="S183" t="n">
        <x:f>IF(OR($N183&lt;&gt;"Finalizado",$Q183&lt;&gt;"Si"),0,IF($O183=$P183,Reglas!$B$2,0))</x:f>
        <x:v>5</x:v>
      </x:c>
      <x:c r="T183" t="n">
        <x:f>IF(OR($N183&lt;&gt;"Finalizado",$Q183&lt;&gt;"Si"),0,Reglas!$B$3)</x:f>
        <x:v>3</x:v>
      </x:c>
      <x:c r="U183" t="n">
        <x:f>IF(OR($N183&lt;&gt;"Finalizado",$Q183&lt;&gt;"Si"),0,IF($I183=$M183,Reglas!$B$4,0))</x:f>
        <x:v>2</x:v>
      </x:c>
      <x:c r="V183" t="n">
        <x:f>IF(OR($N183&lt;&gt;"Finalizado",$Q183&lt;&gt;"Si",$R183&lt;&gt;"Si"),0,IF(AND($F183=$J183,$G183=$K183),Reglas!$B$5,0))</x:f>
        <x:v>0</x:v>
      </x:c>
      <x:c r="W183" t="n">
        <x:f>IF(OR($N183&lt;&gt;"Finalizado",$Q183&lt;&gt;"Si",$R183&lt;&gt;"Si"),0,IF($F183-$G183=$J183-$K183,Reglas!$B$6,0))</x:f>
        <x:v>0</x:v>
      </x:c>
      <x:c r="X183" t="n">
        <x:f>IF(OR($N183&lt;&gt;"Finalizado",$Q183&lt;&gt;"Si",$R183&lt;&gt;"Si"),0,IF($F183=$J183,Reglas!$B$7,0))</x:f>
        <x:v>1</x:v>
      </x:c>
      <x:c r="Y183" t="n">
        <x:f>IF(OR($N183&lt;&gt;"Finalizado",$Q183&lt;&gt;"Si",$R183&lt;&gt;"Si"),0,IF($G183=$K183,Reglas!$B$8,0))</x:f>
        <x:v>0</x:v>
      </x:c>
      <x:c r="Z183" t="n">
        <x:f>SUM($S183:$Y183)</x:f>
        <x:v>11</x:v>
      </x:c>
      <x:c r="AA183" t="str">
        <x:f>IF($N183&lt;&gt;"Finalizado","Resultado pendiente",IF($H183="Sin envio","Sin respuesta",IF($Q183&lt;&gt;"Si","No acerto clasificado","OK")))</x:f>
        <x:v>OK</x:v>
      </x:c>
      <x:c r="AB183" t="str">
        <x:v>Google Forms cuartos + ESPN</x:v>
      </x:c>
      <x:c r="AC183" t="n">
        <x:v>11</x:v>
      </x:c>
      <x:c r="AD183" t="n">
        <x:f>$Z183-$AC183</x:f>
        <x:v>0</x:v>
      </x:c>
    </x:row>
    <x:row r="184" ht="15" hidden="0" customHeight="1">
      <x:c r="A184" t="str">
        <x:v>4tos</x:v>
      </x:c>
      <x:c r="B184" t="str">
        <x:v>QF1</x:v>
      </x:c>
      <x:c r="C184" t="str">
        <x:v>Aldo</x:v>
      </x:c>
      <x:c r="D184" t="str">
        <x:v>Francia</x:v>
      </x:c>
      <x:c r="E184" t="str">
        <x:v>Marruecos</x:v>
      </x:c>
      <x:c r="F184" t="n">
        <x:v>1</x:v>
      </x:c>
      <x:c r="G184" t="n">
        <x:v>1</x:v>
      </x:c>
      <x:c r="H184" t="str">
        <x:v>Marruecos</x:v>
      </x:c>
      <x:c r="I184" t="str">
        <x:v>Penales</x:v>
      </x:c>
      <x:c r="J184" t="n">
        <x:v>2</x:v>
      </x:c>
      <x:c r="K184" t="n">
        <x:v>0</x:v>
      </x:c>
      <x:c r="L184" t="str">
        <x:v>Francia</x:v>
      </x:c>
      <x:c r="M184" t="str">
        <x:v>90 minutos</x:v>
      </x:c>
      <x:c r="N184" t="str">
        <x:v>Finalizado</x:v>
      </x:c>
      <x:c r="O184" t="str">
        <x:f>IF($H184="Sin envio","Sin envio",IF($I184="90 minutos",IF($F184&gt;$G184,"A",IF($G184&gt;$F184,"B","E")),"E"))</x:f>
        <x:v>E</x:v>
      </x:c>
      <x:c r="P184" t="str">
        <x:f>IF($M184="90 minutos",IF($J184&gt;$K184,"A",IF($K184&gt;$J184,"B","E")),"E")</x:f>
        <x:v>A</x:v>
      </x:c>
      <x:c r="Q184" t="str">
        <x:f>IF($H184="Sin envio","No",IF($H184=$L184,"Si","No"))</x:f>
        <x:v>No</x:v>
      </x:c>
      <x:c r="R184" t="str">
        <x:f>IF(AND($I184=$M184,NOT(AND($I184="Penales",$F184&lt;&gt;$G184))),"Si","No")</x:f>
        <x:v>No</x:v>
      </x:c>
      <x:c r="S184" t="n">
        <x:f>IF(OR($N184&lt;&gt;"Finalizado",$Q184&lt;&gt;"Si"),0,IF($O184=$P184,Reglas!$B$2,0))</x:f>
        <x:v>0</x:v>
      </x:c>
      <x:c r="T184" t="n">
        <x:f>IF(OR($N184&lt;&gt;"Finalizado",$Q184&lt;&gt;"Si"),0,Reglas!$B$3)</x:f>
        <x:v>0</x:v>
      </x:c>
      <x:c r="U184" t="n">
        <x:f>IF(OR($N184&lt;&gt;"Finalizado",$Q184&lt;&gt;"Si"),0,IF($I184=$M184,Reglas!$B$4,0))</x:f>
        <x:v>0</x:v>
      </x:c>
      <x:c r="V184" t="n">
        <x:f>IF(OR($N184&lt;&gt;"Finalizado",$Q184&lt;&gt;"Si",$R184&lt;&gt;"Si"),0,IF(AND($F184=$J184,$G184=$K184),Reglas!$B$5,0))</x:f>
        <x:v>0</x:v>
      </x:c>
      <x:c r="W184" t="n">
        <x:f>IF(OR($N184&lt;&gt;"Finalizado",$Q184&lt;&gt;"Si",$R184&lt;&gt;"Si"),0,IF($F184-$G184=$J184-$K184,Reglas!$B$6,0))</x:f>
        <x:v>0</x:v>
      </x:c>
      <x:c r="X184" t="n">
        <x:f>IF(OR($N184&lt;&gt;"Finalizado",$Q184&lt;&gt;"Si",$R184&lt;&gt;"Si"),0,IF($F184=$J184,Reglas!$B$7,0))</x:f>
        <x:v>0</x:v>
      </x:c>
      <x:c r="Y184" t="n">
        <x:f>IF(OR($N184&lt;&gt;"Finalizado",$Q184&lt;&gt;"Si",$R184&lt;&gt;"Si"),0,IF($G184=$K184,Reglas!$B$8,0))</x:f>
        <x:v>0</x:v>
      </x:c>
      <x:c r="Z184" t="n">
        <x:f>SUM($S184:$Y184)</x:f>
        <x:v>0</x:v>
      </x:c>
      <x:c r="AA184" t="str">
        <x:f>IF($N184&lt;&gt;"Finalizado","Resultado pendiente",IF($H184="Sin envio","Sin respuesta",IF($Q184&lt;&gt;"Si","No acerto clasificado","OK")))</x:f>
        <x:v>No acerto clasificado</x:v>
      </x:c>
      <x:c r="AB184" t="str">
        <x:v>Google Forms cuartos + ESPN</x:v>
      </x:c>
      <x:c r="AC184" t="n">
        <x:v>0</x:v>
      </x:c>
      <x:c r="AD184" t="n">
        <x:f>$Z184-$AC184</x:f>
        <x:v>0</x:v>
      </x:c>
    </x:row>
    <x:row r="185" ht="15" hidden="0" customHeight="1">
      <x:c r="A185" t="str">
        <x:v>4tos</x:v>
      </x:c>
      <x:c r="B185" t="str">
        <x:v>QF1</x:v>
      </x:c>
      <x:c r="C185" t="str">
        <x:v>Javier</x:v>
      </x:c>
      <x:c r="D185" t="str">
        <x:v>Francia</x:v>
      </x:c>
      <x:c r="E185" t="str">
        <x:v>Marruecos</x:v>
      </x:c>
      <x:c r="F185" t="n">
        <x:v>2</x:v>
      </x:c>
      <x:c r="G185" t="n">
        <x:v>1</x:v>
      </x:c>
      <x:c r="H185" t="str">
        <x:v>Francia</x:v>
      </x:c>
      <x:c r="I185" t="str">
        <x:v>Suplementario</x:v>
      </x:c>
      <x:c r="J185" t="n">
        <x:v>2</x:v>
      </x:c>
      <x:c r="K185" t="n">
        <x:v>0</x:v>
      </x:c>
      <x:c r="L185" t="str">
        <x:v>Francia</x:v>
      </x:c>
      <x:c r="M185" t="str">
        <x:v>90 minutos</x:v>
      </x:c>
      <x:c r="N185" t="str">
        <x:v>Finalizado</x:v>
      </x:c>
      <x:c r="O185" t="str">
        <x:f>IF($H185="Sin envio","Sin envio",IF($I185="90 minutos",IF($F185&gt;$G185,"A",IF($G185&gt;$F185,"B","E")),"E"))</x:f>
        <x:v>E</x:v>
      </x:c>
      <x:c r="P185" t="str">
        <x:f>IF($M185="90 minutos",IF($J185&gt;$K185,"A",IF($K185&gt;$J185,"B","E")),"E")</x:f>
        <x:v>A</x:v>
      </x:c>
      <x:c r="Q185" t="str">
        <x:f>IF($H185="Sin envio","No",IF($H185=$L185,"Si","No"))</x:f>
        <x:v>Si</x:v>
      </x:c>
      <x:c r="R185" t="str">
        <x:f>IF(AND($I185=$M185,NOT(AND($I185="Penales",$F185&lt;&gt;$G185))),"Si","No")</x:f>
        <x:v>No</x:v>
      </x:c>
      <x:c r="S185" t="n">
        <x:f>IF(OR($N185&lt;&gt;"Finalizado",$Q185&lt;&gt;"Si"),0,IF($O185=$P185,Reglas!$B$2,0))</x:f>
        <x:v>0</x:v>
      </x:c>
      <x:c r="T185" t="n">
        <x:f>IF(OR($N185&lt;&gt;"Finalizado",$Q185&lt;&gt;"Si"),0,Reglas!$B$3)</x:f>
        <x:v>3</x:v>
      </x:c>
      <x:c r="U185" t="n">
        <x:f>IF(OR($N185&lt;&gt;"Finalizado",$Q185&lt;&gt;"Si"),0,IF($I185=$M185,Reglas!$B$4,0))</x:f>
        <x:v>0</x:v>
      </x:c>
      <x:c r="V185" t="n">
        <x:f>IF(OR($N185&lt;&gt;"Finalizado",$Q185&lt;&gt;"Si",$R185&lt;&gt;"Si"),0,IF(AND($F185=$J185,$G185=$K185),Reglas!$B$5,0))</x:f>
        <x:v>0</x:v>
      </x:c>
      <x:c r="W185" t="n">
        <x:f>IF(OR($N185&lt;&gt;"Finalizado",$Q185&lt;&gt;"Si",$R185&lt;&gt;"Si"),0,IF($F185-$G185=$J185-$K185,Reglas!$B$6,0))</x:f>
        <x:v>0</x:v>
      </x:c>
      <x:c r="X185" t="n">
        <x:f>IF(OR($N185&lt;&gt;"Finalizado",$Q185&lt;&gt;"Si",$R185&lt;&gt;"Si"),0,IF($F185=$J185,Reglas!$B$7,0))</x:f>
        <x:v>0</x:v>
      </x:c>
      <x:c r="Y185" t="n">
        <x:f>IF(OR($N185&lt;&gt;"Finalizado",$Q185&lt;&gt;"Si",$R185&lt;&gt;"Si"),0,IF($G185=$K185,Reglas!$B$8,0))</x:f>
        <x:v>0</x:v>
      </x:c>
      <x:c r="Z185" t="n">
        <x:f>SUM($S185:$Y185)</x:f>
        <x:v>3</x:v>
      </x:c>
      <x:c r="AA185" t="str">
        <x:f>IF($N185&lt;&gt;"Finalizado","Resultado pendiente",IF($H185="Sin envio","Sin respuesta",IF($Q185&lt;&gt;"Si","No acerto clasificado","OK")))</x:f>
        <x:v>OK</x:v>
      </x:c>
      <x:c r="AB185" t="str">
        <x:v>Google Forms cuartos + ESPN</x:v>
      </x:c>
      <x:c r="AC185" t="n">
        <x:v>3</x:v>
      </x:c>
      <x:c r="AD185" t="n">
        <x:f>$Z185-$AC185</x:f>
        <x:v>0</x:v>
      </x:c>
    </x:row>
    <x:row r="186" ht="15" hidden="0" customHeight="1">
      <x:c r="A186" t="str">
        <x:v>4tos</x:v>
      </x:c>
      <x:c r="B186" t="str">
        <x:v>QF1</x:v>
      </x:c>
      <x:c r="C186" t="str">
        <x:v>Gino</x:v>
      </x:c>
      <x:c r="D186" t="str">
        <x:v>Francia</x:v>
      </x:c>
      <x:c r="E186" t="str">
        <x:v>Marruecos</x:v>
      </x:c>
      <x:c r="F186" t="n">
        <x:v>2</x:v>
      </x:c>
      <x:c r="G186" t="n">
        <x:v>1</x:v>
      </x:c>
      <x:c r="H186" t="str">
        <x:v>Francia</x:v>
      </x:c>
      <x:c r="I186" t="str">
        <x:v>90 minutos</x:v>
      </x:c>
      <x:c r="J186" t="n">
        <x:v>2</x:v>
      </x:c>
      <x:c r="K186" t="n">
        <x:v>0</x:v>
      </x:c>
      <x:c r="L186" t="str">
        <x:v>Francia</x:v>
      </x:c>
      <x:c r="M186" t="str">
        <x:v>90 minutos</x:v>
      </x:c>
      <x:c r="N186" t="str">
        <x:v>Finalizado</x:v>
      </x:c>
      <x:c r="O186" t="str">
        <x:f>IF($H186="Sin envio","Sin envio",IF($I186="90 minutos",IF($F186&gt;$G186,"A",IF($G186&gt;$F186,"B","E")),"E"))</x:f>
        <x:v>A</x:v>
      </x:c>
      <x:c r="P186" t="str">
        <x:f>IF($M186="90 minutos",IF($J186&gt;$K186,"A",IF($K186&gt;$J186,"B","E")),"E")</x:f>
        <x:v>A</x:v>
      </x:c>
      <x:c r="Q186" t="str">
        <x:f>IF($H186="Sin envio","No",IF($H186=$L186,"Si","No"))</x:f>
        <x:v>Si</x:v>
      </x:c>
      <x:c r="R186" t="str">
        <x:f>IF(AND($I186=$M186,NOT(AND($I186="Penales",$F186&lt;&gt;$G186))),"Si","No")</x:f>
        <x:v>Si</x:v>
      </x:c>
      <x:c r="S186" t="n">
        <x:f>IF(OR($N186&lt;&gt;"Finalizado",$Q186&lt;&gt;"Si"),0,IF($O186=$P186,Reglas!$B$2,0))</x:f>
        <x:v>5</x:v>
      </x:c>
      <x:c r="T186" t="n">
        <x:f>IF(OR($N186&lt;&gt;"Finalizado",$Q186&lt;&gt;"Si"),0,Reglas!$B$3)</x:f>
        <x:v>3</x:v>
      </x:c>
      <x:c r="U186" t="n">
        <x:f>IF(OR($N186&lt;&gt;"Finalizado",$Q186&lt;&gt;"Si"),0,IF($I186=$M186,Reglas!$B$4,0))</x:f>
        <x:v>2</x:v>
      </x:c>
      <x:c r="V186" t="n">
        <x:f>IF(OR($N186&lt;&gt;"Finalizado",$Q186&lt;&gt;"Si",$R186&lt;&gt;"Si"),0,IF(AND($F186=$J186,$G186=$K186),Reglas!$B$5,0))</x:f>
        <x:v>0</x:v>
      </x:c>
      <x:c r="W186" t="n">
        <x:f>IF(OR($N186&lt;&gt;"Finalizado",$Q186&lt;&gt;"Si",$R186&lt;&gt;"Si"),0,IF($F186-$G186=$J186-$K186,Reglas!$B$6,0))</x:f>
        <x:v>0</x:v>
      </x:c>
      <x:c r="X186" t="n">
        <x:f>IF(OR($N186&lt;&gt;"Finalizado",$Q186&lt;&gt;"Si",$R186&lt;&gt;"Si"),0,IF($F186=$J186,Reglas!$B$7,0))</x:f>
        <x:v>1</x:v>
      </x:c>
      <x:c r="Y186" t="n">
        <x:f>IF(OR($N186&lt;&gt;"Finalizado",$Q186&lt;&gt;"Si",$R186&lt;&gt;"Si"),0,IF($G186=$K186,Reglas!$B$8,0))</x:f>
        <x:v>0</x:v>
      </x:c>
      <x:c r="Z186" t="n">
        <x:f>SUM($S186:$Y186)</x:f>
        <x:v>11</x:v>
      </x:c>
      <x:c r="AA186" t="str">
        <x:f>IF($N186&lt;&gt;"Finalizado","Resultado pendiente",IF($H186="Sin envio","Sin respuesta",IF($Q186&lt;&gt;"Si","No acerto clasificado","OK")))</x:f>
        <x:v>OK</x:v>
      </x:c>
      <x:c r="AB186" t="str">
        <x:v>Google Forms cuartos + ESPN</x:v>
      </x:c>
      <x:c r="AC186" t="n">
        <x:v>11</x:v>
      </x:c>
      <x:c r="AD186" t="n">
        <x:f>$Z186-$AC186</x:f>
        <x:v>0</x:v>
      </x:c>
    </x:row>
    <x:row r="187" ht="15" hidden="0" customHeight="1">
      <x:c r="A187" t="str">
        <x:v>4tos</x:v>
      </x:c>
      <x:c r="B187" t="str">
        <x:v>QF1</x:v>
      </x:c>
      <x:c r="C187" t="str">
        <x:v>Manuel</x:v>
      </x:c>
      <x:c r="D187" t="str">
        <x:v>Francia</x:v>
      </x:c>
      <x:c r="E187" t="str">
        <x:v>Marruecos</x:v>
      </x:c>
      <x:c r="F187" t="n">
        <x:v>2</x:v>
      </x:c>
      <x:c r="G187" t="n">
        <x:v>0</x:v>
      </x:c>
      <x:c r="H187" t="str">
        <x:v>Francia</x:v>
      </x:c>
      <x:c r="I187" t="str">
        <x:v>90 minutos</x:v>
      </x:c>
      <x:c r="J187" t="n">
        <x:v>2</x:v>
      </x:c>
      <x:c r="K187" t="n">
        <x:v>0</x:v>
      </x:c>
      <x:c r="L187" t="str">
        <x:v>Francia</x:v>
      </x:c>
      <x:c r="M187" t="str">
        <x:v>90 minutos</x:v>
      </x:c>
      <x:c r="N187" t="str">
        <x:v>Finalizado</x:v>
      </x:c>
      <x:c r="O187" t="str">
        <x:f>IF($H187="Sin envio","Sin envio",IF($I187="90 minutos",IF($F187&gt;$G187,"A",IF($G187&gt;$F187,"B","E")),"E"))</x:f>
        <x:v>A</x:v>
      </x:c>
      <x:c r="P187" t="str">
        <x:f>IF($M187="90 minutos",IF($J187&gt;$K187,"A",IF($K187&gt;$J187,"B","E")),"E")</x:f>
        <x:v>A</x:v>
      </x:c>
      <x:c r="Q187" t="str">
        <x:f>IF($H187="Sin envio","No",IF($H187=$L187,"Si","No"))</x:f>
        <x:v>Si</x:v>
      </x:c>
      <x:c r="R187" t="str">
        <x:f>IF(AND($I187=$M187,NOT(AND($I187="Penales",$F187&lt;&gt;$G187))),"Si","No")</x:f>
        <x:v>Si</x:v>
      </x:c>
      <x:c r="S187" t="n">
        <x:f>IF(OR($N187&lt;&gt;"Finalizado",$Q187&lt;&gt;"Si"),0,IF($O187=$P187,Reglas!$B$2,0))</x:f>
        <x:v>5</x:v>
      </x:c>
      <x:c r="T187" t="n">
        <x:f>IF(OR($N187&lt;&gt;"Finalizado",$Q187&lt;&gt;"Si"),0,Reglas!$B$3)</x:f>
        <x:v>3</x:v>
      </x:c>
      <x:c r="U187" t="n">
        <x:f>IF(OR($N187&lt;&gt;"Finalizado",$Q187&lt;&gt;"Si"),0,IF($I187=$M187,Reglas!$B$4,0))</x:f>
        <x:v>2</x:v>
      </x:c>
      <x:c r="V187" t="n">
        <x:f>IF(OR($N187&lt;&gt;"Finalizado",$Q187&lt;&gt;"Si",$R187&lt;&gt;"Si"),0,IF(AND($F187=$J187,$G187=$K187),Reglas!$B$5,0))</x:f>
        <x:v>4</x:v>
      </x:c>
      <x:c r="W187" t="n">
        <x:f>IF(OR($N187&lt;&gt;"Finalizado",$Q187&lt;&gt;"Si",$R187&lt;&gt;"Si"),0,IF($F187-$G187=$J187-$K187,Reglas!$B$6,0))</x:f>
        <x:v>2</x:v>
      </x:c>
      <x:c r="X187" t="n">
        <x:f>IF(OR($N187&lt;&gt;"Finalizado",$Q187&lt;&gt;"Si",$R187&lt;&gt;"Si"),0,IF($F187=$J187,Reglas!$B$7,0))</x:f>
        <x:v>1</x:v>
      </x:c>
      <x:c r="Y187" t="n">
        <x:f>IF(OR($N187&lt;&gt;"Finalizado",$Q187&lt;&gt;"Si",$R187&lt;&gt;"Si"),0,IF($G187=$K187,Reglas!$B$8,0))</x:f>
        <x:v>1</x:v>
      </x:c>
      <x:c r="Z187" t="n">
        <x:f>SUM($S187:$Y187)</x:f>
        <x:v>18</x:v>
      </x:c>
      <x:c r="AA187" t="str">
        <x:f>IF($N187&lt;&gt;"Finalizado","Resultado pendiente",IF($H187="Sin envio","Sin respuesta",IF($Q187&lt;&gt;"Si","No acerto clasificado","OK")))</x:f>
        <x:v>OK</x:v>
      </x:c>
      <x:c r="AB187" t="str">
        <x:v>Google Forms cuartos + ESPN</x:v>
      </x:c>
      <x:c r="AC187" t="n">
        <x:v>18</x:v>
      </x:c>
      <x:c r="AD187" t="n">
        <x:f>$Z187-$AC187</x:f>
        <x:v>0</x:v>
      </x:c>
    </x:row>
    <x:row r="188" ht="15" hidden="0" customHeight="1">
      <x:c r="A188" t="str">
        <x:v>4tos</x:v>
      </x:c>
      <x:c r="B188" t="str">
        <x:v>QF1</x:v>
      </x:c>
      <x:c r="C188" t="str">
        <x:v>Jorge</x:v>
      </x:c>
      <x:c r="D188" t="str">
        <x:v>Francia</x:v>
      </x:c>
      <x:c r="E188" t="str">
        <x:v>Marruecos</x:v>
      </x:c>
      <x:c r="F188" t="n">
        <x:v>3</x:v>
      </x:c>
      <x:c r="G188" t="n">
        <x:v>2</x:v>
      </x:c>
      <x:c r="H188" t="str">
        <x:v>Francia</x:v>
      </x:c>
      <x:c r="I188" t="str">
        <x:v>90 minutos</x:v>
      </x:c>
      <x:c r="J188" t="n">
        <x:v>2</x:v>
      </x:c>
      <x:c r="K188" t="n">
        <x:v>0</x:v>
      </x:c>
      <x:c r="L188" t="str">
        <x:v>Francia</x:v>
      </x:c>
      <x:c r="M188" t="str">
        <x:v>90 minutos</x:v>
      </x:c>
      <x:c r="N188" t="str">
        <x:v>Finalizado</x:v>
      </x:c>
      <x:c r="O188" t="str">
        <x:f>IF($H188="Sin envio","Sin envio",IF($I188="90 minutos",IF($F188&gt;$G188,"A",IF($G188&gt;$F188,"B","E")),"E"))</x:f>
        <x:v>A</x:v>
      </x:c>
      <x:c r="P188" t="str">
        <x:f>IF($M188="90 minutos",IF($J188&gt;$K188,"A",IF($K188&gt;$J188,"B","E")),"E")</x:f>
        <x:v>A</x:v>
      </x:c>
      <x:c r="Q188" t="str">
        <x:f>IF($H188="Sin envio","No",IF($H188=$L188,"Si","No"))</x:f>
        <x:v>Si</x:v>
      </x:c>
      <x:c r="R188" t="str">
        <x:f>IF(AND($I188=$M188,NOT(AND($I188="Penales",$F188&lt;&gt;$G188))),"Si","No")</x:f>
        <x:v>Si</x:v>
      </x:c>
      <x:c r="S188" t="n">
        <x:f>IF(OR($N188&lt;&gt;"Finalizado",$Q188&lt;&gt;"Si"),0,IF($O188=$P188,Reglas!$B$2,0))</x:f>
        <x:v>5</x:v>
      </x:c>
      <x:c r="T188" t="n">
        <x:f>IF(OR($N188&lt;&gt;"Finalizado",$Q188&lt;&gt;"Si"),0,Reglas!$B$3)</x:f>
        <x:v>3</x:v>
      </x:c>
      <x:c r="U188" t="n">
        <x:f>IF(OR($N188&lt;&gt;"Finalizado",$Q188&lt;&gt;"Si"),0,IF($I188=$M188,Reglas!$B$4,0))</x:f>
        <x:v>2</x:v>
      </x:c>
      <x:c r="V188" t="n">
        <x:f>IF(OR($N188&lt;&gt;"Finalizado",$Q188&lt;&gt;"Si",$R188&lt;&gt;"Si"),0,IF(AND($F188=$J188,$G188=$K188),Reglas!$B$5,0))</x:f>
        <x:v>0</x:v>
      </x:c>
      <x:c r="W188" t="n">
        <x:f>IF(OR($N188&lt;&gt;"Finalizado",$Q188&lt;&gt;"Si",$R188&lt;&gt;"Si"),0,IF($F188-$G188=$J188-$K188,Reglas!$B$6,0))</x:f>
        <x:v>0</x:v>
      </x:c>
      <x:c r="X188" t="n">
        <x:f>IF(OR($N188&lt;&gt;"Finalizado",$Q188&lt;&gt;"Si",$R188&lt;&gt;"Si"),0,IF($F188=$J188,Reglas!$B$7,0))</x:f>
        <x:v>0</x:v>
      </x:c>
      <x:c r="Y188" t="n">
        <x:f>IF(OR($N188&lt;&gt;"Finalizado",$Q188&lt;&gt;"Si",$R188&lt;&gt;"Si"),0,IF($G188=$K188,Reglas!$B$8,0))</x:f>
        <x:v>0</x:v>
      </x:c>
      <x:c r="Z188" t="n">
        <x:f>SUM($S188:$Y188)</x:f>
        <x:v>10</x:v>
      </x:c>
      <x:c r="AA188" t="str">
        <x:f>IF($N188&lt;&gt;"Finalizado","Resultado pendiente",IF($H188="Sin envio","Sin respuesta",IF($Q188&lt;&gt;"Si","No acerto clasificado","OK")))</x:f>
        <x:v>OK</x:v>
      </x:c>
      <x:c r="AB188" t="str">
        <x:v>Google Forms cuartos + ESPN</x:v>
      </x:c>
      <x:c r="AC188" t="n">
        <x:v>10</x:v>
      </x:c>
      <x:c r="AD188" t="n">
        <x:f>$Z188-$AC188</x:f>
        <x:v>0</x:v>
      </x:c>
    </x:row>
    <x:row r="189" ht="15" hidden="0" customHeight="1">
      <x:c r="A189" t="str">
        <x:v>4tos</x:v>
      </x:c>
      <x:c r="B189" t="str">
        <x:v>QF1</x:v>
      </x:c>
      <x:c r="C189" t="str">
        <x:v>Daniel</x:v>
      </x:c>
      <x:c r="D189" t="str">
        <x:v>Francia</x:v>
      </x:c>
      <x:c r="E189" t="str">
        <x:v>Marruecos</x:v>
      </x:c>
      <x:c r="F189" t="n">
        <x:v>3</x:v>
      </x:c>
      <x:c r="G189" t="n">
        <x:v>2</x:v>
      </x:c>
      <x:c r="H189" t="str">
        <x:v>Francia</x:v>
      </x:c>
      <x:c r="I189" t="str">
        <x:v>Suplementario</x:v>
      </x:c>
      <x:c r="J189" t="n">
        <x:v>2</x:v>
      </x:c>
      <x:c r="K189" t="n">
        <x:v>0</x:v>
      </x:c>
      <x:c r="L189" t="str">
        <x:v>Francia</x:v>
      </x:c>
      <x:c r="M189" t="str">
        <x:v>90 minutos</x:v>
      </x:c>
      <x:c r="N189" t="str">
        <x:v>Finalizado</x:v>
      </x:c>
      <x:c r="O189" t="str">
        <x:f>IF($H189="Sin envio","Sin envio",IF($I189="90 minutos",IF($F189&gt;$G189,"A",IF($G189&gt;$F189,"B","E")),"E"))</x:f>
        <x:v>E</x:v>
      </x:c>
      <x:c r="P189" t="str">
        <x:f>IF($M189="90 minutos",IF($J189&gt;$K189,"A",IF($K189&gt;$J189,"B","E")),"E")</x:f>
        <x:v>A</x:v>
      </x:c>
      <x:c r="Q189" t="str">
        <x:f>IF($H189="Sin envio","No",IF($H189=$L189,"Si","No"))</x:f>
        <x:v>Si</x:v>
      </x:c>
      <x:c r="R189" t="str">
        <x:f>IF(AND($I189=$M189,NOT(AND($I189="Penales",$F189&lt;&gt;$G189))),"Si","No")</x:f>
        <x:v>No</x:v>
      </x:c>
      <x:c r="S189" t="n">
        <x:f>IF(OR($N189&lt;&gt;"Finalizado",$Q189&lt;&gt;"Si"),0,IF($O189=$P189,Reglas!$B$2,0))</x:f>
        <x:v>0</x:v>
      </x:c>
      <x:c r="T189" t="n">
        <x:f>IF(OR($N189&lt;&gt;"Finalizado",$Q189&lt;&gt;"Si"),0,Reglas!$B$3)</x:f>
        <x:v>3</x:v>
      </x:c>
      <x:c r="U189" t="n">
        <x:f>IF(OR($N189&lt;&gt;"Finalizado",$Q189&lt;&gt;"Si"),0,IF($I189=$M189,Reglas!$B$4,0))</x:f>
        <x:v>0</x:v>
      </x:c>
      <x:c r="V189" t="n">
        <x:f>IF(OR($N189&lt;&gt;"Finalizado",$Q189&lt;&gt;"Si",$R189&lt;&gt;"Si"),0,IF(AND($F189=$J189,$G189=$K189),Reglas!$B$5,0))</x:f>
        <x:v>0</x:v>
      </x:c>
      <x:c r="W189" t="n">
        <x:f>IF(OR($N189&lt;&gt;"Finalizado",$Q189&lt;&gt;"Si",$R189&lt;&gt;"Si"),0,IF($F189-$G189=$J189-$K189,Reglas!$B$6,0))</x:f>
        <x:v>0</x:v>
      </x:c>
      <x:c r="X189" t="n">
        <x:f>IF(OR($N189&lt;&gt;"Finalizado",$Q189&lt;&gt;"Si",$R189&lt;&gt;"Si"),0,IF($F189=$J189,Reglas!$B$7,0))</x:f>
        <x:v>0</x:v>
      </x:c>
      <x:c r="Y189" t="n">
        <x:f>IF(OR($N189&lt;&gt;"Finalizado",$Q189&lt;&gt;"Si",$R189&lt;&gt;"Si"),0,IF($G189=$K189,Reglas!$B$8,0))</x:f>
        <x:v>0</x:v>
      </x:c>
      <x:c r="Z189" t="n">
        <x:f>SUM($S189:$Y189)</x:f>
        <x:v>3</x:v>
      </x:c>
      <x:c r="AA189" t="str">
        <x:f>IF($N189&lt;&gt;"Finalizado","Resultado pendiente",IF($H189="Sin envio","Sin respuesta",IF($Q189&lt;&gt;"Si","No acerto clasificado","OK")))</x:f>
        <x:v>OK</x:v>
      </x:c>
      <x:c r="AB189" t="str">
        <x:v>Google Forms cuartos + ESPN</x:v>
      </x:c>
      <x:c r="AC189" t="n">
        <x:v>3</x:v>
      </x:c>
      <x:c r="AD189" t="n">
        <x:f>$Z189-$AC189</x:f>
        <x:v>0</x:v>
      </x:c>
    </x:row>
    <x:row r="190" ht="15" hidden="0" customHeight="1">
      <x:c r="A190" t="str">
        <x:v>4tos</x:v>
      </x:c>
      <x:c r="B190" t="str">
        <x:v>QF1</x:v>
      </x:c>
      <x:c r="C190" t="str">
        <x:v>Arthur</x:v>
      </x:c>
      <x:c r="D190" t="str">
        <x:v>Francia</x:v>
      </x:c>
      <x:c r="E190" t="str">
        <x:v>Marruecos</x:v>
      </x:c>
      <x:c r="F190" t="n">
        <x:v>2</x:v>
      </x:c>
      <x:c r="G190" t="n">
        <x:v>0</x:v>
      </x:c>
      <x:c r="H190" t="str">
        <x:v>Francia</x:v>
      </x:c>
      <x:c r="I190" t="str">
        <x:v>90 minutos</x:v>
      </x:c>
      <x:c r="J190" t="n">
        <x:v>2</x:v>
      </x:c>
      <x:c r="K190" t="n">
        <x:v>0</x:v>
      </x:c>
      <x:c r="L190" t="str">
        <x:v>Francia</x:v>
      </x:c>
      <x:c r="M190" t="str">
        <x:v>90 minutos</x:v>
      </x:c>
      <x:c r="N190" t="str">
        <x:v>Finalizado</x:v>
      </x:c>
      <x:c r="O190" t="str">
        <x:f>IF($H190="Sin envio","Sin envio",IF($I190="90 minutos",IF($F190&gt;$G190,"A",IF($G190&gt;$F190,"B","E")),"E"))</x:f>
        <x:v>A</x:v>
      </x:c>
      <x:c r="P190" t="str">
        <x:f>IF($M190="90 minutos",IF($J190&gt;$K190,"A",IF($K190&gt;$J190,"B","E")),"E")</x:f>
        <x:v>A</x:v>
      </x:c>
      <x:c r="Q190" t="str">
        <x:f>IF($H190="Sin envio","No",IF($H190=$L190,"Si","No"))</x:f>
        <x:v>Si</x:v>
      </x:c>
      <x:c r="R190" t="str">
        <x:f>IF(AND($I190=$M190,NOT(AND($I190="Penales",$F190&lt;&gt;$G190))),"Si","No")</x:f>
        <x:v>Si</x:v>
      </x:c>
      <x:c r="S190" t="n">
        <x:f>IF(OR($N190&lt;&gt;"Finalizado",$Q190&lt;&gt;"Si"),0,IF($O190=$P190,Reglas!$B$2,0))</x:f>
        <x:v>5</x:v>
      </x:c>
      <x:c r="T190" t="n">
        <x:f>IF(OR($N190&lt;&gt;"Finalizado",$Q190&lt;&gt;"Si"),0,Reglas!$B$3)</x:f>
        <x:v>3</x:v>
      </x:c>
      <x:c r="U190" t="n">
        <x:f>IF(OR($N190&lt;&gt;"Finalizado",$Q190&lt;&gt;"Si"),0,IF($I190=$M190,Reglas!$B$4,0))</x:f>
        <x:v>2</x:v>
      </x:c>
      <x:c r="V190" t="n">
        <x:f>IF(OR($N190&lt;&gt;"Finalizado",$Q190&lt;&gt;"Si",$R190&lt;&gt;"Si"),0,IF(AND($F190=$J190,$G190=$K190),Reglas!$B$5,0))</x:f>
        <x:v>4</x:v>
      </x:c>
      <x:c r="W190" t="n">
        <x:f>IF(OR($N190&lt;&gt;"Finalizado",$Q190&lt;&gt;"Si",$R190&lt;&gt;"Si"),0,IF($F190-$G190=$J190-$K190,Reglas!$B$6,0))</x:f>
        <x:v>2</x:v>
      </x:c>
      <x:c r="X190" t="n">
        <x:f>IF(OR($N190&lt;&gt;"Finalizado",$Q190&lt;&gt;"Si",$R190&lt;&gt;"Si"),0,IF($F190=$J190,Reglas!$B$7,0))</x:f>
        <x:v>1</x:v>
      </x:c>
      <x:c r="Y190" t="n">
        <x:f>IF(OR($N190&lt;&gt;"Finalizado",$Q190&lt;&gt;"Si",$R190&lt;&gt;"Si"),0,IF($G190=$K190,Reglas!$B$8,0))</x:f>
        <x:v>1</x:v>
      </x:c>
      <x:c r="Z190" t="n">
        <x:f>SUM($S190:$Y190)</x:f>
        <x:v>18</x:v>
      </x:c>
      <x:c r="AA190" t="str">
        <x:f>IF($N190&lt;&gt;"Finalizado","Resultado pendiente",IF($H190="Sin envio","Sin respuesta",IF($Q190&lt;&gt;"Si","No acerto clasificado","OK")))</x:f>
        <x:v>OK</x:v>
      </x:c>
      <x:c r="AB190" t="str">
        <x:v>Google Forms cuartos + ESPN</x:v>
      </x:c>
      <x:c r="AC190" t="n">
        <x:v>18</x:v>
      </x:c>
      <x:c r="AD190" t="n">
        <x:f>$Z190-$AC190</x:f>
        <x:v>0</x:v>
      </x:c>
    </x:row>
    <x:row r="191" ht="15" hidden="0" customHeight="1">
      <x:c r="A191" t="str">
        <x:v>4tos</x:v>
      </x:c>
      <x:c r="B191" t="str">
        <x:v>QF1</x:v>
      </x:c>
      <x:c r="C191" t="str">
        <x:v>José Luis</x:v>
      </x:c>
      <x:c r="D191" t="str">
        <x:v>Francia</x:v>
      </x:c>
      <x:c r="E191" t="str">
        <x:v>Marruecos</x:v>
      </x:c>
      <x:c r="F191"/>
      <x:c r="G191"/>
      <x:c r="H191" t="str">
        <x:v>Sin envio</x:v>
      </x:c>
      <x:c r="I191" t="str">
        <x:v>Sin envio</x:v>
      </x:c>
      <x:c r="J191" t="n">
        <x:v>2</x:v>
      </x:c>
      <x:c r="K191" t="n">
        <x:v>0</x:v>
      </x:c>
      <x:c r="L191" t="str">
        <x:v>Francia</x:v>
      </x:c>
      <x:c r="M191" t="str">
        <x:v>90 minutos</x:v>
      </x:c>
      <x:c r="N191" t="str">
        <x:v>Finalizado</x:v>
      </x:c>
      <x:c r="O191" t="str">
        <x:f>IF($H191="Sin envio","Sin envio",IF($I191="90 minutos",IF($F191&gt;$G191,"A",IF($G191&gt;$F191,"B","E")),"E"))</x:f>
        <x:v>Sin envio</x:v>
      </x:c>
      <x:c r="P191" t="str">
        <x:f>IF($M191="90 minutos",IF($J191&gt;$K191,"A",IF($K191&gt;$J191,"B","E")),"E")</x:f>
        <x:v>A</x:v>
      </x:c>
      <x:c r="Q191" t="str">
        <x:f>IF($H191="Sin envio","No",IF($H191=$L191,"Si","No"))</x:f>
        <x:v>No</x:v>
      </x:c>
      <x:c r="R191" t="str">
        <x:f>IF(AND($I191=$M191,NOT(AND($I191="Penales",$F191&lt;&gt;$G191))),"Si","No")</x:f>
        <x:v>No</x:v>
      </x:c>
      <x:c r="S191" t="n">
        <x:f>IF(OR($N191&lt;&gt;"Finalizado",$Q191&lt;&gt;"Si"),0,IF($O191=$P191,Reglas!$B$2,0))</x:f>
        <x:v>0</x:v>
      </x:c>
      <x:c r="T191" t="n">
        <x:f>IF(OR($N191&lt;&gt;"Finalizado",$Q191&lt;&gt;"Si"),0,Reglas!$B$3)</x:f>
        <x:v>0</x:v>
      </x:c>
      <x:c r="U191" t="n">
        <x:f>IF(OR($N191&lt;&gt;"Finalizado",$Q191&lt;&gt;"Si"),0,IF($I191=$M191,Reglas!$B$4,0))</x:f>
        <x:v>0</x:v>
      </x:c>
      <x:c r="V191" t="n">
        <x:f>IF(OR($N191&lt;&gt;"Finalizado",$Q191&lt;&gt;"Si",$R191&lt;&gt;"Si"),0,IF(AND($F191=$J191,$G191=$K191),Reglas!$B$5,0))</x:f>
        <x:v>0</x:v>
      </x:c>
      <x:c r="W191" t="n">
        <x:f>IF(OR($N191&lt;&gt;"Finalizado",$Q191&lt;&gt;"Si",$R191&lt;&gt;"Si"),0,IF($F191-$G191=$J191-$K191,Reglas!$B$6,0))</x:f>
        <x:v>0</x:v>
      </x:c>
      <x:c r="X191" t="n">
        <x:f>IF(OR($N191&lt;&gt;"Finalizado",$Q191&lt;&gt;"Si",$R191&lt;&gt;"Si"),0,IF($F191=$J191,Reglas!$B$7,0))</x:f>
        <x:v>0</x:v>
      </x:c>
      <x:c r="Y191" t="n">
        <x:f>IF(OR($N191&lt;&gt;"Finalizado",$Q191&lt;&gt;"Si",$R191&lt;&gt;"Si"),0,IF($G191=$K191,Reglas!$B$8,0))</x:f>
        <x:v>0</x:v>
      </x:c>
      <x:c r="Z191" t="n">
        <x:f>SUM($S191:$Y191)</x:f>
        <x:v>0</x:v>
      </x:c>
      <x:c r="AA191" t="str">
        <x:f>IF($N191&lt;&gt;"Finalizado","Resultado pendiente",IF($H191="Sin envio","Sin respuesta",IF($Q191&lt;&gt;"Si","No acerto clasificado","OK")))</x:f>
        <x:v>Sin respuesta</x:v>
      </x:c>
      <x:c r="AB191" t="str">
        <x:v>Google Forms cuartos + ESPN</x:v>
      </x:c>
      <x:c r="AC191" t="n">
        <x:v>0</x:v>
      </x:c>
      <x:c r="AD191" t="n">
        <x:f>$Z191-$AC191</x:f>
        <x:v>0</x:v>
      </x:c>
    </x:row>
    <x:row r="192" ht="15" hidden="0" customHeight="1">
      <x:c r="A192" t="str">
        <x:v>4tos</x:v>
      </x:c>
      <x:c r="B192" t="str">
        <x:v>QF1</x:v>
      </x:c>
      <x:c r="C192" t="str">
        <x:v>Marcelo</x:v>
      </x:c>
      <x:c r="D192" t="str">
        <x:v>Francia</x:v>
      </x:c>
      <x:c r="E192" t="str">
        <x:v>Marruecos</x:v>
      </x:c>
      <x:c r="F192"/>
      <x:c r="G192"/>
      <x:c r="H192" t="str">
        <x:v>Sin envio</x:v>
      </x:c>
      <x:c r="I192" t="str">
        <x:v>Sin envio</x:v>
      </x:c>
      <x:c r="J192" t="n">
        <x:v>2</x:v>
      </x:c>
      <x:c r="K192" t="n">
        <x:v>0</x:v>
      </x:c>
      <x:c r="L192" t="str">
        <x:v>Francia</x:v>
      </x:c>
      <x:c r="M192" t="str">
        <x:v>90 minutos</x:v>
      </x:c>
      <x:c r="N192" t="str">
        <x:v>Finalizado</x:v>
      </x:c>
      <x:c r="O192" t="str">
        <x:f>IF($H192="Sin envio","Sin envio",IF($I192="90 minutos",IF($F192&gt;$G192,"A",IF($G192&gt;$F192,"B","E")),"E"))</x:f>
        <x:v>Sin envio</x:v>
      </x:c>
      <x:c r="P192" t="str">
        <x:f>IF($M192="90 minutos",IF($J192&gt;$K192,"A",IF($K192&gt;$J192,"B","E")),"E")</x:f>
        <x:v>A</x:v>
      </x:c>
      <x:c r="Q192" t="str">
        <x:f>IF($H192="Sin envio","No",IF($H192=$L192,"Si","No"))</x:f>
        <x:v>No</x:v>
      </x:c>
      <x:c r="R192" t="str">
        <x:f>IF(AND($I192=$M192,NOT(AND($I192="Penales",$F192&lt;&gt;$G192))),"Si","No")</x:f>
        <x:v>No</x:v>
      </x:c>
      <x:c r="S192" t="n">
        <x:f>IF(OR($N192&lt;&gt;"Finalizado",$Q192&lt;&gt;"Si"),0,IF($O192=$P192,Reglas!$B$2,0))</x:f>
        <x:v>0</x:v>
      </x:c>
      <x:c r="T192" t="n">
        <x:f>IF(OR($N192&lt;&gt;"Finalizado",$Q192&lt;&gt;"Si"),0,Reglas!$B$3)</x:f>
        <x:v>0</x:v>
      </x:c>
      <x:c r="U192" t="n">
        <x:f>IF(OR($N192&lt;&gt;"Finalizado",$Q192&lt;&gt;"Si"),0,IF($I192=$M192,Reglas!$B$4,0))</x:f>
        <x:v>0</x:v>
      </x:c>
      <x:c r="V192" t="n">
        <x:f>IF(OR($N192&lt;&gt;"Finalizado",$Q192&lt;&gt;"Si",$R192&lt;&gt;"Si"),0,IF(AND($F192=$J192,$G192=$K192),Reglas!$B$5,0))</x:f>
        <x:v>0</x:v>
      </x:c>
      <x:c r="W192" t="n">
        <x:f>IF(OR($N192&lt;&gt;"Finalizado",$Q192&lt;&gt;"Si",$R192&lt;&gt;"Si"),0,IF($F192-$G192=$J192-$K192,Reglas!$B$6,0))</x:f>
        <x:v>0</x:v>
      </x:c>
      <x:c r="X192" t="n">
        <x:f>IF(OR($N192&lt;&gt;"Finalizado",$Q192&lt;&gt;"Si",$R192&lt;&gt;"Si"),0,IF($F192=$J192,Reglas!$B$7,0))</x:f>
        <x:v>0</x:v>
      </x:c>
      <x:c r="Y192" t="n">
        <x:f>IF(OR($N192&lt;&gt;"Finalizado",$Q192&lt;&gt;"Si",$R192&lt;&gt;"Si"),0,IF($G192=$K192,Reglas!$B$8,0))</x:f>
        <x:v>0</x:v>
      </x:c>
      <x:c r="Z192" t="n">
        <x:f>SUM($S192:$Y192)</x:f>
        <x:v>0</x:v>
      </x:c>
      <x:c r="AA192" t="str">
        <x:f>IF($N192&lt;&gt;"Finalizado","Resultado pendiente",IF($H192="Sin envio","Sin respuesta",IF($Q192&lt;&gt;"Si","No acerto clasificado","OK")))</x:f>
        <x:v>Sin respuesta</x:v>
      </x:c>
      <x:c r="AB192" t="str">
        <x:v>Google Forms cuartos + ESPN</x:v>
      </x:c>
      <x:c r="AC192" t="n">
        <x:v>0</x:v>
      </x:c>
      <x:c r="AD192" t="n">
        <x:f>$Z192-$AC192</x:f>
        <x:v>0</x:v>
      </x:c>
    </x:row>
    <x:row r="193" ht="15" hidden="0" customHeight="1">
      <x:c r="A193" t="str">
        <x:v>4tos</x:v>
      </x:c>
      <x:c r="B193" t="str">
        <x:v>QF1</x:v>
      </x:c>
      <x:c r="C193" t="str">
        <x:v>Anny</x:v>
      </x:c>
      <x:c r="D193" t="str">
        <x:v>Francia</x:v>
      </x:c>
      <x:c r="E193" t="str">
        <x:v>Marruecos</x:v>
      </x:c>
      <x:c r="F193" t="n">
        <x:v>2</x:v>
      </x:c>
      <x:c r="G193" t="n">
        <x:v>1</x:v>
      </x:c>
      <x:c r="H193" t="str">
        <x:v>Francia</x:v>
      </x:c>
      <x:c r="I193" t="str">
        <x:v>90 minutos</x:v>
      </x:c>
      <x:c r="J193" t="n">
        <x:v>2</x:v>
      </x:c>
      <x:c r="K193" t="n">
        <x:v>0</x:v>
      </x:c>
      <x:c r="L193" t="str">
        <x:v>Francia</x:v>
      </x:c>
      <x:c r="M193" t="str">
        <x:v>90 minutos</x:v>
      </x:c>
      <x:c r="N193" t="str">
        <x:v>Finalizado</x:v>
      </x:c>
      <x:c r="O193" t="str">
        <x:f>IF($H193="Sin envio","Sin envio",IF($I193="90 minutos",IF($F193&gt;$G193,"A",IF($G193&gt;$F193,"B","E")),"E"))</x:f>
        <x:v>A</x:v>
      </x:c>
      <x:c r="P193" t="str">
        <x:f>IF($M193="90 minutos",IF($J193&gt;$K193,"A",IF($K193&gt;$J193,"B","E")),"E")</x:f>
        <x:v>A</x:v>
      </x:c>
      <x:c r="Q193" t="str">
        <x:f>IF($H193="Sin envio","No",IF($H193=$L193,"Si","No"))</x:f>
        <x:v>Si</x:v>
      </x:c>
      <x:c r="R193" t="str">
        <x:f>IF(AND($I193=$M193,NOT(AND($I193="Penales",$F193&lt;&gt;$G193))),"Si","No")</x:f>
        <x:v>Si</x:v>
      </x:c>
      <x:c r="S193" t="n">
        <x:f>IF(OR($N193&lt;&gt;"Finalizado",$Q193&lt;&gt;"Si"),0,IF($O193=$P193,Reglas!$B$2,0))</x:f>
        <x:v>5</x:v>
      </x:c>
      <x:c r="T193" t="n">
        <x:f>IF(OR($N193&lt;&gt;"Finalizado",$Q193&lt;&gt;"Si"),0,Reglas!$B$3)</x:f>
        <x:v>3</x:v>
      </x:c>
      <x:c r="U193" t="n">
        <x:f>IF(OR($N193&lt;&gt;"Finalizado",$Q193&lt;&gt;"Si"),0,IF($I193=$M193,Reglas!$B$4,0))</x:f>
        <x:v>2</x:v>
      </x:c>
      <x:c r="V193" t="n">
        <x:f>IF(OR($N193&lt;&gt;"Finalizado",$Q193&lt;&gt;"Si",$R193&lt;&gt;"Si"),0,IF(AND($F193=$J193,$G193=$K193),Reglas!$B$5,0))</x:f>
        <x:v>0</x:v>
      </x:c>
      <x:c r="W193" t="n">
        <x:f>IF(OR($N193&lt;&gt;"Finalizado",$Q193&lt;&gt;"Si",$R193&lt;&gt;"Si"),0,IF($F193-$G193=$J193-$K193,Reglas!$B$6,0))</x:f>
        <x:v>0</x:v>
      </x:c>
      <x:c r="X193" t="n">
        <x:f>IF(OR($N193&lt;&gt;"Finalizado",$Q193&lt;&gt;"Si",$R193&lt;&gt;"Si"),0,IF($F193=$J193,Reglas!$B$7,0))</x:f>
        <x:v>1</x:v>
      </x:c>
      <x:c r="Y193" t="n">
        <x:f>IF(OR($N193&lt;&gt;"Finalizado",$Q193&lt;&gt;"Si",$R193&lt;&gt;"Si"),0,IF($G193=$K193,Reglas!$B$8,0))</x:f>
        <x:v>0</x:v>
      </x:c>
      <x:c r="Z193" t="n">
        <x:f>SUM($S193:$Y193)</x:f>
        <x:v>11</x:v>
      </x:c>
      <x:c r="AA193" t="str">
        <x:f>IF($N193&lt;&gt;"Finalizado","Resultado pendiente",IF($H193="Sin envio","Sin respuesta",IF($Q193&lt;&gt;"Si","No acerto clasificado","OK")))</x:f>
        <x:v>OK</x:v>
      </x:c>
      <x:c r="AB193" t="str">
        <x:v>Google Forms cuartos + ESPN</x:v>
      </x:c>
      <x:c r="AC193" t="n">
        <x:v>11</x:v>
      </x:c>
      <x:c r="AD193" t="n">
        <x:f>$Z193-$AC193</x:f>
        <x:v>0</x:v>
      </x:c>
    </x:row>
    <x:row r="194" ht="15" hidden="0" customHeight="1">
      <x:c r="A194" t="str">
        <x:v>4tos</x:v>
      </x:c>
      <x:c r="B194" t="str">
        <x:v>QF1</x:v>
      </x:c>
      <x:c r="C194" t="str">
        <x:v>Moisés</x:v>
      </x:c>
      <x:c r="D194" t="str">
        <x:v>Francia</x:v>
      </x:c>
      <x:c r="E194" t="str">
        <x:v>Marruecos</x:v>
      </x:c>
      <x:c r="F194" t="n">
        <x:v>2</x:v>
      </x:c>
      <x:c r="G194" t="n">
        <x:v>1</x:v>
      </x:c>
      <x:c r="H194" t="str">
        <x:v>Francia</x:v>
      </x:c>
      <x:c r="I194" t="str">
        <x:v>90 minutos</x:v>
      </x:c>
      <x:c r="J194" t="n">
        <x:v>2</x:v>
      </x:c>
      <x:c r="K194" t="n">
        <x:v>0</x:v>
      </x:c>
      <x:c r="L194" t="str">
        <x:v>Francia</x:v>
      </x:c>
      <x:c r="M194" t="str">
        <x:v>90 minutos</x:v>
      </x:c>
      <x:c r="N194" t="str">
        <x:v>Finalizado</x:v>
      </x:c>
      <x:c r="O194" t="str">
        <x:f>IF($H194="Sin envio","Sin envio",IF($I194="90 minutos",IF($F194&gt;$G194,"A",IF($G194&gt;$F194,"B","E")),"E"))</x:f>
        <x:v>A</x:v>
      </x:c>
      <x:c r="P194" t="str">
        <x:f>IF($M194="90 minutos",IF($J194&gt;$K194,"A",IF($K194&gt;$J194,"B","E")),"E")</x:f>
        <x:v>A</x:v>
      </x:c>
      <x:c r="Q194" t="str">
        <x:f>IF($H194="Sin envio","No",IF($H194=$L194,"Si","No"))</x:f>
        <x:v>Si</x:v>
      </x:c>
      <x:c r="R194" t="str">
        <x:f>IF(AND($I194=$M194,NOT(AND($I194="Penales",$F194&lt;&gt;$G194))),"Si","No")</x:f>
        <x:v>Si</x:v>
      </x:c>
      <x:c r="S194" t="n">
        <x:f>IF(OR($N194&lt;&gt;"Finalizado",$Q194&lt;&gt;"Si"),0,IF($O194=$P194,Reglas!$B$2,0))</x:f>
        <x:v>5</x:v>
      </x:c>
      <x:c r="T194" t="n">
        <x:f>IF(OR($N194&lt;&gt;"Finalizado",$Q194&lt;&gt;"Si"),0,Reglas!$B$3)</x:f>
        <x:v>3</x:v>
      </x:c>
      <x:c r="U194" t="n">
        <x:f>IF(OR($N194&lt;&gt;"Finalizado",$Q194&lt;&gt;"Si"),0,IF($I194=$M194,Reglas!$B$4,0))</x:f>
        <x:v>2</x:v>
      </x:c>
      <x:c r="V194" t="n">
        <x:f>IF(OR($N194&lt;&gt;"Finalizado",$Q194&lt;&gt;"Si",$R194&lt;&gt;"Si"),0,IF(AND($F194=$J194,$G194=$K194),Reglas!$B$5,0))</x:f>
        <x:v>0</x:v>
      </x:c>
      <x:c r="W194" t="n">
        <x:f>IF(OR($N194&lt;&gt;"Finalizado",$Q194&lt;&gt;"Si",$R194&lt;&gt;"Si"),0,IF($F194-$G194=$J194-$K194,Reglas!$B$6,0))</x:f>
        <x:v>0</x:v>
      </x:c>
      <x:c r="X194" t="n">
        <x:f>IF(OR($N194&lt;&gt;"Finalizado",$Q194&lt;&gt;"Si",$R194&lt;&gt;"Si"),0,IF($F194=$J194,Reglas!$B$7,0))</x:f>
        <x:v>1</x:v>
      </x:c>
      <x:c r="Y194" t="n">
        <x:f>IF(OR($N194&lt;&gt;"Finalizado",$Q194&lt;&gt;"Si",$R194&lt;&gt;"Si"),0,IF($G194=$K194,Reglas!$B$8,0))</x:f>
        <x:v>0</x:v>
      </x:c>
      <x:c r="Z194" t="n">
        <x:f>SUM($S194:$Y194)</x:f>
        <x:v>11</x:v>
      </x:c>
      <x:c r="AA194" t="str">
        <x:f>IF($N194&lt;&gt;"Finalizado","Resultado pendiente",IF($H194="Sin envio","Sin respuesta",IF($Q194&lt;&gt;"Si","No acerto clasificado","OK")))</x:f>
        <x:v>OK</x:v>
      </x:c>
      <x:c r="AB194" t="str">
        <x:v>Google Forms cuartos + ESPN</x:v>
      </x:c>
      <x:c r="AC194" t="n">
        <x:v>11</x:v>
      </x:c>
      <x:c r="AD194" t="n">
        <x:f>$Z194-$AC194</x:f>
        <x:v>0</x:v>
      </x:c>
    </x:row>
    <x:row r="195" ht="15" hidden="0" customHeight="1">
      <x:c r="A195" t="str">
        <x:v>4tos</x:v>
      </x:c>
      <x:c r="B195" t="str">
        <x:v>QF1</x:v>
      </x:c>
      <x:c r="C195" t="str">
        <x:v>Alex</x:v>
      </x:c>
      <x:c r="D195" t="str">
        <x:v>Francia</x:v>
      </x:c>
      <x:c r="E195" t="str">
        <x:v>Marruecos</x:v>
      </x:c>
      <x:c r="F195" t="n">
        <x:v>3</x:v>
      </x:c>
      <x:c r="G195" t="n">
        <x:v>1</x:v>
      </x:c>
      <x:c r="H195" t="str">
        <x:v>Francia</x:v>
      </x:c>
      <x:c r="I195" t="str">
        <x:v>90 minutos</x:v>
      </x:c>
      <x:c r="J195" t="n">
        <x:v>2</x:v>
      </x:c>
      <x:c r="K195" t="n">
        <x:v>0</x:v>
      </x:c>
      <x:c r="L195" t="str">
        <x:v>Francia</x:v>
      </x:c>
      <x:c r="M195" t="str">
        <x:v>90 minutos</x:v>
      </x:c>
      <x:c r="N195" t="str">
        <x:v>Finalizado</x:v>
      </x:c>
      <x:c r="O195" t="str">
        <x:f>IF($H195="Sin envio","Sin envio",IF($I195="90 minutos",IF($F195&gt;$G195,"A",IF($G195&gt;$F195,"B","E")),"E"))</x:f>
        <x:v>A</x:v>
      </x:c>
      <x:c r="P195" t="str">
        <x:f>IF($M195="90 minutos",IF($J195&gt;$K195,"A",IF($K195&gt;$J195,"B","E")),"E")</x:f>
        <x:v>A</x:v>
      </x:c>
      <x:c r="Q195" t="str">
        <x:f>IF($H195="Sin envio","No",IF($H195=$L195,"Si","No"))</x:f>
        <x:v>Si</x:v>
      </x:c>
      <x:c r="R195" t="str">
        <x:f>IF(AND($I195=$M195,NOT(AND($I195="Penales",$F195&lt;&gt;$G195))),"Si","No")</x:f>
        <x:v>Si</x:v>
      </x:c>
      <x:c r="S195" t="n">
        <x:f>IF(OR($N195&lt;&gt;"Finalizado",$Q195&lt;&gt;"Si"),0,IF($O195=$P195,Reglas!$B$2,0))</x:f>
        <x:v>5</x:v>
      </x:c>
      <x:c r="T195" t="n">
        <x:f>IF(OR($N195&lt;&gt;"Finalizado",$Q195&lt;&gt;"Si"),0,Reglas!$B$3)</x:f>
        <x:v>3</x:v>
      </x:c>
      <x:c r="U195" t="n">
        <x:f>IF(OR($N195&lt;&gt;"Finalizado",$Q195&lt;&gt;"Si"),0,IF($I195=$M195,Reglas!$B$4,0))</x:f>
        <x:v>2</x:v>
      </x:c>
      <x:c r="V195" t="n">
        <x:f>IF(OR($N195&lt;&gt;"Finalizado",$Q195&lt;&gt;"Si",$R195&lt;&gt;"Si"),0,IF(AND($F195=$J195,$G195=$K195),Reglas!$B$5,0))</x:f>
        <x:v>0</x:v>
      </x:c>
      <x:c r="W195" t="n">
        <x:f>IF(OR($N195&lt;&gt;"Finalizado",$Q195&lt;&gt;"Si",$R195&lt;&gt;"Si"),0,IF($F195-$G195=$J195-$K195,Reglas!$B$6,0))</x:f>
        <x:v>2</x:v>
      </x:c>
      <x:c r="X195" t="n">
        <x:f>IF(OR($N195&lt;&gt;"Finalizado",$Q195&lt;&gt;"Si",$R195&lt;&gt;"Si"),0,IF($F195=$J195,Reglas!$B$7,0))</x:f>
        <x:v>0</x:v>
      </x:c>
      <x:c r="Y195" t="n">
        <x:f>IF(OR($N195&lt;&gt;"Finalizado",$Q195&lt;&gt;"Si",$R195&lt;&gt;"Si"),0,IF($G195=$K195,Reglas!$B$8,0))</x:f>
        <x:v>0</x:v>
      </x:c>
      <x:c r="Z195" t="n">
        <x:f>SUM($S195:$Y195)</x:f>
        <x:v>12</x:v>
      </x:c>
      <x:c r="AA195" t="str">
        <x:f>IF($N195&lt;&gt;"Finalizado","Resultado pendiente",IF($H195="Sin envio","Sin respuesta",IF($Q195&lt;&gt;"Si","No acerto clasificado","OK")))</x:f>
        <x:v>OK</x:v>
      </x:c>
      <x:c r="AB195" t="str">
        <x:v>Google Forms cuartos + ESPN</x:v>
      </x:c>
      <x:c r="AC195" t="n">
        <x:v>12</x:v>
      </x:c>
      <x:c r="AD195" t="n">
        <x:f>$Z195-$AC195</x:f>
        <x:v>0</x:v>
      </x:c>
    </x:row>
    <x:row r="196" ht="15" hidden="0" customHeight="1">
      <x:c r="A196" t="str">
        <x:v>4tos</x:v>
      </x:c>
      <x:c r="B196" t="str">
        <x:v>QF1</x:v>
      </x:c>
      <x:c r="C196" t="str">
        <x:v>Omar</x:v>
      </x:c>
      <x:c r="D196" t="str">
        <x:v>Francia</x:v>
      </x:c>
      <x:c r="E196" t="str">
        <x:v>Marruecos</x:v>
      </x:c>
      <x:c r="F196"/>
      <x:c r="G196"/>
      <x:c r="H196" t="str">
        <x:v>Sin envio</x:v>
      </x:c>
      <x:c r="I196" t="str">
        <x:v>Sin envio</x:v>
      </x:c>
      <x:c r="J196" t="n">
        <x:v>2</x:v>
      </x:c>
      <x:c r="K196" t="n">
        <x:v>0</x:v>
      </x:c>
      <x:c r="L196" t="str">
        <x:v>Francia</x:v>
      </x:c>
      <x:c r="M196" t="str">
        <x:v>90 minutos</x:v>
      </x:c>
      <x:c r="N196" t="str">
        <x:v>Finalizado</x:v>
      </x:c>
      <x:c r="O196" t="str">
        <x:f>IF($H196="Sin envio","Sin envio",IF($I196="90 minutos",IF($F196&gt;$G196,"A",IF($G196&gt;$F196,"B","E")),"E"))</x:f>
        <x:v>Sin envio</x:v>
      </x:c>
      <x:c r="P196" t="str">
        <x:f>IF($M196="90 minutos",IF($J196&gt;$K196,"A",IF($K196&gt;$J196,"B","E")),"E")</x:f>
        <x:v>A</x:v>
      </x:c>
      <x:c r="Q196" t="str">
        <x:f>IF($H196="Sin envio","No",IF($H196=$L196,"Si","No"))</x:f>
        <x:v>No</x:v>
      </x:c>
      <x:c r="R196" t="str">
        <x:f>IF(AND($I196=$M196,NOT(AND($I196="Penales",$F196&lt;&gt;$G196))),"Si","No")</x:f>
        <x:v>No</x:v>
      </x:c>
      <x:c r="S196" t="n">
        <x:f>IF(OR($N196&lt;&gt;"Finalizado",$Q196&lt;&gt;"Si"),0,IF($O196=$P196,Reglas!$B$2,0))</x:f>
        <x:v>0</x:v>
      </x:c>
      <x:c r="T196" t="n">
        <x:f>IF(OR($N196&lt;&gt;"Finalizado",$Q196&lt;&gt;"Si"),0,Reglas!$B$3)</x:f>
        <x:v>0</x:v>
      </x:c>
      <x:c r="U196" t="n">
        <x:f>IF(OR($N196&lt;&gt;"Finalizado",$Q196&lt;&gt;"Si"),0,IF($I196=$M196,Reglas!$B$4,0))</x:f>
        <x:v>0</x:v>
      </x:c>
      <x:c r="V196" t="n">
        <x:f>IF(OR($N196&lt;&gt;"Finalizado",$Q196&lt;&gt;"Si",$R196&lt;&gt;"Si"),0,IF(AND($F196=$J196,$G196=$K196),Reglas!$B$5,0))</x:f>
        <x:v>0</x:v>
      </x:c>
      <x:c r="W196" t="n">
        <x:f>IF(OR($N196&lt;&gt;"Finalizado",$Q196&lt;&gt;"Si",$R196&lt;&gt;"Si"),0,IF($F196-$G196=$J196-$K196,Reglas!$B$6,0))</x:f>
        <x:v>0</x:v>
      </x:c>
      <x:c r="X196" t="n">
        <x:f>IF(OR($N196&lt;&gt;"Finalizado",$Q196&lt;&gt;"Si",$R196&lt;&gt;"Si"),0,IF($F196=$J196,Reglas!$B$7,0))</x:f>
        <x:v>0</x:v>
      </x:c>
      <x:c r="Y196" t="n">
        <x:f>IF(OR($N196&lt;&gt;"Finalizado",$Q196&lt;&gt;"Si",$R196&lt;&gt;"Si"),0,IF($G196=$K196,Reglas!$B$8,0))</x:f>
        <x:v>0</x:v>
      </x:c>
      <x:c r="Z196" t="n">
        <x:f>SUM($S196:$Y196)</x:f>
        <x:v>0</x:v>
      </x:c>
      <x:c r="AA196" t="str">
        <x:f>IF($N196&lt;&gt;"Finalizado","Resultado pendiente",IF($H196="Sin envio","Sin respuesta",IF($Q196&lt;&gt;"Si","No acerto clasificado","OK")))</x:f>
        <x:v>Sin respuesta</x:v>
      </x:c>
      <x:c r="AB196" t="str">
        <x:v>Google Forms cuartos + ESPN</x:v>
      </x:c>
      <x:c r="AC196" t="n">
        <x:v>0</x:v>
      </x:c>
      <x:c r="AD196" t="n">
        <x:f>$Z196-$AC196</x:f>
        <x:v>0</x:v>
      </x:c>
    </x:row>
    <x:row r="197" ht="15" hidden="0" customHeight="1">
      <x:c r="A197" t="str">
        <x:v>4tos</x:v>
      </x:c>
      <x:c r="B197" t="str">
        <x:v>QF1</x:v>
      </x:c>
      <x:c r="C197" t="str">
        <x:v>Fernando</x:v>
      </x:c>
      <x:c r="D197" t="str">
        <x:v>Francia</x:v>
      </x:c>
      <x:c r="E197" t="str">
        <x:v>Marruecos</x:v>
      </x:c>
      <x:c r="F197" t="n">
        <x:v>2</x:v>
      </x:c>
      <x:c r="G197" t="n">
        <x:v>1</x:v>
      </x:c>
      <x:c r="H197" t="str">
        <x:v>Francia</x:v>
      </x:c>
      <x:c r="I197" t="str">
        <x:v>90 minutos</x:v>
      </x:c>
      <x:c r="J197" t="n">
        <x:v>2</x:v>
      </x:c>
      <x:c r="K197" t="n">
        <x:v>0</x:v>
      </x:c>
      <x:c r="L197" t="str">
        <x:v>Francia</x:v>
      </x:c>
      <x:c r="M197" t="str">
        <x:v>90 minutos</x:v>
      </x:c>
      <x:c r="N197" t="str">
        <x:v>Finalizado</x:v>
      </x:c>
      <x:c r="O197" t="str">
        <x:f>IF($H197="Sin envio","Sin envio",IF($I197="90 minutos",IF($F197&gt;$G197,"A",IF($G197&gt;$F197,"B","E")),"E"))</x:f>
        <x:v>A</x:v>
      </x:c>
      <x:c r="P197" t="str">
        <x:f>IF($M197="90 minutos",IF($J197&gt;$K197,"A",IF($K197&gt;$J197,"B","E")),"E")</x:f>
        <x:v>A</x:v>
      </x:c>
      <x:c r="Q197" t="str">
        <x:f>IF($H197="Sin envio","No",IF($H197=$L197,"Si","No"))</x:f>
        <x:v>Si</x:v>
      </x:c>
      <x:c r="R197" t="str">
        <x:f>IF(AND($I197=$M197,NOT(AND($I197="Penales",$F197&lt;&gt;$G197))),"Si","No")</x:f>
        <x:v>Si</x:v>
      </x:c>
      <x:c r="S197" t="n">
        <x:f>IF(OR($N197&lt;&gt;"Finalizado",$Q197&lt;&gt;"Si"),0,IF($O197=$P197,Reglas!$B$2,0))</x:f>
        <x:v>5</x:v>
      </x:c>
      <x:c r="T197" t="n">
        <x:f>IF(OR($N197&lt;&gt;"Finalizado",$Q197&lt;&gt;"Si"),0,Reglas!$B$3)</x:f>
        <x:v>3</x:v>
      </x:c>
      <x:c r="U197" t="n">
        <x:f>IF(OR($N197&lt;&gt;"Finalizado",$Q197&lt;&gt;"Si"),0,IF($I197=$M197,Reglas!$B$4,0))</x:f>
        <x:v>2</x:v>
      </x:c>
      <x:c r="V197" t="n">
        <x:f>IF(OR($N197&lt;&gt;"Finalizado",$Q197&lt;&gt;"Si",$R197&lt;&gt;"Si"),0,IF(AND($F197=$J197,$G197=$K197),Reglas!$B$5,0))</x:f>
        <x:v>0</x:v>
      </x:c>
      <x:c r="W197" t="n">
        <x:f>IF(OR($N197&lt;&gt;"Finalizado",$Q197&lt;&gt;"Si",$R197&lt;&gt;"Si"),0,IF($F197-$G197=$J197-$K197,Reglas!$B$6,0))</x:f>
        <x:v>0</x:v>
      </x:c>
      <x:c r="X197" t="n">
        <x:f>IF(OR($N197&lt;&gt;"Finalizado",$Q197&lt;&gt;"Si",$R197&lt;&gt;"Si"),0,IF($F197=$J197,Reglas!$B$7,0))</x:f>
        <x:v>1</x:v>
      </x:c>
      <x:c r="Y197" t="n">
        <x:f>IF(OR($N197&lt;&gt;"Finalizado",$Q197&lt;&gt;"Si",$R197&lt;&gt;"Si"),0,IF($G197=$K197,Reglas!$B$8,0))</x:f>
        <x:v>0</x:v>
      </x:c>
      <x:c r="Z197" t="n">
        <x:f>SUM($S197:$Y197)</x:f>
        <x:v>11</x:v>
      </x:c>
      <x:c r="AA197" t="str">
        <x:f>IF($N197&lt;&gt;"Finalizado","Resultado pendiente",IF($H197="Sin envio","Sin respuesta",IF($Q197&lt;&gt;"Si","No acerto clasificado","OK")))</x:f>
        <x:v>OK</x:v>
      </x:c>
      <x:c r="AB197" t="str">
        <x:v>Google Forms cuartos + ESPN</x:v>
      </x:c>
      <x:c r="AC197" t="n">
        <x:v>11</x:v>
      </x:c>
      <x:c r="AD197" t="n">
        <x:f>$Z197-$AC197</x:f>
        <x:v>0</x:v>
      </x:c>
    </x:row>
    <x:row r="198" ht="15" hidden="0" customHeight="1">
      <x:c r="A198" t="str">
        <x:v>4tos</x:v>
      </x:c>
      <x:c r="B198" t="str">
        <x:v>QF1</x:v>
      </x:c>
      <x:c r="C198" t="str">
        <x:v>Diana</x:v>
      </x:c>
      <x:c r="D198" t="str">
        <x:v>Francia</x:v>
      </x:c>
      <x:c r="E198" t="str">
        <x:v>Marruecos</x:v>
      </x:c>
      <x:c r="F198"/>
      <x:c r="G198"/>
      <x:c r="H198" t="str">
        <x:v>Sin envio</x:v>
      </x:c>
      <x:c r="I198" t="str">
        <x:v>Sin envio</x:v>
      </x:c>
      <x:c r="J198" t="n">
        <x:v>2</x:v>
      </x:c>
      <x:c r="K198" t="n">
        <x:v>0</x:v>
      </x:c>
      <x:c r="L198" t="str">
        <x:v>Francia</x:v>
      </x:c>
      <x:c r="M198" t="str">
        <x:v>90 minutos</x:v>
      </x:c>
      <x:c r="N198" t="str">
        <x:v>Finalizado</x:v>
      </x:c>
      <x:c r="O198" t="str">
        <x:f>IF($H198="Sin envio","Sin envio",IF($I198="90 minutos",IF($F198&gt;$G198,"A",IF($G198&gt;$F198,"B","E")),"E"))</x:f>
        <x:v>Sin envio</x:v>
      </x:c>
      <x:c r="P198" t="str">
        <x:f>IF($M198="90 minutos",IF($J198&gt;$K198,"A",IF($K198&gt;$J198,"B","E")),"E")</x:f>
        <x:v>A</x:v>
      </x:c>
      <x:c r="Q198" t="str">
        <x:f>IF($H198="Sin envio","No",IF($H198=$L198,"Si","No"))</x:f>
        <x:v>No</x:v>
      </x:c>
      <x:c r="R198" t="str">
        <x:f>IF(AND($I198=$M198,NOT(AND($I198="Penales",$F198&lt;&gt;$G198))),"Si","No")</x:f>
        <x:v>No</x:v>
      </x:c>
      <x:c r="S198" t="n">
        <x:f>IF(OR($N198&lt;&gt;"Finalizado",$Q198&lt;&gt;"Si"),0,IF($O198=$P198,Reglas!$B$2,0))</x:f>
        <x:v>0</x:v>
      </x:c>
      <x:c r="T198" t="n">
        <x:f>IF(OR($N198&lt;&gt;"Finalizado",$Q198&lt;&gt;"Si"),0,Reglas!$B$3)</x:f>
        <x:v>0</x:v>
      </x:c>
      <x:c r="U198" t="n">
        <x:f>IF(OR($N198&lt;&gt;"Finalizado",$Q198&lt;&gt;"Si"),0,IF($I198=$M198,Reglas!$B$4,0))</x:f>
        <x:v>0</x:v>
      </x:c>
      <x:c r="V198" t="n">
        <x:f>IF(OR($N198&lt;&gt;"Finalizado",$Q198&lt;&gt;"Si",$R198&lt;&gt;"Si"),0,IF(AND($F198=$J198,$G198=$K198),Reglas!$B$5,0))</x:f>
        <x:v>0</x:v>
      </x:c>
      <x:c r="W198" t="n">
        <x:f>IF(OR($N198&lt;&gt;"Finalizado",$Q198&lt;&gt;"Si",$R198&lt;&gt;"Si"),0,IF($F198-$G198=$J198-$K198,Reglas!$B$6,0))</x:f>
        <x:v>0</x:v>
      </x:c>
      <x:c r="X198" t="n">
        <x:f>IF(OR($N198&lt;&gt;"Finalizado",$Q198&lt;&gt;"Si",$R198&lt;&gt;"Si"),0,IF($F198=$J198,Reglas!$B$7,0))</x:f>
        <x:v>0</x:v>
      </x:c>
      <x:c r="Y198" t="n">
        <x:f>IF(OR($N198&lt;&gt;"Finalizado",$Q198&lt;&gt;"Si",$R198&lt;&gt;"Si"),0,IF($G198=$K198,Reglas!$B$8,0))</x:f>
        <x:v>0</x:v>
      </x:c>
      <x:c r="Z198" t="n">
        <x:f>SUM($S198:$Y198)</x:f>
        <x:v>0</x:v>
      </x:c>
      <x:c r="AA198" t="str">
        <x:f>IF($N198&lt;&gt;"Finalizado","Resultado pendiente",IF($H198="Sin envio","Sin respuesta",IF($Q198&lt;&gt;"Si","No acerto clasificado","OK")))</x:f>
        <x:v>Sin respuesta</x:v>
      </x:c>
      <x:c r="AB198" t="str">
        <x:v>Google Forms cuartos + ESPN</x:v>
      </x:c>
      <x:c r="AC198" t="n">
        <x:v>0</x:v>
      </x:c>
      <x:c r="AD198" t="n">
        <x:f>$Z198-$AC198</x:f>
        <x:v>0</x:v>
      </x:c>
    </x:row>
    <x:row r="199" ht="15" hidden="0" customHeight="1">
      <x:c r="A199" t="str">
        <x:v>4tos</x:v>
      </x:c>
      <x:c r="B199" t="str">
        <x:v>QF1</x:v>
      </x:c>
      <x:c r="C199" t="str">
        <x:v>Óscar</x:v>
      </x:c>
      <x:c r="D199" t="str">
        <x:v>Francia</x:v>
      </x:c>
      <x:c r="E199" t="str">
        <x:v>Marruecos</x:v>
      </x:c>
      <x:c r="F199" t="n">
        <x:v>2</x:v>
      </x:c>
      <x:c r="G199" t="n">
        <x:v>1</x:v>
      </x:c>
      <x:c r="H199" t="str">
        <x:v>Francia</x:v>
      </x:c>
      <x:c r="I199" t="str">
        <x:v>Suplementario</x:v>
      </x:c>
      <x:c r="J199" t="n">
        <x:v>2</x:v>
      </x:c>
      <x:c r="K199" t="n">
        <x:v>0</x:v>
      </x:c>
      <x:c r="L199" t="str">
        <x:v>Francia</x:v>
      </x:c>
      <x:c r="M199" t="str">
        <x:v>90 minutos</x:v>
      </x:c>
      <x:c r="N199" t="str">
        <x:v>Finalizado</x:v>
      </x:c>
      <x:c r="O199" t="str">
        <x:f>IF($H199="Sin envio","Sin envio",IF($I199="90 minutos",IF($F199&gt;$G199,"A",IF($G199&gt;$F199,"B","E")),"E"))</x:f>
        <x:v>E</x:v>
      </x:c>
      <x:c r="P199" t="str">
        <x:f>IF($M199="90 minutos",IF($J199&gt;$K199,"A",IF($K199&gt;$J199,"B","E")),"E")</x:f>
        <x:v>A</x:v>
      </x:c>
      <x:c r="Q199" t="str">
        <x:f>IF($H199="Sin envio","No",IF($H199=$L199,"Si","No"))</x:f>
        <x:v>Si</x:v>
      </x:c>
      <x:c r="R199" t="str">
        <x:f>IF(AND($I199=$M199,NOT(AND($I199="Penales",$F199&lt;&gt;$G199))),"Si","No")</x:f>
        <x:v>No</x:v>
      </x:c>
      <x:c r="S199" t="n">
        <x:f>IF(OR($N199&lt;&gt;"Finalizado",$Q199&lt;&gt;"Si"),0,IF($O199=$P199,Reglas!$B$2,0))</x:f>
        <x:v>0</x:v>
      </x:c>
      <x:c r="T199" t="n">
        <x:f>IF(OR($N199&lt;&gt;"Finalizado",$Q199&lt;&gt;"Si"),0,Reglas!$B$3)</x:f>
        <x:v>3</x:v>
      </x:c>
      <x:c r="U199" t="n">
        <x:f>IF(OR($N199&lt;&gt;"Finalizado",$Q199&lt;&gt;"Si"),0,IF($I199=$M199,Reglas!$B$4,0))</x:f>
        <x:v>0</x:v>
      </x:c>
      <x:c r="V199" t="n">
        <x:f>IF(OR($N199&lt;&gt;"Finalizado",$Q199&lt;&gt;"Si",$R199&lt;&gt;"Si"),0,IF(AND($F199=$J199,$G199=$K199),Reglas!$B$5,0))</x:f>
        <x:v>0</x:v>
      </x:c>
      <x:c r="W199" t="n">
        <x:f>IF(OR($N199&lt;&gt;"Finalizado",$Q199&lt;&gt;"Si",$R199&lt;&gt;"Si"),0,IF($F199-$G199=$J199-$K199,Reglas!$B$6,0))</x:f>
        <x:v>0</x:v>
      </x:c>
      <x:c r="X199" t="n">
        <x:f>IF(OR($N199&lt;&gt;"Finalizado",$Q199&lt;&gt;"Si",$R199&lt;&gt;"Si"),0,IF($F199=$J199,Reglas!$B$7,0))</x:f>
        <x:v>0</x:v>
      </x:c>
      <x:c r="Y199" t="n">
        <x:f>IF(OR($N199&lt;&gt;"Finalizado",$Q199&lt;&gt;"Si",$R199&lt;&gt;"Si"),0,IF($G199=$K199,Reglas!$B$8,0))</x:f>
        <x:v>0</x:v>
      </x:c>
      <x:c r="Z199" t="n">
        <x:f>SUM($S199:$Y199)</x:f>
        <x:v>3</x:v>
      </x:c>
      <x:c r="AA199" t="str">
        <x:f>IF($N199&lt;&gt;"Finalizado","Resultado pendiente",IF($H199="Sin envio","Sin respuesta",IF($Q199&lt;&gt;"Si","No acerto clasificado","OK")))</x:f>
        <x:v>OK</x:v>
      </x:c>
      <x:c r="AB199" t="str">
        <x:v>Google Forms cuartos + ESPN</x:v>
      </x:c>
      <x:c r="AC199" t="n">
        <x:v>3</x:v>
      </x:c>
      <x:c r="AD199" t="n">
        <x:f>$Z199-$AC199</x:f>
        <x:v>0</x:v>
      </x:c>
    </x:row>
    <x:row r="200" ht="15" hidden="0" customHeight="1">
      <x:c r="A200" t="str">
        <x:v>4tos</x:v>
      </x:c>
      <x:c r="B200" t="str">
        <x:v>QF2</x:v>
      </x:c>
      <x:c r="C200" t="str">
        <x:v>Freddy</x:v>
      </x:c>
      <x:c r="D200" t="str">
        <x:v>Espana</x:v>
      </x:c>
      <x:c r="E200" t="str">
        <x:v>Belgica</x:v>
      </x:c>
      <x:c r="F200" t="n">
        <x:v>2</x:v>
      </x:c>
      <x:c r="G200" t="n">
        <x:v>1</x:v>
      </x:c>
      <x:c r="H200" t="str">
        <x:v>Espana</x:v>
      </x:c>
      <x:c r="I200" t="str">
        <x:v>90 minutos</x:v>
      </x:c>
      <x:c r="J200" t="n">
        <x:v>2</x:v>
      </x:c>
      <x:c r="K200" t="n">
        <x:v>1</x:v>
      </x:c>
      <x:c r="L200" t="str">
        <x:v>Espana</x:v>
      </x:c>
      <x:c r="M200" t="str">
        <x:v>90 minutos</x:v>
      </x:c>
      <x:c r="N200" t="str">
        <x:v>Finalizado</x:v>
      </x:c>
      <x:c r="O200" t="str">
        <x:f>IF($H200="Sin envio","Sin envio",IF($I200="90 minutos",IF($F200&gt;$G200,"A",IF($G200&gt;$F200,"B","E")),"E"))</x:f>
        <x:v>A</x:v>
      </x:c>
      <x:c r="P200" t="str">
        <x:f>IF($M200="90 minutos",IF($J200&gt;$K200,"A",IF($K200&gt;$J200,"B","E")),"E")</x:f>
        <x:v>A</x:v>
      </x:c>
      <x:c r="Q200" t="str">
        <x:f>IF($H200="Sin envio","No",IF($H200=$L200,"Si","No"))</x:f>
        <x:v>Si</x:v>
      </x:c>
      <x:c r="R200" t="str">
        <x:f>IF(AND($I200=$M200,NOT(AND($I200="Penales",$F200&lt;&gt;$G200))),"Si","No")</x:f>
        <x:v>Si</x:v>
      </x:c>
      <x:c r="S200" t="n">
        <x:f>IF(OR($N200&lt;&gt;"Finalizado",$Q200&lt;&gt;"Si"),0,IF($O200=$P200,Reglas!$B$2,0))</x:f>
        <x:v>5</x:v>
      </x:c>
      <x:c r="T200" t="n">
        <x:f>IF(OR($N200&lt;&gt;"Finalizado",$Q200&lt;&gt;"Si"),0,Reglas!$B$3)</x:f>
        <x:v>3</x:v>
      </x:c>
      <x:c r="U200" t="n">
        <x:f>IF(OR($N200&lt;&gt;"Finalizado",$Q200&lt;&gt;"Si"),0,IF($I200=$M200,Reglas!$B$4,0))</x:f>
        <x:v>2</x:v>
      </x:c>
      <x:c r="V200" t="n">
        <x:f>IF(OR($N200&lt;&gt;"Finalizado",$Q200&lt;&gt;"Si",$R200&lt;&gt;"Si"),0,IF(AND($F200=$J200,$G200=$K200),Reglas!$B$5,0))</x:f>
        <x:v>4</x:v>
      </x:c>
      <x:c r="W200" t="n">
        <x:f>IF(OR($N200&lt;&gt;"Finalizado",$Q200&lt;&gt;"Si",$R200&lt;&gt;"Si"),0,IF($F200-$G200=$J200-$K200,Reglas!$B$6,0))</x:f>
        <x:v>2</x:v>
      </x:c>
      <x:c r="X200" t="n">
        <x:f>IF(OR($N200&lt;&gt;"Finalizado",$Q200&lt;&gt;"Si",$R200&lt;&gt;"Si"),0,IF($F200=$J200,Reglas!$B$7,0))</x:f>
        <x:v>1</x:v>
      </x:c>
      <x:c r="Y200" t="n">
        <x:f>IF(OR($N200&lt;&gt;"Finalizado",$Q200&lt;&gt;"Si",$R200&lt;&gt;"Si"),0,IF($G200=$K200,Reglas!$B$8,0))</x:f>
        <x:v>1</x:v>
      </x:c>
      <x:c r="Z200" t="n">
        <x:f>SUM($S200:$Y200)</x:f>
        <x:v>18</x:v>
      </x:c>
      <x:c r="AA200" t="str">
        <x:f>IF($N200&lt;&gt;"Finalizado","Resultado pendiente",IF($H200="Sin envio","Sin respuesta",IF($Q200&lt;&gt;"Si","No acerto clasificado","OK")))</x:f>
        <x:v>OK</x:v>
      </x:c>
      <x:c r="AB200" t="str">
        <x:v>Google Forms cuartos + ESPN</x:v>
      </x:c>
      <x:c r="AC200" t="n">
        <x:v>18</x:v>
      </x:c>
      <x:c r="AD200" t="n">
        <x:f>$Z200-$AC200</x:f>
        <x:v>0</x:v>
      </x:c>
    </x:row>
    <x:row r="201" ht="15" hidden="0" customHeight="1">
      <x:c r="A201" t="str">
        <x:v>4tos</x:v>
      </x:c>
      <x:c r="B201" t="str">
        <x:v>QF2</x:v>
      </x:c>
      <x:c r="C201" t="str">
        <x:v>Gabriela</x:v>
      </x:c>
      <x:c r="D201" t="str">
        <x:v>Espana</x:v>
      </x:c>
      <x:c r="E201" t="str">
        <x:v>Belgica</x:v>
      </x:c>
      <x:c r="F201" t="n">
        <x:v>2</x:v>
      </x:c>
      <x:c r="G201" t="n">
        <x:v>0</x:v>
      </x:c>
      <x:c r="H201" t="str">
        <x:v>Espana</x:v>
      </x:c>
      <x:c r="I201" t="str">
        <x:v>90 minutos</x:v>
      </x:c>
      <x:c r="J201" t="n">
        <x:v>2</x:v>
      </x:c>
      <x:c r="K201" t="n">
        <x:v>1</x:v>
      </x:c>
      <x:c r="L201" t="str">
        <x:v>Espana</x:v>
      </x:c>
      <x:c r="M201" t="str">
        <x:v>90 minutos</x:v>
      </x:c>
      <x:c r="N201" t="str">
        <x:v>Finalizado</x:v>
      </x:c>
      <x:c r="O201" t="str">
        <x:f>IF($H201="Sin envio","Sin envio",IF($I201="90 minutos",IF($F201&gt;$G201,"A",IF($G201&gt;$F201,"B","E")),"E"))</x:f>
        <x:v>A</x:v>
      </x:c>
      <x:c r="P201" t="str">
        <x:f>IF($M201="90 minutos",IF($J201&gt;$K201,"A",IF($K201&gt;$J201,"B","E")),"E")</x:f>
        <x:v>A</x:v>
      </x:c>
      <x:c r="Q201" t="str">
        <x:f>IF($H201="Sin envio","No",IF($H201=$L201,"Si","No"))</x:f>
        <x:v>Si</x:v>
      </x:c>
      <x:c r="R201" t="str">
        <x:f>IF(AND($I201=$M201,NOT(AND($I201="Penales",$F201&lt;&gt;$G201))),"Si","No")</x:f>
        <x:v>Si</x:v>
      </x:c>
      <x:c r="S201" t="n">
        <x:f>IF(OR($N201&lt;&gt;"Finalizado",$Q201&lt;&gt;"Si"),0,IF($O201=$P201,Reglas!$B$2,0))</x:f>
        <x:v>5</x:v>
      </x:c>
      <x:c r="T201" t="n">
        <x:f>IF(OR($N201&lt;&gt;"Finalizado",$Q201&lt;&gt;"Si"),0,Reglas!$B$3)</x:f>
        <x:v>3</x:v>
      </x:c>
      <x:c r="U201" t="n">
        <x:f>IF(OR($N201&lt;&gt;"Finalizado",$Q201&lt;&gt;"Si"),0,IF($I201=$M201,Reglas!$B$4,0))</x:f>
        <x:v>2</x:v>
      </x:c>
      <x:c r="V201" t="n">
        <x:f>IF(OR($N201&lt;&gt;"Finalizado",$Q201&lt;&gt;"Si",$R201&lt;&gt;"Si"),0,IF(AND($F201=$J201,$G201=$K201),Reglas!$B$5,0))</x:f>
        <x:v>0</x:v>
      </x:c>
      <x:c r="W201" t="n">
        <x:f>IF(OR($N201&lt;&gt;"Finalizado",$Q201&lt;&gt;"Si",$R201&lt;&gt;"Si"),0,IF($F201-$G201=$J201-$K201,Reglas!$B$6,0))</x:f>
        <x:v>0</x:v>
      </x:c>
      <x:c r="X201" t="n">
        <x:f>IF(OR($N201&lt;&gt;"Finalizado",$Q201&lt;&gt;"Si",$R201&lt;&gt;"Si"),0,IF($F201=$J201,Reglas!$B$7,0))</x:f>
        <x:v>1</x:v>
      </x:c>
      <x:c r="Y201" t="n">
        <x:f>IF(OR($N201&lt;&gt;"Finalizado",$Q201&lt;&gt;"Si",$R201&lt;&gt;"Si"),0,IF($G201=$K201,Reglas!$B$8,0))</x:f>
        <x:v>0</x:v>
      </x:c>
      <x:c r="Z201" t="n">
        <x:f>SUM($S201:$Y201)</x:f>
        <x:v>11</x:v>
      </x:c>
      <x:c r="AA201" t="str">
        <x:f>IF($N201&lt;&gt;"Finalizado","Resultado pendiente",IF($H201="Sin envio","Sin respuesta",IF($Q201&lt;&gt;"Si","No acerto clasificado","OK")))</x:f>
        <x:v>OK</x:v>
      </x:c>
      <x:c r="AB201" t="str">
        <x:v>Google Forms cuartos + ESPN</x:v>
      </x:c>
      <x:c r="AC201" t="n">
        <x:v>11</x:v>
      </x:c>
      <x:c r="AD201" t="n">
        <x:f>$Z201-$AC201</x:f>
        <x:v>0</x:v>
      </x:c>
    </x:row>
    <x:row r="202" ht="15" hidden="0" customHeight="1">
      <x:c r="A202" t="str">
        <x:v>4tos</x:v>
      </x:c>
      <x:c r="B202" t="str">
        <x:v>QF2</x:v>
      </x:c>
      <x:c r="C202" t="str">
        <x:v>Jean</x:v>
      </x:c>
      <x:c r="D202" t="str">
        <x:v>Espana</x:v>
      </x:c>
      <x:c r="E202" t="str">
        <x:v>Belgica</x:v>
      </x:c>
      <x:c r="F202" t="n">
        <x:v>1</x:v>
      </x:c>
      <x:c r="G202" t="n">
        <x:v>0</x:v>
      </x:c>
      <x:c r="H202" t="str">
        <x:v>Espana</x:v>
      </x:c>
      <x:c r="I202" t="str">
        <x:v>90 minutos</x:v>
      </x:c>
      <x:c r="J202" t="n">
        <x:v>2</x:v>
      </x:c>
      <x:c r="K202" t="n">
        <x:v>1</x:v>
      </x:c>
      <x:c r="L202" t="str">
        <x:v>Espana</x:v>
      </x:c>
      <x:c r="M202" t="str">
        <x:v>90 minutos</x:v>
      </x:c>
      <x:c r="N202" t="str">
        <x:v>Finalizado</x:v>
      </x:c>
      <x:c r="O202" t="str">
        <x:f>IF($H202="Sin envio","Sin envio",IF($I202="90 minutos",IF($F202&gt;$G202,"A",IF($G202&gt;$F202,"B","E")),"E"))</x:f>
        <x:v>A</x:v>
      </x:c>
      <x:c r="P202" t="str">
        <x:f>IF($M202="90 minutos",IF($J202&gt;$K202,"A",IF($K202&gt;$J202,"B","E")),"E")</x:f>
        <x:v>A</x:v>
      </x:c>
      <x:c r="Q202" t="str">
        <x:f>IF($H202="Sin envio","No",IF($H202=$L202,"Si","No"))</x:f>
        <x:v>Si</x:v>
      </x:c>
      <x:c r="R202" t="str">
        <x:f>IF(AND($I202=$M202,NOT(AND($I202="Penales",$F202&lt;&gt;$G202))),"Si","No")</x:f>
        <x:v>Si</x:v>
      </x:c>
      <x:c r="S202" t="n">
        <x:f>IF(OR($N202&lt;&gt;"Finalizado",$Q202&lt;&gt;"Si"),0,IF($O202=$P202,Reglas!$B$2,0))</x:f>
        <x:v>5</x:v>
      </x:c>
      <x:c r="T202" t="n">
        <x:f>IF(OR($N202&lt;&gt;"Finalizado",$Q202&lt;&gt;"Si"),0,Reglas!$B$3)</x:f>
        <x:v>3</x:v>
      </x:c>
      <x:c r="U202" t="n">
        <x:f>IF(OR($N202&lt;&gt;"Finalizado",$Q202&lt;&gt;"Si"),0,IF($I202=$M202,Reglas!$B$4,0))</x:f>
        <x:v>2</x:v>
      </x:c>
      <x:c r="V202" t="n">
        <x:f>IF(OR($N202&lt;&gt;"Finalizado",$Q202&lt;&gt;"Si",$R202&lt;&gt;"Si"),0,IF(AND($F202=$J202,$G202=$K202),Reglas!$B$5,0))</x:f>
        <x:v>0</x:v>
      </x:c>
      <x:c r="W202" t="n">
        <x:f>IF(OR($N202&lt;&gt;"Finalizado",$Q202&lt;&gt;"Si",$R202&lt;&gt;"Si"),0,IF($F202-$G202=$J202-$K202,Reglas!$B$6,0))</x:f>
        <x:v>2</x:v>
      </x:c>
      <x:c r="X202" t="n">
        <x:f>IF(OR($N202&lt;&gt;"Finalizado",$Q202&lt;&gt;"Si",$R202&lt;&gt;"Si"),0,IF($F202=$J202,Reglas!$B$7,0))</x:f>
        <x:v>0</x:v>
      </x:c>
      <x:c r="Y202" t="n">
        <x:f>IF(OR($N202&lt;&gt;"Finalizado",$Q202&lt;&gt;"Si",$R202&lt;&gt;"Si"),0,IF($G202=$K202,Reglas!$B$8,0))</x:f>
        <x:v>0</x:v>
      </x:c>
      <x:c r="Z202" t="n">
        <x:f>SUM($S202:$Y202)</x:f>
        <x:v>12</x:v>
      </x:c>
      <x:c r="AA202" t="str">
        <x:f>IF($N202&lt;&gt;"Finalizado","Resultado pendiente",IF($H202="Sin envio","Sin respuesta",IF($Q202&lt;&gt;"Si","No acerto clasificado","OK")))</x:f>
        <x:v>OK</x:v>
      </x:c>
      <x:c r="AB202" t="str">
        <x:v>Google Forms cuartos + ESPN</x:v>
      </x:c>
      <x:c r="AC202" t="n">
        <x:v>12</x:v>
      </x:c>
      <x:c r="AD202" t="n">
        <x:f>$Z202-$AC202</x:f>
        <x:v>0</x:v>
      </x:c>
    </x:row>
    <x:row r="203" ht="15" hidden="0" customHeight="1">
      <x:c r="A203" t="str">
        <x:v>4tos</x:v>
      </x:c>
      <x:c r="B203" t="str">
        <x:v>QF2</x:v>
      </x:c>
      <x:c r="C203" t="str">
        <x:v>Juan</x:v>
      </x:c>
      <x:c r="D203" t="str">
        <x:v>Espana</x:v>
      </x:c>
      <x:c r="E203" t="str">
        <x:v>Belgica</x:v>
      </x:c>
      <x:c r="F203"/>
      <x:c r="G203"/>
      <x:c r="H203" t="str">
        <x:v>Sin envio</x:v>
      </x:c>
      <x:c r="I203" t="str">
        <x:v>Sin envio</x:v>
      </x:c>
      <x:c r="J203" t="n">
        <x:v>2</x:v>
      </x:c>
      <x:c r="K203" t="n">
        <x:v>1</x:v>
      </x:c>
      <x:c r="L203" t="str">
        <x:v>Espana</x:v>
      </x:c>
      <x:c r="M203" t="str">
        <x:v>90 minutos</x:v>
      </x:c>
      <x:c r="N203" t="str">
        <x:v>Finalizado</x:v>
      </x:c>
      <x:c r="O203" t="str">
        <x:f>IF($H203="Sin envio","Sin envio",IF($I203="90 minutos",IF($F203&gt;$G203,"A",IF($G203&gt;$F203,"B","E")),"E"))</x:f>
        <x:v>Sin envio</x:v>
      </x:c>
      <x:c r="P203" t="str">
        <x:f>IF($M203="90 minutos",IF($J203&gt;$K203,"A",IF($K203&gt;$J203,"B","E")),"E")</x:f>
        <x:v>A</x:v>
      </x:c>
      <x:c r="Q203" t="str">
        <x:f>IF($H203="Sin envio","No",IF($H203=$L203,"Si","No"))</x:f>
        <x:v>No</x:v>
      </x:c>
      <x:c r="R203" t="str">
        <x:f>IF(AND($I203=$M203,NOT(AND($I203="Penales",$F203&lt;&gt;$G203))),"Si","No")</x:f>
        <x:v>No</x:v>
      </x:c>
      <x:c r="S203" t="n">
        <x:f>IF(OR($N203&lt;&gt;"Finalizado",$Q203&lt;&gt;"Si"),0,IF($O203=$P203,Reglas!$B$2,0))</x:f>
        <x:v>0</x:v>
      </x:c>
      <x:c r="T203" t="n">
        <x:f>IF(OR($N203&lt;&gt;"Finalizado",$Q203&lt;&gt;"Si"),0,Reglas!$B$3)</x:f>
        <x:v>0</x:v>
      </x:c>
      <x:c r="U203" t="n">
        <x:f>IF(OR($N203&lt;&gt;"Finalizado",$Q203&lt;&gt;"Si"),0,IF($I203=$M203,Reglas!$B$4,0))</x:f>
        <x:v>0</x:v>
      </x:c>
      <x:c r="V203" t="n">
        <x:f>IF(OR($N203&lt;&gt;"Finalizado",$Q203&lt;&gt;"Si",$R203&lt;&gt;"Si"),0,IF(AND($F203=$J203,$G203=$K203),Reglas!$B$5,0))</x:f>
        <x:v>0</x:v>
      </x:c>
      <x:c r="W203" t="n">
        <x:f>IF(OR($N203&lt;&gt;"Finalizado",$Q203&lt;&gt;"Si",$R203&lt;&gt;"Si"),0,IF($F203-$G203=$J203-$K203,Reglas!$B$6,0))</x:f>
        <x:v>0</x:v>
      </x:c>
      <x:c r="X203" t="n">
        <x:f>IF(OR($N203&lt;&gt;"Finalizado",$Q203&lt;&gt;"Si",$R203&lt;&gt;"Si"),0,IF($F203=$J203,Reglas!$B$7,0))</x:f>
        <x:v>0</x:v>
      </x:c>
      <x:c r="Y203" t="n">
        <x:f>IF(OR($N203&lt;&gt;"Finalizado",$Q203&lt;&gt;"Si",$R203&lt;&gt;"Si"),0,IF($G203=$K203,Reglas!$B$8,0))</x:f>
        <x:v>0</x:v>
      </x:c>
      <x:c r="Z203" t="n">
        <x:f>SUM($S203:$Y203)</x:f>
        <x:v>0</x:v>
      </x:c>
      <x:c r="AA203" t="str">
        <x:f>IF($N203&lt;&gt;"Finalizado","Resultado pendiente",IF($H203="Sin envio","Sin respuesta",IF($Q203&lt;&gt;"Si","No acerto clasificado","OK")))</x:f>
        <x:v>Sin respuesta</x:v>
      </x:c>
      <x:c r="AB203" t="str">
        <x:v>Google Forms cuartos + ESPN</x:v>
      </x:c>
      <x:c r="AC203" t="n">
        <x:v>0</x:v>
      </x:c>
      <x:c r="AD203" t="n">
        <x:f>$Z203-$AC203</x:f>
        <x:v>0</x:v>
      </x:c>
    </x:row>
    <x:row r="204" ht="15" hidden="0" customHeight="1">
      <x:c r="A204" t="str">
        <x:v>4tos</x:v>
      </x:c>
      <x:c r="B204" t="str">
        <x:v>QF2</x:v>
      </x:c>
      <x:c r="C204" t="str">
        <x:v>Jesús</x:v>
      </x:c>
      <x:c r="D204" t="str">
        <x:v>Espana</x:v>
      </x:c>
      <x:c r="E204" t="str">
        <x:v>Belgica</x:v>
      </x:c>
      <x:c r="F204" t="n">
        <x:v>2</x:v>
      </x:c>
      <x:c r="G204" t="n">
        <x:v>1</x:v>
      </x:c>
      <x:c r="H204" t="str">
        <x:v>Espana</x:v>
      </x:c>
      <x:c r="I204" t="str">
        <x:v>90 minutos</x:v>
      </x:c>
      <x:c r="J204" t="n">
        <x:v>2</x:v>
      </x:c>
      <x:c r="K204" t="n">
        <x:v>1</x:v>
      </x:c>
      <x:c r="L204" t="str">
        <x:v>Espana</x:v>
      </x:c>
      <x:c r="M204" t="str">
        <x:v>90 minutos</x:v>
      </x:c>
      <x:c r="N204" t="str">
        <x:v>Finalizado</x:v>
      </x:c>
      <x:c r="O204" t="str">
        <x:f>IF($H204="Sin envio","Sin envio",IF($I204="90 minutos",IF($F204&gt;$G204,"A",IF($G204&gt;$F204,"B","E")),"E"))</x:f>
        <x:v>A</x:v>
      </x:c>
      <x:c r="P204" t="str">
        <x:f>IF($M204="90 minutos",IF($J204&gt;$K204,"A",IF($K204&gt;$J204,"B","E")),"E")</x:f>
        <x:v>A</x:v>
      </x:c>
      <x:c r="Q204" t="str">
        <x:f>IF($H204="Sin envio","No",IF($H204=$L204,"Si","No"))</x:f>
        <x:v>Si</x:v>
      </x:c>
      <x:c r="R204" t="str">
        <x:f>IF(AND($I204=$M204,NOT(AND($I204="Penales",$F204&lt;&gt;$G204))),"Si","No")</x:f>
        <x:v>Si</x:v>
      </x:c>
      <x:c r="S204" t="n">
        <x:f>IF(OR($N204&lt;&gt;"Finalizado",$Q204&lt;&gt;"Si"),0,IF($O204=$P204,Reglas!$B$2,0))</x:f>
        <x:v>5</x:v>
      </x:c>
      <x:c r="T204" t="n">
        <x:f>IF(OR($N204&lt;&gt;"Finalizado",$Q204&lt;&gt;"Si"),0,Reglas!$B$3)</x:f>
        <x:v>3</x:v>
      </x:c>
      <x:c r="U204" t="n">
        <x:f>IF(OR($N204&lt;&gt;"Finalizado",$Q204&lt;&gt;"Si"),0,IF($I204=$M204,Reglas!$B$4,0))</x:f>
        <x:v>2</x:v>
      </x:c>
      <x:c r="V204" t="n">
        <x:f>IF(OR($N204&lt;&gt;"Finalizado",$Q204&lt;&gt;"Si",$R204&lt;&gt;"Si"),0,IF(AND($F204=$J204,$G204=$K204),Reglas!$B$5,0))</x:f>
        <x:v>4</x:v>
      </x:c>
      <x:c r="W204" t="n">
        <x:f>IF(OR($N204&lt;&gt;"Finalizado",$Q204&lt;&gt;"Si",$R204&lt;&gt;"Si"),0,IF($F204-$G204=$J204-$K204,Reglas!$B$6,0))</x:f>
        <x:v>2</x:v>
      </x:c>
      <x:c r="X204" t="n">
        <x:f>IF(OR($N204&lt;&gt;"Finalizado",$Q204&lt;&gt;"Si",$R204&lt;&gt;"Si"),0,IF($F204=$J204,Reglas!$B$7,0))</x:f>
        <x:v>1</x:v>
      </x:c>
      <x:c r="Y204" t="n">
        <x:f>IF(OR($N204&lt;&gt;"Finalizado",$Q204&lt;&gt;"Si",$R204&lt;&gt;"Si"),0,IF($G204=$K204,Reglas!$B$8,0))</x:f>
        <x:v>1</x:v>
      </x:c>
      <x:c r="Z204" t="n">
        <x:f>SUM($S204:$Y204)</x:f>
        <x:v>18</x:v>
      </x:c>
      <x:c r="AA204" t="str">
        <x:f>IF($N204&lt;&gt;"Finalizado","Resultado pendiente",IF($H204="Sin envio","Sin respuesta",IF($Q204&lt;&gt;"Si","No acerto clasificado","OK")))</x:f>
        <x:v>OK</x:v>
      </x:c>
      <x:c r="AB204" t="str">
        <x:v>Google Forms cuartos + ESPN</x:v>
      </x:c>
      <x:c r="AC204" t="n">
        <x:v>18</x:v>
      </x:c>
      <x:c r="AD204" t="n">
        <x:f>$Z204-$AC204</x:f>
        <x:v>0</x:v>
      </x:c>
    </x:row>
    <x:row r="205" ht="15" hidden="0" customHeight="1">
      <x:c r="A205" t="str">
        <x:v>4tos</x:v>
      </x:c>
      <x:c r="B205" t="str">
        <x:v>QF2</x:v>
      </x:c>
      <x:c r="C205" t="str">
        <x:v>Diego</x:v>
      </x:c>
      <x:c r="D205" t="str">
        <x:v>Espana</x:v>
      </x:c>
      <x:c r="E205" t="str">
        <x:v>Belgica</x:v>
      </x:c>
      <x:c r="F205" t="n">
        <x:v>2</x:v>
      </x:c>
      <x:c r="G205" t="n">
        <x:v>1</x:v>
      </x:c>
      <x:c r="H205" t="str">
        <x:v>Espana</x:v>
      </x:c>
      <x:c r="I205" t="str">
        <x:v>90 minutos</x:v>
      </x:c>
      <x:c r="J205" t="n">
        <x:v>2</x:v>
      </x:c>
      <x:c r="K205" t="n">
        <x:v>1</x:v>
      </x:c>
      <x:c r="L205" t="str">
        <x:v>Espana</x:v>
      </x:c>
      <x:c r="M205" t="str">
        <x:v>90 minutos</x:v>
      </x:c>
      <x:c r="N205" t="str">
        <x:v>Finalizado</x:v>
      </x:c>
      <x:c r="O205" t="str">
        <x:f>IF($H205="Sin envio","Sin envio",IF($I205="90 minutos",IF($F205&gt;$G205,"A",IF($G205&gt;$F205,"B","E")),"E"))</x:f>
        <x:v>A</x:v>
      </x:c>
      <x:c r="P205" t="str">
        <x:f>IF($M205="90 minutos",IF($J205&gt;$K205,"A",IF($K205&gt;$J205,"B","E")),"E")</x:f>
        <x:v>A</x:v>
      </x:c>
      <x:c r="Q205" t="str">
        <x:f>IF($H205="Sin envio","No",IF($H205=$L205,"Si","No"))</x:f>
        <x:v>Si</x:v>
      </x:c>
      <x:c r="R205" t="str">
        <x:f>IF(AND($I205=$M205,NOT(AND($I205="Penales",$F205&lt;&gt;$G205))),"Si","No")</x:f>
        <x:v>Si</x:v>
      </x:c>
      <x:c r="S205" t="n">
        <x:f>IF(OR($N205&lt;&gt;"Finalizado",$Q205&lt;&gt;"Si"),0,IF($O205=$P205,Reglas!$B$2,0))</x:f>
        <x:v>5</x:v>
      </x:c>
      <x:c r="T205" t="n">
        <x:f>IF(OR($N205&lt;&gt;"Finalizado",$Q205&lt;&gt;"Si"),0,Reglas!$B$3)</x:f>
        <x:v>3</x:v>
      </x:c>
      <x:c r="U205" t="n">
        <x:f>IF(OR($N205&lt;&gt;"Finalizado",$Q205&lt;&gt;"Si"),0,IF($I205=$M205,Reglas!$B$4,0))</x:f>
        <x:v>2</x:v>
      </x:c>
      <x:c r="V205" t="n">
        <x:f>IF(OR($N205&lt;&gt;"Finalizado",$Q205&lt;&gt;"Si",$R205&lt;&gt;"Si"),0,IF(AND($F205=$J205,$G205=$K205),Reglas!$B$5,0))</x:f>
        <x:v>4</x:v>
      </x:c>
      <x:c r="W205" t="n">
        <x:f>IF(OR($N205&lt;&gt;"Finalizado",$Q205&lt;&gt;"Si",$R205&lt;&gt;"Si"),0,IF($F205-$G205=$J205-$K205,Reglas!$B$6,0))</x:f>
        <x:v>2</x:v>
      </x:c>
      <x:c r="X205" t="n">
        <x:f>IF(OR($N205&lt;&gt;"Finalizado",$Q205&lt;&gt;"Si",$R205&lt;&gt;"Si"),0,IF($F205=$J205,Reglas!$B$7,0))</x:f>
        <x:v>1</x:v>
      </x:c>
      <x:c r="Y205" t="n">
        <x:f>IF(OR($N205&lt;&gt;"Finalizado",$Q205&lt;&gt;"Si",$R205&lt;&gt;"Si"),0,IF($G205=$K205,Reglas!$B$8,0))</x:f>
        <x:v>1</x:v>
      </x:c>
      <x:c r="Z205" t="n">
        <x:f>SUM($S205:$Y205)</x:f>
        <x:v>18</x:v>
      </x:c>
      <x:c r="AA205" t="str">
        <x:f>IF($N205&lt;&gt;"Finalizado","Resultado pendiente",IF($H205="Sin envio","Sin respuesta",IF($Q205&lt;&gt;"Si","No acerto clasificado","OK")))</x:f>
        <x:v>OK</x:v>
      </x:c>
      <x:c r="AB205" t="str">
        <x:v>Google Forms cuartos + ESPN</x:v>
      </x:c>
      <x:c r="AC205" t="n">
        <x:v>18</x:v>
      </x:c>
      <x:c r="AD205" t="n">
        <x:f>$Z205-$AC205</x:f>
        <x:v>0</x:v>
      </x:c>
    </x:row>
    <x:row r="206" ht="15" hidden="0" customHeight="1">
      <x:c r="A206" t="str">
        <x:v>4tos</x:v>
      </x:c>
      <x:c r="B206" t="str">
        <x:v>QF2</x:v>
      </x:c>
      <x:c r="C206" t="str">
        <x:v>Aldo</x:v>
      </x:c>
      <x:c r="D206" t="str">
        <x:v>Espana</x:v>
      </x:c>
      <x:c r="E206" t="str">
        <x:v>Belgica</x:v>
      </x:c>
      <x:c r="F206" t="n">
        <x:v>2</x:v>
      </x:c>
      <x:c r="G206" t="n">
        <x:v>0</x:v>
      </x:c>
      <x:c r="H206" t="str">
        <x:v>Espana</x:v>
      </x:c>
      <x:c r="I206" t="str">
        <x:v>90 minutos</x:v>
      </x:c>
      <x:c r="J206" t="n">
        <x:v>2</x:v>
      </x:c>
      <x:c r="K206" t="n">
        <x:v>1</x:v>
      </x:c>
      <x:c r="L206" t="str">
        <x:v>Espana</x:v>
      </x:c>
      <x:c r="M206" t="str">
        <x:v>90 minutos</x:v>
      </x:c>
      <x:c r="N206" t="str">
        <x:v>Finalizado</x:v>
      </x:c>
      <x:c r="O206" t="str">
        <x:f>IF($H206="Sin envio","Sin envio",IF($I206="90 minutos",IF($F206&gt;$G206,"A",IF($G206&gt;$F206,"B","E")),"E"))</x:f>
        <x:v>A</x:v>
      </x:c>
      <x:c r="P206" t="str">
        <x:f>IF($M206="90 minutos",IF($J206&gt;$K206,"A",IF($K206&gt;$J206,"B","E")),"E")</x:f>
        <x:v>A</x:v>
      </x:c>
      <x:c r="Q206" t="str">
        <x:f>IF($H206="Sin envio","No",IF($H206=$L206,"Si","No"))</x:f>
        <x:v>Si</x:v>
      </x:c>
      <x:c r="R206" t="str">
        <x:f>IF(AND($I206=$M206,NOT(AND($I206="Penales",$F206&lt;&gt;$G206))),"Si","No")</x:f>
        <x:v>Si</x:v>
      </x:c>
      <x:c r="S206" t="n">
        <x:f>IF(OR($N206&lt;&gt;"Finalizado",$Q206&lt;&gt;"Si"),0,IF($O206=$P206,Reglas!$B$2,0))</x:f>
        <x:v>5</x:v>
      </x:c>
      <x:c r="T206" t="n">
        <x:f>IF(OR($N206&lt;&gt;"Finalizado",$Q206&lt;&gt;"Si"),0,Reglas!$B$3)</x:f>
        <x:v>3</x:v>
      </x:c>
      <x:c r="U206" t="n">
        <x:f>IF(OR($N206&lt;&gt;"Finalizado",$Q206&lt;&gt;"Si"),0,IF($I206=$M206,Reglas!$B$4,0))</x:f>
        <x:v>2</x:v>
      </x:c>
      <x:c r="V206" t="n">
        <x:f>IF(OR($N206&lt;&gt;"Finalizado",$Q206&lt;&gt;"Si",$R206&lt;&gt;"Si"),0,IF(AND($F206=$J206,$G206=$K206),Reglas!$B$5,0))</x:f>
        <x:v>0</x:v>
      </x:c>
      <x:c r="W206" t="n">
        <x:f>IF(OR($N206&lt;&gt;"Finalizado",$Q206&lt;&gt;"Si",$R206&lt;&gt;"Si"),0,IF($F206-$G206=$J206-$K206,Reglas!$B$6,0))</x:f>
        <x:v>0</x:v>
      </x:c>
      <x:c r="X206" t="n">
        <x:f>IF(OR($N206&lt;&gt;"Finalizado",$Q206&lt;&gt;"Si",$R206&lt;&gt;"Si"),0,IF($F206=$J206,Reglas!$B$7,0))</x:f>
        <x:v>1</x:v>
      </x:c>
      <x:c r="Y206" t="n">
        <x:f>IF(OR($N206&lt;&gt;"Finalizado",$Q206&lt;&gt;"Si",$R206&lt;&gt;"Si"),0,IF($G206=$K206,Reglas!$B$8,0))</x:f>
        <x:v>0</x:v>
      </x:c>
      <x:c r="Z206" t="n">
        <x:f>SUM($S206:$Y206)</x:f>
        <x:v>11</x:v>
      </x:c>
      <x:c r="AA206" t="str">
        <x:f>IF($N206&lt;&gt;"Finalizado","Resultado pendiente",IF($H206="Sin envio","Sin respuesta",IF($Q206&lt;&gt;"Si","No acerto clasificado","OK")))</x:f>
        <x:v>OK</x:v>
      </x:c>
      <x:c r="AB206" t="str">
        <x:v>Google Forms cuartos + ESPN</x:v>
      </x:c>
      <x:c r="AC206" t="n">
        <x:v>11</x:v>
      </x:c>
      <x:c r="AD206" t="n">
        <x:f>$Z206-$AC206</x:f>
        <x:v>0</x:v>
      </x:c>
    </x:row>
    <x:row r="207" ht="15" hidden="0" customHeight="1">
      <x:c r="A207" t="str">
        <x:v>4tos</x:v>
      </x:c>
      <x:c r="B207" t="str">
        <x:v>QF2</x:v>
      </x:c>
      <x:c r="C207" t="str">
        <x:v>Javier</x:v>
      </x:c>
      <x:c r="D207" t="str">
        <x:v>Espana</x:v>
      </x:c>
      <x:c r="E207" t="str">
        <x:v>Belgica</x:v>
      </x:c>
      <x:c r="F207" t="n">
        <x:v>1</x:v>
      </x:c>
      <x:c r="G207" t="n">
        <x:v>2</x:v>
      </x:c>
      <x:c r="H207" t="str">
        <x:v>Belgica</x:v>
      </x:c>
      <x:c r="I207" t="str">
        <x:v>90 minutos</x:v>
      </x:c>
      <x:c r="J207" t="n">
        <x:v>2</x:v>
      </x:c>
      <x:c r="K207" t="n">
        <x:v>1</x:v>
      </x:c>
      <x:c r="L207" t="str">
        <x:v>Espana</x:v>
      </x:c>
      <x:c r="M207" t="str">
        <x:v>90 minutos</x:v>
      </x:c>
      <x:c r="N207" t="str">
        <x:v>Finalizado</x:v>
      </x:c>
      <x:c r="O207" t="str">
        <x:f>IF($H207="Sin envio","Sin envio",IF($I207="90 minutos",IF($F207&gt;$G207,"A",IF($G207&gt;$F207,"B","E")),"E"))</x:f>
        <x:v>B</x:v>
      </x:c>
      <x:c r="P207" t="str">
        <x:f>IF($M207="90 minutos",IF($J207&gt;$K207,"A",IF($K207&gt;$J207,"B","E")),"E")</x:f>
        <x:v>A</x:v>
      </x:c>
      <x:c r="Q207" t="str">
        <x:f>IF($H207="Sin envio","No",IF($H207=$L207,"Si","No"))</x:f>
        <x:v>No</x:v>
      </x:c>
      <x:c r="R207" t="str">
        <x:f>IF(AND($I207=$M207,NOT(AND($I207="Penales",$F207&lt;&gt;$G207))),"Si","No")</x:f>
        <x:v>Si</x:v>
      </x:c>
      <x:c r="S207" t="n">
        <x:f>IF(OR($N207&lt;&gt;"Finalizado",$Q207&lt;&gt;"Si"),0,IF($O207=$P207,Reglas!$B$2,0))</x:f>
        <x:v>0</x:v>
      </x:c>
      <x:c r="T207" t="n">
        <x:f>IF(OR($N207&lt;&gt;"Finalizado",$Q207&lt;&gt;"Si"),0,Reglas!$B$3)</x:f>
        <x:v>0</x:v>
      </x:c>
      <x:c r="U207" t="n">
        <x:f>IF(OR($N207&lt;&gt;"Finalizado",$Q207&lt;&gt;"Si"),0,IF($I207=$M207,Reglas!$B$4,0))</x:f>
        <x:v>0</x:v>
      </x:c>
      <x:c r="V207" t="n">
        <x:f>IF(OR($N207&lt;&gt;"Finalizado",$Q207&lt;&gt;"Si",$R207&lt;&gt;"Si"),0,IF(AND($F207=$J207,$G207=$K207),Reglas!$B$5,0))</x:f>
        <x:v>0</x:v>
      </x:c>
      <x:c r="W207" t="n">
        <x:f>IF(OR($N207&lt;&gt;"Finalizado",$Q207&lt;&gt;"Si",$R207&lt;&gt;"Si"),0,IF($F207-$G207=$J207-$K207,Reglas!$B$6,0))</x:f>
        <x:v>0</x:v>
      </x:c>
      <x:c r="X207" t="n">
        <x:f>IF(OR($N207&lt;&gt;"Finalizado",$Q207&lt;&gt;"Si",$R207&lt;&gt;"Si"),0,IF($F207=$J207,Reglas!$B$7,0))</x:f>
        <x:v>0</x:v>
      </x:c>
      <x:c r="Y207" t="n">
        <x:f>IF(OR($N207&lt;&gt;"Finalizado",$Q207&lt;&gt;"Si",$R207&lt;&gt;"Si"),0,IF($G207=$K207,Reglas!$B$8,0))</x:f>
        <x:v>0</x:v>
      </x:c>
      <x:c r="Z207" t="n">
        <x:f>SUM($S207:$Y207)</x:f>
        <x:v>0</x:v>
      </x:c>
      <x:c r="AA207" t="str">
        <x:f>IF($N207&lt;&gt;"Finalizado","Resultado pendiente",IF($H207="Sin envio","Sin respuesta",IF($Q207&lt;&gt;"Si","No acerto clasificado","OK")))</x:f>
        <x:v>No acerto clasificado</x:v>
      </x:c>
      <x:c r="AB207" t="str">
        <x:v>Google Forms cuartos + ESPN</x:v>
      </x:c>
      <x:c r="AC207" t="n">
        <x:v>0</x:v>
      </x:c>
      <x:c r="AD207" t="n">
        <x:f>$Z207-$AC207</x:f>
        <x:v>0</x:v>
      </x:c>
    </x:row>
    <x:row r="208" ht="15" hidden="0" customHeight="1">
      <x:c r="A208" t="str">
        <x:v>4tos</x:v>
      </x:c>
      <x:c r="B208" t="str">
        <x:v>QF2</x:v>
      </x:c>
      <x:c r="C208" t="str">
        <x:v>Gino</x:v>
      </x:c>
      <x:c r="D208" t="str">
        <x:v>Espana</x:v>
      </x:c>
      <x:c r="E208" t="str">
        <x:v>Belgica</x:v>
      </x:c>
      <x:c r="F208" t="n">
        <x:v>1</x:v>
      </x:c>
      <x:c r="G208" t="n">
        <x:v>2</x:v>
      </x:c>
      <x:c r="H208" t="str">
        <x:v>Belgica</x:v>
      </x:c>
      <x:c r="I208" t="str">
        <x:v>Suplementario</x:v>
      </x:c>
      <x:c r="J208" t="n">
        <x:v>2</x:v>
      </x:c>
      <x:c r="K208" t="n">
        <x:v>1</x:v>
      </x:c>
      <x:c r="L208" t="str">
        <x:v>Espana</x:v>
      </x:c>
      <x:c r="M208" t="str">
        <x:v>90 minutos</x:v>
      </x:c>
      <x:c r="N208" t="str">
        <x:v>Finalizado</x:v>
      </x:c>
      <x:c r="O208" t="str">
        <x:f>IF($H208="Sin envio","Sin envio",IF($I208="90 minutos",IF($F208&gt;$G208,"A",IF($G208&gt;$F208,"B","E")),"E"))</x:f>
        <x:v>E</x:v>
      </x:c>
      <x:c r="P208" t="str">
        <x:f>IF($M208="90 minutos",IF($J208&gt;$K208,"A",IF($K208&gt;$J208,"B","E")),"E")</x:f>
        <x:v>A</x:v>
      </x:c>
      <x:c r="Q208" t="str">
        <x:f>IF($H208="Sin envio","No",IF($H208=$L208,"Si","No"))</x:f>
        <x:v>No</x:v>
      </x:c>
      <x:c r="R208" t="str">
        <x:f>IF(AND($I208=$M208,NOT(AND($I208="Penales",$F208&lt;&gt;$G208))),"Si","No")</x:f>
        <x:v>No</x:v>
      </x:c>
      <x:c r="S208" t="n">
        <x:f>IF(OR($N208&lt;&gt;"Finalizado",$Q208&lt;&gt;"Si"),0,IF($O208=$P208,Reglas!$B$2,0))</x:f>
        <x:v>0</x:v>
      </x:c>
      <x:c r="T208" t="n">
        <x:f>IF(OR($N208&lt;&gt;"Finalizado",$Q208&lt;&gt;"Si"),0,Reglas!$B$3)</x:f>
        <x:v>0</x:v>
      </x:c>
      <x:c r="U208" t="n">
        <x:f>IF(OR($N208&lt;&gt;"Finalizado",$Q208&lt;&gt;"Si"),0,IF($I208=$M208,Reglas!$B$4,0))</x:f>
        <x:v>0</x:v>
      </x:c>
      <x:c r="V208" t="n">
        <x:f>IF(OR($N208&lt;&gt;"Finalizado",$Q208&lt;&gt;"Si",$R208&lt;&gt;"Si"),0,IF(AND($F208=$J208,$G208=$K208),Reglas!$B$5,0))</x:f>
        <x:v>0</x:v>
      </x:c>
      <x:c r="W208" t="n">
        <x:f>IF(OR($N208&lt;&gt;"Finalizado",$Q208&lt;&gt;"Si",$R208&lt;&gt;"Si"),0,IF($F208-$G208=$J208-$K208,Reglas!$B$6,0))</x:f>
        <x:v>0</x:v>
      </x:c>
      <x:c r="X208" t="n">
        <x:f>IF(OR($N208&lt;&gt;"Finalizado",$Q208&lt;&gt;"Si",$R208&lt;&gt;"Si"),0,IF($F208=$J208,Reglas!$B$7,0))</x:f>
        <x:v>0</x:v>
      </x:c>
      <x:c r="Y208" t="n">
        <x:f>IF(OR($N208&lt;&gt;"Finalizado",$Q208&lt;&gt;"Si",$R208&lt;&gt;"Si"),0,IF($G208=$K208,Reglas!$B$8,0))</x:f>
        <x:v>0</x:v>
      </x:c>
      <x:c r="Z208" t="n">
        <x:f>SUM($S208:$Y208)</x:f>
        <x:v>0</x:v>
      </x:c>
      <x:c r="AA208" t="str">
        <x:f>IF($N208&lt;&gt;"Finalizado","Resultado pendiente",IF($H208="Sin envio","Sin respuesta",IF($Q208&lt;&gt;"Si","No acerto clasificado","OK")))</x:f>
        <x:v>No acerto clasificado</x:v>
      </x:c>
      <x:c r="AB208" t="str">
        <x:v>Google Forms cuartos + ESPN</x:v>
      </x:c>
      <x:c r="AC208" t="n">
        <x:v>0</x:v>
      </x:c>
      <x:c r="AD208" t="n">
        <x:f>$Z208-$AC208</x:f>
        <x:v>0</x:v>
      </x:c>
    </x:row>
    <x:row r="209" ht="15" hidden="0" customHeight="1">
      <x:c r="A209" t="str">
        <x:v>4tos</x:v>
      </x:c>
      <x:c r="B209" t="str">
        <x:v>QF2</x:v>
      </x:c>
      <x:c r="C209" t="str">
        <x:v>Manuel</x:v>
      </x:c>
      <x:c r="D209" t="str">
        <x:v>Espana</x:v>
      </x:c>
      <x:c r="E209" t="str">
        <x:v>Belgica</x:v>
      </x:c>
      <x:c r="F209" t="n">
        <x:v>2</x:v>
      </x:c>
      <x:c r="G209" t="n">
        <x:v>0</x:v>
      </x:c>
      <x:c r="H209" t="str">
        <x:v>Espana</x:v>
      </x:c>
      <x:c r="I209" t="str">
        <x:v>90 minutos</x:v>
      </x:c>
      <x:c r="J209" t="n">
        <x:v>2</x:v>
      </x:c>
      <x:c r="K209" t="n">
        <x:v>1</x:v>
      </x:c>
      <x:c r="L209" t="str">
        <x:v>Espana</x:v>
      </x:c>
      <x:c r="M209" t="str">
        <x:v>90 minutos</x:v>
      </x:c>
      <x:c r="N209" t="str">
        <x:v>Finalizado</x:v>
      </x:c>
      <x:c r="O209" t="str">
        <x:f>IF($H209="Sin envio","Sin envio",IF($I209="90 minutos",IF($F209&gt;$G209,"A",IF($G209&gt;$F209,"B","E")),"E"))</x:f>
        <x:v>A</x:v>
      </x:c>
      <x:c r="P209" t="str">
        <x:f>IF($M209="90 minutos",IF($J209&gt;$K209,"A",IF($K209&gt;$J209,"B","E")),"E")</x:f>
        <x:v>A</x:v>
      </x:c>
      <x:c r="Q209" t="str">
        <x:f>IF($H209="Sin envio","No",IF($H209=$L209,"Si","No"))</x:f>
        <x:v>Si</x:v>
      </x:c>
      <x:c r="R209" t="str">
        <x:f>IF(AND($I209=$M209,NOT(AND($I209="Penales",$F209&lt;&gt;$G209))),"Si","No")</x:f>
        <x:v>Si</x:v>
      </x:c>
      <x:c r="S209" t="n">
        <x:f>IF(OR($N209&lt;&gt;"Finalizado",$Q209&lt;&gt;"Si"),0,IF($O209=$P209,Reglas!$B$2,0))</x:f>
        <x:v>5</x:v>
      </x:c>
      <x:c r="T209" t="n">
        <x:f>IF(OR($N209&lt;&gt;"Finalizado",$Q209&lt;&gt;"Si"),0,Reglas!$B$3)</x:f>
        <x:v>3</x:v>
      </x:c>
      <x:c r="U209" t="n">
        <x:f>IF(OR($N209&lt;&gt;"Finalizado",$Q209&lt;&gt;"Si"),0,IF($I209=$M209,Reglas!$B$4,0))</x:f>
        <x:v>2</x:v>
      </x:c>
      <x:c r="V209" t="n">
        <x:f>IF(OR($N209&lt;&gt;"Finalizado",$Q209&lt;&gt;"Si",$R209&lt;&gt;"Si"),0,IF(AND($F209=$J209,$G209=$K209),Reglas!$B$5,0))</x:f>
        <x:v>0</x:v>
      </x:c>
      <x:c r="W209" t="n">
        <x:f>IF(OR($N209&lt;&gt;"Finalizado",$Q209&lt;&gt;"Si",$R209&lt;&gt;"Si"),0,IF($F209-$G209=$J209-$K209,Reglas!$B$6,0))</x:f>
        <x:v>0</x:v>
      </x:c>
      <x:c r="X209" t="n">
        <x:f>IF(OR($N209&lt;&gt;"Finalizado",$Q209&lt;&gt;"Si",$R209&lt;&gt;"Si"),0,IF($F209=$J209,Reglas!$B$7,0))</x:f>
        <x:v>1</x:v>
      </x:c>
      <x:c r="Y209" t="n">
        <x:f>IF(OR($N209&lt;&gt;"Finalizado",$Q209&lt;&gt;"Si",$R209&lt;&gt;"Si"),0,IF($G209=$K209,Reglas!$B$8,0))</x:f>
        <x:v>0</x:v>
      </x:c>
      <x:c r="Z209" t="n">
        <x:f>SUM($S209:$Y209)</x:f>
        <x:v>11</x:v>
      </x:c>
      <x:c r="AA209" t="str">
        <x:f>IF($N209&lt;&gt;"Finalizado","Resultado pendiente",IF($H209="Sin envio","Sin respuesta",IF($Q209&lt;&gt;"Si","No acerto clasificado","OK")))</x:f>
        <x:v>OK</x:v>
      </x:c>
      <x:c r="AB209" t="str">
        <x:v>Google Forms cuartos + ESPN</x:v>
      </x:c>
      <x:c r="AC209" t="n">
        <x:v>11</x:v>
      </x:c>
      <x:c r="AD209" t="n">
        <x:f>$Z209-$AC209</x:f>
        <x:v>0</x:v>
      </x:c>
    </x:row>
    <x:row r="210" ht="15" hidden="0" customHeight="1">
      <x:c r="A210" t="str">
        <x:v>4tos</x:v>
      </x:c>
      <x:c r="B210" t="str">
        <x:v>QF2</x:v>
      </x:c>
      <x:c r="C210" t="str">
        <x:v>Jorge</x:v>
      </x:c>
      <x:c r="D210" t="str">
        <x:v>Espana</x:v>
      </x:c>
      <x:c r="E210" t="str">
        <x:v>Belgica</x:v>
      </x:c>
      <x:c r="F210" t="n">
        <x:v>4</x:v>
      </x:c>
      <x:c r="G210" t="n">
        <x:v>2</x:v>
      </x:c>
      <x:c r="H210" t="str">
        <x:v>Espana</x:v>
      </x:c>
      <x:c r="I210" t="str">
        <x:v>90 minutos</x:v>
      </x:c>
      <x:c r="J210" t="n">
        <x:v>2</x:v>
      </x:c>
      <x:c r="K210" t="n">
        <x:v>1</x:v>
      </x:c>
      <x:c r="L210" t="str">
        <x:v>Espana</x:v>
      </x:c>
      <x:c r="M210" t="str">
        <x:v>90 minutos</x:v>
      </x:c>
      <x:c r="N210" t="str">
        <x:v>Finalizado</x:v>
      </x:c>
      <x:c r="O210" t="str">
        <x:f>IF($H210="Sin envio","Sin envio",IF($I210="90 minutos",IF($F210&gt;$G210,"A",IF($G210&gt;$F210,"B","E")),"E"))</x:f>
        <x:v>A</x:v>
      </x:c>
      <x:c r="P210" t="str">
        <x:f>IF($M210="90 minutos",IF($J210&gt;$K210,"A",IF($K210&gt;$J210,"B","E")),"E")</x:f>
        <x:v>A</x:v>
      </x:c>
      <x:c r="Q210" t="str">
        <x:f>IF($H210="Sin envio","No",IF($H210=$L210,"Si","No"))</x:f>
        <x:v>Si</x:v>
      </x:c>
      <x:c r="R210" t="str">
        <x:f>IF(AND($I210=$M210,NOT(AND($I210="Penales",$F210&lt;&gt;$G210))),"Si","No")</x:f>
        <x:v>Si</x:v>
      </x:c>
      <x:c r="S210" t="n">
        <x:f>IF(OR($N210&lt;&gt;"Finalizado",$Q210&lt;&gt;"Si"),0,IF($O210=$P210,Reglas!$B$2,0))</x:f>
        <x:v>5</x:v>
      </x:c>
      <x:c r="T210" t="n">
        <x:f>IF(OR($N210&lt;&gt;"Finalizado",$Q210&lt;&gt;"Si"),0,Reglas!$B$3)</x:f>
        <x:v>3</x:v>
      </x:c>
      <x:c r="U210" t="n">
        <x:f>IF(OR($N210&lt;&gt;"Finalizado",$Q210&lt;&gt;"Si"),0,IF($I210=$M210,Reglas!$B$4,0))</x:f>
        <x:v>2</x:v>
      </x:c>
      <x:c r="V210" t="n">
        <x:f>IF(OR($N210&lt;&gt;"Finalizado",$Q210&lt;&gt;"Si",$R210&lt;&gt;"Si"),0,IF(AND($F210=$J210,$G210=$K210),Reglas!$B$5,0))</x:f>
        <x:v>0</x:v>
      </x:c>
      <x:c r="W210" t="n">
        <x:f>IF(OR($N210&lt;&gt;"Finalizado",$Q210&lt;&gt;"Si",$R210&lt;&gt;"Si"),0,IF($F210-$G210=$J210-$K210,Reglas!$B$6,0))</x:f>
        <x:v>0</x:v>
      </x:c>
      <x:c r="X210" t="n">
        <x:f>IF(OR($N210&lt;&gt;"Finalizado",$Q210&lt;&gt;"Si",$R210&lt;&gt;"Si"),0,IF($F210=$J210,Reglas!$B$7,0))</x:f>
        <x:v>0</x:v>
      </x:c>
      <x:c r="Y210" t="n">
        <x:f>IF(OR($N210&lt;&gt;"Finalizado",$Q210&lt;&gt;"Si",$R210&lt;&gt;"Si"),0,IF($G210=$K210,Reglas!$B$8,0))</x:f>
        <x:v>0</x:v>
      </x:c>
      <x:c r="Z210" t="n">
        <x:f>SUM($S210:$Y210)</x:f>
        <x:v>10</x:v>
      </x:c>
      <x:c r="AA210" t="str">
        <x:f>IF($N210&lt;&gt;"Finalizado","Resultado pendiente",IF($H210="Sin envio","Sin respuesta",IF($Q210&lt;&gt;"Si","No acerto clasificado","OK")))</x:f>
        <x:v>OK</x:v>
      </x:c>
      <x:c r="AB210" t="str">
        <x:v>Google Forms cuartos + ESPN</x:v>
      </x:c>
      <x:c r="AC210" t="n">
        <x:v>10</x:v>
      </x:c>
      <x:c r="AD210" t="n">
        <x:f>$Z210-$AC210</x:f>
        <x:v>0</x:v>
      </x:c>
    </x:row>
    <x:row r="211" ht="15" hidden="0" customHeight="1">
      <x:c r="A211" t="str">
        <x:v>4tos</x:v>
      </x:c>
      <x:c r="B211" t="str">
        <x:v>QF2</x:v>
      </x:c>
      <x:c r="C211" t="str">
        <x:v>Daniel</x:v>
      </x:c>
      <x:c r="D211" t="str">
        <x:v>Espana</x:v>
      </x:c>
      <x:c r="E211" t="str">
        <x:v>Belgica</x:v>
      </x:c>
      <x:c r="F211" t="n">
        <x:v>2</x:v>
      </x:c>
      <x:c r="G211" t="n">
        <x:v>1</x:v>
      </x:c>
      <x:c r="H211" t="str">
        <x:v>Espana</x:v>
      </x:c>
      <x:c r="I211" t="str">
        <x:v>90 minutos</x:v>
      </x:c>
      <x:c r="J211" t="n">
        <x:v>2</x:v>
      </x:c>
      <x:c r="K211" t="n">
        <x:v>1</x:v>
      </x:c>
      <x:c r="L211" t="str">
        <x:v>Espana</x:v>
      </x:c>
      <x:c r="M211" t="str">
        <x:v>90 minutos</x:v>
      </x:c>
      <x:c r="N211" t="str">
        <x:v>Finalizado</x:v>
      </x:c>
      <x:c r="O211" t="str">
        <x:f>IF($H211="Sin envio","Sin envio",IF($I211="90 minutos",IF($F211&gt;$G211,"A",IF($G211&gt;$F211,"B","E")),"E"))</x:f>
        <x:v>A</x:v>
      </x:c>
      <x:c r="P211" t="str">
        <x:f>IF($M211="90 minutos",IF($J211&gt;$K211,"A",IF($K211&gt;$J211,"B","E")),"E")</x:f>
        <x:v>A</x:v>
      </x:c>
      <x:c r="Q211" t="str">
        <x:f>IF($H211="Sin envio","No",IF($H211=$L211,"Si","No"))</x:f>
        <x:v>Si</x:v>
      </x:c>
      <x:c r="R211" t="str">
        <x:f>IF(AND($I211=$M211,NOT(AND($I211="Penales",$F211&lt;&gt;$G211))),"Si","No")</x:f>
        <x:v>Si</x:v>
      </x:c>
      <x:c r="S211" t="n">
        <x:f>IF(OR($N211&lt;&gt;"Finalizado",$Q211&lt;&gt;"Si"),0,IF($O211=$P211,Reglas!$B$2,0))</x:f>
        <x:v>5</x:v>
      </x:c>
      <x:c r="T211" t="n">
        <x:f>IF(OR($N211&lt;&gt;"Finalizado",$Q211&lt;&gt;"Si"),0,Reglas!$B$3)</x:f>
        <x:v>3</x:v>
      </x:c>
      <x:c r="U211" t="n">
        <x:f>IF(OR($N211&lt;&gt;"Finalizado",$Q211&lt;&gt;"Si"),0,IF($I211=$M211,Reglas!$B$4,0))</x:f>
        <x:v>2</x:v>
      </x:c>
      <x:c r="V211" t="n">
        <x:f>IF(OR($N211&lt;&gt;"Finalizado",$Q211&lt;&gt;"Si",$R211&lt;&gt;"Si"),0,IF(AND($F211=$J211,$G211=$K211),Reglas!$B$5,0))</x:f>
        <x:v>4</x:v>
      </x:c>
      <x:c r="W211" t="n">
        <x:f>IF(OR($N211&lt;&gt;"Finalizado",$Q211&lt;&gt;"Si",$R211&lt;&gt;"Si"),0,IF($F211-$G211=$J211-$K211,Reglas!$B$6,0))</x:f>
        <x:v>2</x:v>
      </x:c>
      <x:c r="X211" t="n">
        <x:f>IF(OR($N211&lt;&gt;"Finalizado",$Q211&lt;&gt;"Si",$R211&lt;&gt;"Si"),0,IF($F211=$J211,Reglas!$B$7,0))</x:f>
        <x:v>1</x:v>
      </x:c>
      <x:c r="Y211" t="n">
        <x:f>IF(OR($N211&lt;&gt;"Finalizado",$Q211&lt;&gt;"Si",$R211&lt;&gt;"Si"),0,IF($G211=$K211,Reglas!$B$8,0))</x:f>
        <x:v>1</x:v>
      </x:c>
      <x:c r="Z211" t="n">
        <x:f>SUM($S211:$Y211)</x:f>
        <x:v>18</x:v>
      </x:c>
      <x:c r="AA211" t="str">
        <x:f>IF($N211&lt;&gt;"Finalizado","Resultado pendiente",IF($H211="Sin envio","Sin respuesta",IF($Q211&lt;&gt;"Si","No acerto clasificado","OK")))</x:f>
        <x:v>OK</x:v>
      </x:c>
      <x:c r="AB211" t="str">
        <x:v>Google Forms cuartos + ESPN</x:v>
      </x:c>
      <x:c r="AC211" t="n">
        <x:v>18</x:v>
      </x:c>
      <x:c r="AD211" t="n">
        <x:f>$Z211-$AC211</x:f>
        <x:v>0</x:v>
      </x:c>
    </x:row>
    <x:row r="212" ht="15" hidden="0" customHeight="1">
      <x:c r="A212" t="str">
        <x:v>4tos</x:v>
      </x:c>
      <x:c r="B212" t="str">
        <x:v>QF2</x:v>
      </x:c>
      <x:c r="C212" t="str">
        <x:v>Arthur</x:v>
      </x:c>
      <x:c r="D212" t="str">
        <x:v>Espana</x:v>
      </x:c>
      <x:c r="E212" t="str">
        <x:v>Belgica</x:v>
      </x:c>
      <x:c r="F212" t="n">
        <x:v>2</x:v>
      </x:c>
      <x:c r="G212" t="n">
        <x:v>1</x:v>
      </x:c>
      <x:c r="H212" t="str">
        <x:v>Espana</x:v>
      </x:c>
      <x:c r="I212" t="str">
        <x:v>90 minutos</x:v>
      </x:c>
      <x:c r="J212" t="n">
        <x:v>2</x:v>
      </x:c>
      <x:c r="K212" t="n">
        <x:v>1</x:v>
      </x:c>
      <x:c r="L212" t="str">
        <x:v>Espana</x:v>
      </x:c>
      <x:c r="M212" t="str">
        <x:v>90 minutos</x:v>
      </x:c>
      <x:c r="N212" t="str">
        <x:v>Finalizado</x:v>
      </x:c>
      <x:c r="O212" t="str">
        <x:f>IF($H212="Sin envio","Sin envio",IF($I212="90 minutos",IF($F212&gt;$G212,"A",IF($G212&gt;$F212,"B","E")),"E"))</x:f>
        <x:v>A</x:v>
      </x:c>
      <x:c r="P212" t="str">
        <x:f>IF($M212="90 minutos",IF($J212&gt;$K212,"A",IF($K212&gt;$J212,"B","E")),"E")</x:f>
        <x:v>A</x:v>
      </x:c>
      <x:c r="Q212" t="str">
        <x:f>IF($H212="Sin envio","No",IF($H212=$L212,"Si","No"))</x:f>
        <x:v>Si</x:v>
      </x:c>
      <x:c r="R212" t="str">
        <x:f>IF(AND($I212=$M212,NOT(AND($I212="Penales",$F212&lt;&gt;$G212))),"Si","No")</x:f>
        <x:v>Si</x:v>
      </x:c>
      <x:c r="S212" t="n">
        <x:f>IF(OR($N212&lt;&gt;"Finalizado",$Q212&lt;&gt;"Si"),0,IF($O212=$P212,Reglas!$B$2,0))</x:f>
        <x:v>5</x:v>
      </x:c>
      <x:c r="T212" t="n">
        <x:f>IF(OR($N212&lt;&gt;"Finalizado",$Q212&lt;&gt;"Si"),0,Reglas!$B$3)</x:f>
        <x:v>3</x:v>
      </x:c>
      <x:c r="U212" t="n">
        <x:f>IF(OR($N212&lt;&gt;"Finalizado",$Q212&lt;&gt;"Si"),0,IF($I212=$M212,Reglas!$B$4,0))</x:f>
        <x:v>2</x:v>
      </x:c>
      <x:c r="V212" t="n">
        <x:f>IF(OR($N212&lt;&gt;"Finalizado",$Q212&lt;&gt;"Si",$R212&lt;&gt;"Si"),0,IF(AND($F212=$J212,$G212=$K212),Reglas!$B$5,0))</x:f>
        <x:v>4</x:v>
      </x:c>
      <x:c r="W212" t="n">
        <x:f>IF(OR($N212&lt;&gt;"Finalizado",$Q212&lt;&gt;"Si",$R212&lt;&gt;"Si"),0,IF($F212-$G212=$J212-$K212,Reglas!$B$6,0))</x:f>
        <x:v>2</x:v>
      </x:c>
      <x:c r="X212" t="n">
        <x:f>IF(OR($N212&lt;&gt;"Finalizado",$Q212&lt;&gt;"Si",$R212&lt;&gt;"Si"),0,IF($F212=$J212,Reglas!$B$7,0))</x:f>
        <x:v>1</x:v>
      </x:c>
      <x:c r="Y212" t="n">
        <x:f>IF(OR($N212&lt;&gt;"Finalizado",$Q212&lt;&gt;"Si",$R212&lt;&gt;"Si"),0,IF($G212=$K212,Reglas!$B$8,0))</x:f>
        <x:v>1</x:v>
      </x:c>
      <x:c r="Z212" t="n">
        <x:f>SUM($S212:$Y212)</x:f>
        <x:v>18</x:v>
      </x:c>
      <x:c r="AA212" t="str">
        <x:f>IF($N212&lt;&gt;"Finalizado","Resultado pendiente",IF($H212="Sin envio","Sin respuesta",IF($Q212&lt;&gt;"Si","No acerto clasificado","OK")))</x:f>
        <x:v>OK</x:v>
      </x:c>
      <x:c r="AB212" t="str">
        <x:v>Google Forms cuartos + ESPN</x:v>
      </x:c>
      <x:c r="AC212" t="n">
        <x:v>18</x:v>
      </x:c>
      <x:c r="AD212" t="n">
        <x:f>$Z212-$AC212</x:f>
        <x:v>0</x:v>
      </x:c>
    </x:row>
    <x:row r="213" ht="15" hidden="0" customHeight="1">
      <x:c r="A213" t="str">
        <x:v>4tos</x:v>
      </x:c>
      <x:c r="B213" t="str">
        <x:v>QF2</x:v>
      </x:c>
      <x:c r="C213" t="str">
        <x:v>José Luis</x:v>
      </x:c>
      <x:c r="D213" t="str">
        <x:v>Espana</x:v>
      </x:c>
      <x:c r="E213" t="str">
        <x:v>Belgica</x:v>
      </x:c>
      <x:c r="F213"/>
      <x:c r="G213"/>
      <x:c r="H213" t="str">
        <x:v>Sin envio</x:v>
      </x:c>
      <x:c r="I213" t="str">
        <x:v>Sin envio</x:v>
      </x:c>
      <x:c r="J213" t="n">
        <x:v>2</x:v>
      </x:c>
      <x:c r="K213" t="n">
        <x:v>1</x:v>
      </x:c>
      <x:c r="L213" t="str">
        <x:v>Espana</x:v>
      </x:c>
      <x:c r="M213" t="str">
        <x:v>90 minutos</x:v>
      </x:c>
      <x:c r="N213" t="str">
        <x:v>Finalizado</x:v>
      </x:c>
      <x:c r="O213" t="str">
        <x:f>IF($H213="Sin envio","Sin envio",IF($I213="90 minutos",IF($F213&gt;$G213,"A",IF($G213&gt;$F213,"B","E")),"E"))</x:f>
        <x:v>Sin envio</x:v>
      </x:c>
      <x:c r="P213" t="str">
        <x:f>IF($M213="90 minutos",IF($J213&gt;$K213,"A",IF($K213&gt;$J213,"B","E")),"E")</x:f>
        <x:v>A</x:v>
      </x:c>
      <x:c r="Q213" t="str">
        <x:f>IF($H213="Sin envio","No",IF($H213=$L213,"Si","No"))</x:f>
        <x:v>No</x:v>
      </x:c>
      <x:c r="R213" t="str">
        <x:f>IF(AND($I213=$M213,NOT(AND($I213="Penales",$F213&lt;&gt;$G213))),"Si","No")</x:f>
        <x:v>No</x:v>
      </x:c>
      <x:c r="S213" t="n">
        <x:f>IF(OR($N213&lt;&gt;"Finalizado",$Q213&lt;&gt;"Si"),0,IF($O213=$P213,Reglas!$B$2,0))</x:f>
        <x:v>0</x:v>
      </x:c>
      <x:c r="T213" t="n">
        <x:f>IF(OR($N213&lt;&gt;"Finalizado",$Q213&lt;&gt;"Si"),0,Reglas!$B$3)</x:f>
        <x:v>0</x:v>
      </x:c>
      <x:c r="U213" t="n">
        <x:f>IF(OR($N213&lt;&gt;"Finalizado",$Q213&lt;&gt;"Si"),0,IF($I213=$M213,Reglas!$B$4,0))</x:f>
        <x:v>0</x:v>
      </x:c>
      <x:c r="V213" t="n">
        <x:f>IF(OR($N213&lt;&gt;"Finalizado",$Q213&lt;&gt;"Si",$R213&lt;&gt;"Si"),0,IF(AND($F213=$J213,$G213=$K213),Reglas!$B$5,0))</x:f>
        <x:v>0</x:v>
      </x:c>
      <x:c r="W213" t="n">
        <x:f>IF(OR($N213&lt;&gt;"Finalizado",$Q213&lt;&gt;"Si",$R213&lt;&gt;"Si"),0,IF($F213-$G213=$J213-$K213,Reglas!$B$6,0))</x:f>
        <x:v>0</x:v>
      </x:c>
      <x:c r="X213" t="n">
        <x:f>IF(OR($N213&lt;&gt;"Finalizado",$Q213&lt;&gt;"Si",$R213&lt;&gt;"Si"),0,IF($F213=$J213,Reglas!$B$7,0))</x:f>
        <x:v>0</x:v>
      </x:c>
      <x:c r="Y213" t="n">
        <x:f>IF(OR($N213&lt;&gt;"Finalizado",$Q213&lt;&gt;"Si",$R213&lt;&gt;"Si"),0,IF($G213=$K213,Reglas!$B$8,0))</x:f>
        <x:v>0</x:v>
      </x:c>
      <x:c r="Z213" t="n">
        <x:f>SUM($S213:$Y213)</x:f>
        <x:v>0</x:v>
      </x:c>
      <x:c r="AA213" t="str">
        <x:f>IF($N213&lt;&gt;"Finalizado","Resultado pendiente",IF($H213="Sin envio","Sin respuesta",IF($Q213&lt;&gt;"Si","No acerto clasificado","OK")))</x:f>
        <x:v>Sin respuesta</x:v>
      </x:c>
      <x:c r="AB213" t="str">
        <x:v>Google Forms cuartos + ESPN</x:v>
      </x:c>
      <x:c r="AC213" t="n">
        <x:v>0</x:v>
      </x:c>
      <x:c r="AD213" t="n">
        <x:f>$Z213-$AC213</x:f>
        <x:v>0</x:v>
      </x:c>
    </x:row>
    <x:row r="214" ht="15" hidden="0" customHeight="1">
      <x:c r="A214" t="str">
        <x:v>4tos</x:v>
      </x:c>
      <x:c r="B214" t="str">
        <x:v>QF2</x:v>
      </x:c>
      <x:c r="C214" t="str">
        <x:v>Marcelo</x:v>
      </x:c>
      <x:c r="D214" t="str">
        <x:v>Espana</x:v>
      </x:c>
      <x:c r="E214" t="str">
        <x:v>Belgica</x:v>
      </x:c>
      <x:c r="F214"/>
      <x:c r="G214"/>
      <x:c r="H214" t="str">
        <x:v>Sin envio</x:v>
      </x:c>
      <x:c r="I214" t="str">
        <x:v>Sin envio</x:v>
      </x:c>
      <x:c r="J214" t="n">
        <x:v>2</x:v>
      </x:c>
      <x:c r="K214" t="n">
        <x:v>1</x:v>
      </x:c>
      <x:c r="L214" t="str">
        <x:v>Espana</x:v>
      </x:c>
      <x:c r="M214" t="str">
        <x:v>90 minutos</x:v>
      </x:c>
      <x:c r="N214" t="str">
        <x:v>Finalizado</x:v>
      </x:c>
      <x:c r="O214" t="str">
        <x:f>IF($H214="Sin envio","Sin envio",IF($I214="90 minutos",IF($F214&gt;$G214,"A",IF($G214&gt;$F214,"B","E")),"E"))</x:f>
        <x:v>Sin envio</x:v>
      </x:c>
      <x:c r="P214" t="str">
        <x:f>IF($M214="90 minutos",IF($J214&gt;$K214,"A",IF($K214&gt;$J214,"B","E")),"E")</x:f>
        <x:v>A</x:v>
      </x:c>
      <x:c r="Q214" t="str">
        <x:f>IF($H214="Sin envio","No",IF($H214=$L214,"Si","No"))</x:f>
        <x:v>No</x:v>
      </x:c>
      <x:c r="R214" t="str">
        <x:f>IF(AND($I214=$M214,NOT(AND($I214="Penales",$F214&lt;&gt;$G214))),"Si","No")</x:f>
        <x:v>No</x:v>
      </x:c>
      <x:c r="S214" t="n">
        <x:f>IF(OR($N214&lt;&gt;"Finalizado",$Q214&lt;&gt;"Si"),0,IF($O214=$P214,Reglas!$B$2,0))</x:f>
        <x:v>0</x:v>
      </x:c>
      <x:c r="T214" t="n">
        <x:f>IF(OR($N214&lt;&gt;"Finalizado",$Q214&lt;&gt;"Si"),0,Reglas!$B$3)</x:f>
        <x:v>0</x:v>
      </x:c>
      <x:c r="U214" t="n">
        <x:f>IF(OR($N214&lt;&gt;"Finalizado",$Q214&lt;&gt;"Si"),0,IF($I214=$M214,Reglas!$B$4,0))</x:f>
        <x:v>0</x:v>
      </x:c>
      <x:c r="V214" t="n">
        <x:f>IF(OR($N214&lt;&gt;"Finalizado",$Q214&lt;&gt;"Si",$R214&lt;&gt;"Si"),0,IF(AND($F214=$J214,$G214=$K214),Reglas!$B$5,0))</x:f>
        <x:v>0</x:v>
      </x:c>
      <x:c r="W214" t="n">
        <x:f>IF(OR($N214&lt;&gt;"Finalizado",$Q214&lt;&gt;"Si",$R214&lt;&gt;"Si"),0,IF($F214-$G214=$J214-$K214,Reglas!$B$6,0))</x:f>
        <x:v>0</x:v>
      </x:c>
      <x:c r="X214" t="n">
        <x:f>IF(OR($N214&lt;&gt;"Finalizado",$Q214&lt;&gt;"Si",$R214&lt;&gt;"Si"),0,IF($F214=$J214,Reglas!$B$7,0))</x:f>
        <x:v>0</x:v>
      </x:c>
      <x:c r="Y214" t="n">
        <x:f>IF(OR($N214&lt;&gt;"Finalizado",$Q214&lt;&gt;"Si",$R214&lt;&gt;"Si"),0,IF($G214=$K214,Reglas!$B$8,0))</x:f>
        <x:v>0</x:v>
      </x:c>
      <x:c r="Z214" t="n">
        <x:f>SUM($S214:$Y214)</x:f>
        <x:v>0</x:v>
      </x:c>
      <x:c r="AA214" t="str">
        <x:f>IF($N214&lt;&gt;"Finalizado","Resultado pendiente",IF($H214="Sin envio","Sin respuesta",IF($Q214&lt;&gt;"Si","No acerto clasificado","OK")))</x:f>
        <x:v>Sin respuesta</x:v>
      </x:c>
      <x:c r="AB214" t="str">
        <x:v>Google Forms cuartos + ESPN</x:v>
      </x:c>
      <x:c r="AC214" t="n">
        <x:v>0</x:v>
      </x:c>
      <x:c r="AD214" t="n">
        <x:f>$Z214-$AC214</x:f>
        <x:v>0</x:v>
      </x:c>
    </x:row>
    <x:row r="215" ht="15" hidden="0" customHeight="1">
      <x:c r="A215" t="str">
        <x:v>4tos</x:v>
      </x:c>
      <x:c r="B215" t="str">
        <x:v>QF2</x:v>
      </x:c>
      <x:c r="C215" t="str">
        <x:v>Anny</x:v>
      </x:c>
      <x:c r="D215" t="str">
        <x:v>Espana</x:v>
      </x:c>
      <x:c r="E215" t="str">
        <x:v>Belgica</x:v>
      </x:c>
      <x:c r="F215" t="n">
        <x:v>1</x:v>
      </x:c>
      <x:c r="G215" t="n">
        <x:v>1</x:v>
      </x:c>
      <x:c r="H215" t="str">
        <x:v>Espana</x:v>
      </x:c>
      <x:c r="I215" t="str">
        <x:v>Penales</x:v>
      </x:c>
      <x:c r="J215" t="n">
        <x:v>2</x:v>
      </x:c>
      <x:c r="K215" t="n">
        <x:v>1</x:v>
      </x:c>
      <x:c r="L215" t="str">
        <x:v>Espana</x:v>
      </x:c>
      <x:c r="M215" t="str">
        <x:v>90 minutos</x:v>
      </x:c>
      <x:c r="N215" t="str">
        <x:v>Finalizado</x:v>
      </x:c>
      <x:c r="O215" t="str">
        <x:f>IF($H215="Sin envio","Sin envio",IF($I215="90 minutos",IF($F215&gt;$G215,"A",IF($G215&gt;$F215,"B","E")),"E"))</x:f>
        <x:v>E</x:v>
      </x:c>
      <x:c r="P215" t="str">
        <x:f>IF($M215="90 minutos",IF($J215&gt;$K215,"A",IF($K215&gt;$J215,"B","E")),"E")</x:f>
        <x:v>A</x:v>
      </x:c>
      <x:c r="Q215" t="str">
        <x:f>IF($H215="Sin envio","No",IF($H215=$L215,"Si","No"))</x:f>
        <x:v>Si</x:v>
      </x:c>
      <x:c r="R215" t="str">
        <x:f>IF(AND($I215=$M215,NOT(AND($I215="Penales",$F215&lt;&gt;$G215))),"Si","No")</x:f>
        <x:v>No</x:v>
      </x:c>
      <x:c r="S215" t="n">
        <x:f>IF(OR($N215&lt;&gt;"Finalizado",$Q215&lt;&gt;"Si"),0,IF($O215=$P215,Reglas!$B$2,0))</x:f>
        <x:v>0</x:v>
      </x:c>
      <x:c r="T215" t="n">
        <x:f>IF(OR($N215&lt;&gt;"Finalizado",$Q215&lt;&gt;"Si"),0,Reglas!$B$3)</x:f>
        <x:v>3</x:v>
      </x:c>
      <x:c r="U215" t="n">
        <x:f>IF(OR($N215&lt;&gt;"Finalizado",$Q215&lt;&gt;"Si"),0,IF($I215=$M215,Reglas!$B$4,0))</x:f>
        <x:v>0</x:v>
      </x:c>
      <x:c r="V215" t="n">
        <x:f>IF(OR($N215&lt;&gt;"Finalizado",$Q215&lt;&gt;"Si",$R215&lt;&gt;"Si"),0,IF(AND($F215=$J215,$G215=$K215),Reglas!$B$5,0))</x:f>
        <x:v>0</x:v>
      </x:c>
      <x:c r="W215" t="n">
        <x:f>IF(OR($N215&lt;&gt;"Finalizado",$Q215&lt;&gt;"Si",$R215&lt;&gt;"Si"),0,IF($F215-$G215=$J215-$K215,Reglas!$B$6,0))</x:f>
        <x:v>0</x:v>
      </x:c>
      <x:c r="X215" t="n">
        <x:f>IF(OR($N215&lt;&gt;"Finalizado",$Q215&lt;&gt;"Si",$R215&lt;&gt;"Si"),0,IF($F215=$J215,Reglas!$B$7,0))</x:f>
        <x:v>0</x:v>
      </x:c>
      <x:c r="Y215" t="n">
        <x:f>IF(OR($N215&lt;&gt;"Finalizado",$Q215&lt;&gt;"Si",$R215&lt;&gt;"Si"),0,IF($G215=$K215,Reglas!$B$8,0))</x:f>
        <x:v>0</x:v>
      </x:c>
      <x:c r="Z215" t="n">
        <x:f>SUM($S215:$Y215)</x:f>
        <x:v>3</x:v>
      </x:c>
      <x:c r="AA215" t="str">
        <x:f>IF($N215&lt;&gt;"Finalizado","Resultado pendiente",IF($H215="Sin envio","Sin respuesta",IF($Q215&lt;&gt;"Si","No acerto clasificado","OK")))</x:f>
        <x:v>OK</x:v>
      </x:c>
      <x:c r="AB215" t="str">
        <x:v>Google Forms cuartos + ESPN</x:v>
      </x:c>
      <x:c r="AC215" t="n">
        <x:v>3</x:v>
      </x:c>
      <x:c r="AD215" t="n">
        <x:f>$Z215-$AC215</x:f>
        <x:v>0</x:v>
      </x:c>
    </x:row>
    <x:row r="216" ht="15" hidden="0" customHeight="1">
      <x:c r="A216" t="str">
        <x:v>4tos</x:v>
      </x:c>
      <x:c r="B216" t="str">
        <x:v>QF2</x:v>
      </x:c>
      <x:c r="C216" t="str">
        <x:v>Moisés</x:v>
      </x:c>
      <x:c r="D216" t="str">
        <x:v>Espana</x:v>
      </x:c>
      <x:c r="E216" t="str">
        <x:v>Belgica</x:v>
      </x:c>
      <x:c r="F216" t="n">
        <x:v>1</x:v>
      </x:c>
      <x:c r="G216" t="n">
        <x:v>2</x:v>
      </x:c>
      <x:c r="H216" t="str">
        <x:v>Belgica</x:v>
      </x:c>
      <x:c r="I216" t="str">
        <x:v>90 minutos</x:v>
      </x:c>
      <x:c r="J216" t="n">
        <x:v>2</x:v>
      </x:c>
      <x:c r="K216" t="n">
        <x:v>1</x:v>
      </x:c>
      <x:c r="L216" t="str">
        <x:v>Espana</x:v>
      </x:c>
      <x:c r="M216" t="str">
        <x:v>90 minutos</x:v>
      </x:c>
      <x:c r="N216" t="str">
        <x:v>Finalizado</x:v>
      </x:c>
      <x:c r="O216" t="str">
        <x:f>IF($H216="Sin envio","Sin envio",IF($I216="90 minutos",IF($F216&gt;$G216,"A",IF($G216&gt;$F216,"B","E")),"E"))</x:f>
        <x:v>B</x:v>
      </x:c>
      <x:c r="P216" t="str">
        <x:f>IF($M216="90 minutos",IF($J216&gt;$K216,"A",IF($K216&gt;$J216,"B","E")),"E")</x:f>
        <x:v>A</x:v>
      </x:c>
      <x:c r="Q216" t="str">
        <x:f>IF($H216="Sin envio","No",IF($H216=$L216,"Si","No"))</x:f>
        <x:v>No</x:v>
      </x:c>
      <x:c r="R216" t="str">
        <x:f>IF(AND($I216=$M216,NOT(AND($I216="Penales",$F216&lt;&gt;$G216))),"Si","No")</x:f>
        <x:v>Si</x:v>
      </x:c>
      <x:c r="S216" t="n">
        <x:f>IF(OR($N216&lt;&gt;"Finalizado",$Q216&lt;&gt;"Si"),0,IF($O216=$P216,Reglas!$B$2,0))</x:f>
        <x:v>0</x:v>
      </x:c>
      <x:c r="T216" t="n">
        <x:f>IF(OR($N216&lt;&gt;"Finalizado",$Q216&lt;&gt;"Si"),0,Reglas!$B$3)</x:f>
        <x:v>0</x:v>
      </x:c>
      <x:c r="U216" t="n">
        <x:f>IF(OR($N216&lt;&gt;"Finalizado",$Q216&lt;&gt;"Si"),0,IF($I216=$M216,Reglas!$B$4,0))</x:f>
        <x:v>0</x:v>
      </x:c>
      <x:c r="V216" t="n">
        <x:f>IF(OR($N216&lt;&gt;"Finalizado",$Q216&lt;&gt;"Si",$R216&lt;&gt;"Si"),0,IF(AND($F216=$J216,$G216=$K216),Reglas!$B$5,0))</x:f>
        <x:v>0</x:v>
      </x:c>
      <x:c r="W216" t="n">
        <x:f>IF(OR($N216&lt;&gt;"Finalizado",$Q216&lt;&gt;"Si",$R216&lt;&gt;"Si"),0,IF($F216-$G216=$J216-$K216,Reglas!$B$6,0))</x:f>
        <x:v>0</x:v>
      </x:c>
      <x:c r="X216" t="n">
        <x:f>IF(OR($N216&lt;&gt;"Finalizado",$Q216&lt;&gt;"Si",$R216&lt;&gt;"Si"),0,IF($F216=$J216,Reglas!$B$7,0))</x:f>
        <x:v>0</x:v>
      </x:c>
      <x:c r="Y216" t="n">
        <x:f>IF(OR($N216&lt;&gt;"Finalizado",$Q216&lt;&gt;"Si",$R216&lt;&gt;"Si"),0,IF($G216=$K216,Reglas!$B$8,0))</x:f>
        <x:v>0</x:v>
      </x:c>
      <x:c r="Z216" t="n">
        <x:f>SUM($S216:$Y216)</x:f>
        <x:v>0</x:v>
      </x:c>
      <x:c r="AA216" t="str">
        <x:f>IF($N216&lt;&gt;"Finalizado","Resultado pendiente",IF($H216="Sin envio","Sin respuesta",IF($Q216&lt;&gt;"Si","No acerto clasificado","OK")))</x:f>
        <x:v>No acerto clasificado</x:v>
      </x:c>
      <x:c r="AB216" t="str">
        <x:v>Google Forms cuartos + ESPN</x:v>
      </x:c>
      <x:c r="AC216" t="n">
        <x:v>0</x:v>
      </x:c>
      <x:c r="AD216" t="n">
        <x:f>$Z216-$AC216</x:f>
        <x:v>0</x:v>
      </x:c>
    </x:row>
    <x:row r="217" ht="15" hidden="0" customHeight="1">
      <x:c r="A217" t="str">
        <x:v>4tos</x:v>
      </x:c>
      <x:c r="B217" t="str">
        <x:v>QF2</x:v>
      </x:c>
      <x:c r="C217" t="str">
        <x:v>Alex</x:v>
      </x:c>
      <x:c r="D217" t="str">
        <x:v>Espana</x:v>
      </x:c>
      <x:c r="E217" t="str">
        <x:v>Belgica</x:v>
      </x:c>
      <x:c r="F217" t="n">
        <x:v>2</x:v>
      </x:c>
      <x:c r="G217" t="n">
        <x:v>1</x:v>
      </x:c>
      <x:c r="H217" t="str">
        <x:v>Espana</x:v>
      </x:c>
      <x:c r="I217" t="str">
        <x:v>Suplementario</x:v>
      </x:c>
      <x:c r="J217" t="n">
        <x:v>2</x:v>
      </x:c>
      <x:c r="K217" t="n">
        <x:v>1</x:v>
      </x:c>
      <x:c r="L217" t="str">
        <x:v>Espana</x:v>
      </x:c>
      <x:c r="M217" t="str">
        <x:v>90 minutos</x:v>
      </x:c>
      <x:c r="N217" t="str">
        <x:v>Finalizado</x:v>
      </x:c>
      <x:c r="O217" t="str">
        <x:f>IF($H217="Sin envio","Sin envio",IF($I217="90 minutos",IF($F217&gt;$G217,"A",IF($G217&gt;$F217,"B","E")),"E"))</x:f>
        <x:v>E</x:v>
      </x:c>
      <x:c r="P217" t="str">
        <x:f>IF($M217="90 minutos",IF($J217&gt;$K217,"A",IF($K217&gt;$J217,"B","E")),"E")</x:f>
        <x:v>A</x:v>
      </x:c>
      <x:c r="Q217" t="str">
        <x:f>IF($H217="Sin envio","No",IF($H217=$L217,"Si","No"))</x:f>
        <x:v>Si</x:v>
      </x:c>
      <x:c r="R217" t="str">
        <x:f>IF(AND($I217=$M217,NOT(AND($I217="Penales",$F217&lt;&gt;$G217))),"Si","No")</x:f>
        <x:v>No</x:v>
      </x:c>
      <x:c r="S217" t="n">
        <x:f>IF(OR($N217&lt;&gt;"Finalizado",$Q217&lt;&gt;"Si"),0,IF($O217=$P217,Reglas!$B$2,0))</x:f>
        <x:v>0</x:v>
      </x:c>
      <x:c r="T217" t="n">
        <x:f>IF(OR($N217&lt;&gt;"Finalizado",$Q217&lt;&gt;"Si"),0,Reglas!$B$3)</x:f>
        <x:v>3</x:v>
      </x:c>
      <x:c r="U217" t="n">
        <x:f>IF(OR($N217&lt;&gt;"Finalizado",$Q217&lt;&gt;"Si"),0,IF($I217=$M217,Reglas!$B$4,0))</x:f>
        <x:v>0</x:v>
      </x:c>
      <x:c r="V217" t="n">
        <x:f>IF(OR($N217&lt;&gt;"Finalizado",$Q217&lt;&gt;"Si",$R217&lt;&gt;"Si"),0,IF(AND($F217=$J217,$G217=$K217),Reglas!$B$5,0))</x:f>
        <x:v>0</x:v>
      </x:c>
      <x:c r="W217" t="n">
        <x:f>IF(OR($N217&lt;&gt;"Finalizado",$Q217&lt;&gt;"Si",$R217&lt;&gt;"Si"),0,IF($F217-$G217=$J217-$K217,Reglas!$B$6,0))</x:f>
        <x:v>0</x:v>
      </x:c>
      <x:c r="X217" t="n">
        <x:f>IF(OR($N217&lt;&gt;"Finalizado",$Q217&lt;&gt;"Si",$R217&lt;&gt;"Si"),0,IF($F217=$J217,Reglas!$B$7,0))</x:f>
        <x:v>0</x:v>
      </x:c>
      <x:c r="Y217" t="n">
        <x:f>IF(OR($N217&lt;&gt;"Finalizado",$Q217&lt;&gt;"Si",$R217&lt;&gt;"Si"),0,IF($G217=$K217,Reglas!$B$8,0))</x:f>
        <x:v>0</x:v>
      </x:c>
      <x:c r="Z217" t="n">
        <x:f>SUM($S217:$Y217)</x:f>
        <x:v>3</x:v>
      </x:c>
      <x:c r="AA217" t="str">
        <x:f>IF($N217&lt;&gt;"Finalizado","Resultado pendiente",IF($H217="Sin envio","Sin respuesta",IF($Q217&lt;&gt;"Si","No acerto clasificado","OK")))</x:f>
        <x:v>OK</x:v>
      </x:c>
      <x:c r="AB217" t="str">
        <x:v>Google Forms cuartos + ESPN</x:v>
      </x:c>
      <x:c r="AC217" t="n">
        <x:v>3</x:v>
      </x:c>
      <x:c r="AD217" t="n">
        <x:f>$Z217-$AC217</x:f>
        <x:v>0</x:v>
      </x:c>
    </x:row>
    <x:row r="218" ht="15" hidden="0" customHeight="1">
      <x:c r="A218" t="str">
        <x:v>4tos</x:v>
      </x:c>
      <x:c r="B218" t="str">
        <x:v>QF2</x:v>
      </x:c>
      <x:c r="C218" t="str">
        <x:v>Omar</x:v>
      </x:c>
      <x:c r="D218" t="str">
        <x:v>Espana</x:v>
      </x:c>
      <x:c r="E218" t="str">
        <x:v>Belgica</x:v>
      </x:c>
      <x:c r="F218"/>
      <x:c r="G218"/>
      <x:c r="H218" t="str">
        <x:v>Sin envio</x:v>
      </x:c>
      <x:c r="I218" t="str">
        <x:v>Sin envio</x:v>
      </x:c>
      <x:c r="J218" t="n">
        <x:v>2</x:v>
      </x:c>
      <x:c r="K218" t="n">
        <x:v>1</x:v>
      </x:c>
      <x:c r="L218" t="str">
        <x:v>Espana</x:v>
      </x:c>
      <x:c r="M218" t="str">
        <x:v>90 minutos</x:v>
      </x:c>
      <x:c r="N218" t="str">
        <x:v>Finalizado</x:v>
      </x:c>
      <x:c r="O218" t="str">
        <x:f>IF($H218="Sin envio","Sin envio",IF($I218="90 minutos",IF($F218&gt;$G218,"A",IF($G218&gt;$F218,"B","E")),"E"))</x:f>
        <x:v>Sin envio</x:v>
      </x:c>
      <x:c r="P218" t="str">
        <x:f>IF($M218="90 minutos",IF($J218&gt;$K218,"A",IF($K218&gt;$J218,"B","E")),"E")</x:f>
        <x:v>A</x:v>
      </x:c>
      <x:c r="Q218" t="str">
        <x:f>IF($H218="Sin envio","No",IF($H218=$L218,"Si","No"))</x:f>
        <x:v>No</x:v>
      </x:c>
      <x:c r="R218" t="str">
        <x:f>IF(AND($I218=$M218,NOT(AND($I218="Penales",$F218&lt;&gt;$G218))),"Si","No")</x:f>
        <x:v>No</x:v>
      </x:c>
      <x:c r="S218" t="n">
        <x:f>IF(OR($N218&lt;&gt;"Finalizado",$Q218&lt;&gt;"Si"),0,IF($O218=$P218,Reglas!$B$2,0))</x:f>
        <x:v>0</x:v>
      </x:c>
      <x:c r="T218" t="n">
        <x:f>IF(OR($N218&lt;&gt;"Finalizado",$Q218&lt;&gt;"Si"),0,Reglas!$B$3)</x:f>
        <x:v>0</x:v>
      </x:c>
      <x:c r="U218" t="n">
        <x:f>IF(OR($N218&lt;&gt;"Finalizado",$Q218&lt;&gt;"Si"),0,IF($I218=$M218,Reglas!$B$4,0))</x:f>
        <x:v>0</x:v>
      </x:c>
      <x:c r="V218" t="n">
        <x:f>IF(OR($N218&lt;&gt;"Finalizado",$Q218&lt;&gt;"Si",$R218&lt;&gt;"Si"),0,IF(AND($F218=$J218,$G218=$K218),Reglas!$B$5,0))</x:f>
        <x:v>0</x:v>
      </x:c>
      <x:c r="W218" t="n">
        <x:f>IF(OR($N218&lt;&gt;"Finalizado",$Q218&lt;&gt;"Si",$R218&lt;&gt;"Si"),0,IF($F218-$G218=$J218-$K218,Reglas!$B$6,0))</x:f>
        <x:v>0</x:v>
      </x:c>
      <x:c r="X218" t="n">
        <x:f>IF(OR($N218&lt;&gt;"Finalizado",$Q218&lt;&gt;"Si",$R218&lt;&gt;"Si"),0,IF($F218=$J218,Reglas!$B$7,0))</x:f>
        <x:v>0</x:v>
      </x:c>
      <x:c r="Y218" t="n">
        <x:f>IF(OR($N218&lt;&gt;"Finalizado",$Q218&lt;&gt;"Si",$R218&lt;&gt;"Si"),0,IF($G218=$K218,Reglas!$B$8,0))</x:f>
        <x:v>0</x:v>
      </x:c>
      <x:c r="Z218" t="n">
        <x:f>SUM($S218:$Y218)</x:f>
        <x:v>0</x:v>
      </x:c>
      <x:c r="AA218" t="str">
        <x:f>IF($N218&lt;&gt;"Finalizado","Resultado pendiente",IF($H218="Sin envio","Sin respuesta",IF($Q218&lt;&gt;"Si","No acerto clasificado","OK")))</x:f>
        <x:v>Sin respuesta</x:v>
      </x:c>
      <x:c r="AB218" t="str">
        <x:v>Google Forms cuartos + ESPN</x:v>
      </x:c>
      <x:c r="AC218" t="n">
        <x:v>0</x:v>
      </x:c>
      <x:c r="AD218" t="n">
        <x:f>$Z218-$AC218</x:f>
        <x:v>0</x:v>
      </x:c>
    </x:row>
    <x:row r="219" ht="15" hidden="0" customHeight="1">
      <x:c r="A219" t="str">
        <x:v>4tos</x:v>
      </x:c>
      <x:c r="B219" t="str">
        <x:v>QF2</x:v>
      </x:c>
      <x:c r="C219" t="str">
        <x:v>Fernando</x:v>
      </x:c>
      <x:c r="D219" t="str">
        <x:v>Espana</x:v>
      </x:c>
      <x:c r="E219" t="str">
        <x:v>Belgica</x:v>
      </x:c>
      <x:c r="F219" t="n">
        <x:v>1</x:v>
      </x:c>
      <x:c r="G219" t="n">
        <x:v>0</x:v>
      </x:c>
      <x:c r="H219" t="str">
        <x:v>Espana</x:v>
      </x:c>
      <x:c r="I219" t="str">
        <x:v>90 minutos</x:v>
      </x:c>
      <x:c r="J219" t="n">
        <x:v>2</x:v>
      </x:c>
      <x:c r="K219" t="n">
        <x:v>1</x:v>
      </x:c>
      <x:c r="L219" t="str">
        <x:v>Espana</x:v>
      </x:c>
      <x:c r="M219" t="str">
        <x:v>90 minutos</x:v>
      </x:c>
      <x:c r="N219" t="str">
        <x:v>Finalizado</x:v>
      </x:c>
      <x:c r="O219" t="str">
        <x:f>IF($H219="Sin envio","Sin envio",IF($I219="90 minutos",IF($F219&gt;$G219,"A",IF($G219&gt;$F219,"B","E")),"E"))</x:f>
        <x:v>A</x:v>
      </x:c>
      <x:c r="P219" t="str">
        <x:f>IF($M219="90 minutos",IF($J219&gt;$K219,"A",IF($K219&gt;$J219,"B","E")),"E")</x:f>
        <x:v>A</x:v>
      </x:c>
      <x:c r="Q219" t="str">
        <x:f>IF($H219="Sin envio","No",IF($H219=$L219,"Si","No"))</x:f>
        <x:v>Si</x:v>
      </x:c>
      <x:c r="R219" t="str">
        <x:f>IF(AND($I219=$M219,NOT(AND($I219="Penales",$F219&lt;&gt;$G219))),"Si","No")</x:f>
        <x:v>Si</x:v>
      </x:c>
      <x:c r="S219" t="n">
        <x:f>IF(OR($N219&lt;&gt;"Finalizado",$Q219&lt;&gt;"Si"),0,IF($O219=$P219,Reglas!$B$2,0))</x:f>
        <x:v>5</x:v>
      </x:c>
      <x:c r="T219" t="n">
        <x:f>IF(OR($N219&lt;&gt;"Finalizado",$Q219&lt;&gt;"Si"),0,Reglas!$B$3)</x:f>
        <x:v>3</x:v>
      </x:c>
      <x:c r="U219" t="n">
        <x:f>IF(OR($N219&lt;&gt;"Finalizado",$Q219&lt;&gt;"Si"),0,IF($I219=$M219,Reglas!$B$4,0))</x:f>
        <x:v>2</x:v>
      </x:c>
      <x:c r="V219" t="n">
        <x:f>IF(OR($N219&lt;&gt;"Finalizado",$Q219&lt;&gt;"Si",$R219&lt;&gt;"Si"),0,IF(AND($F219=$J219,$G219=$K219),Reglas!$B$5,0))</x:f>
        <x:v>0</x:v>
      </x:c>
      <x:c r="W219" t="n">
        <x:f>IF(OR($N219&lt;&gt;"Finalizado",$Q219&lt;&gt;"Si",$R219&lt;&gt;"Si"),0,IF($F219-$G219=$J219-$K219,Reglas!$B$6,0))</x:f>
        <x:v>2</x:v>
      </x:c>
      <x:c r="X219" t="n">
        <x:f>IF(OR($N219&lt;&gt;"Finalizado",$Q219&lt;&gt;"Si",$R219&lt;&gt;"Si"),0,IF($F219=$J219,Reglas!$B$7,0))</x:f>
        <x:v>0</x:v>
      </x:c>
      <x:c r="Y219" t="n">
        <x:f>IF(OR($N219&lt;&gt;"Finalizado",$Q219&lt;&gt;"Si",$R219&lt;&gt;"Si"),0,IF($G219=$K219,Reglas!$B$8,0))</x:f>
        <x:v>0</x:v>
      </x:c>
      <x:c r="Z219" t="n">
        <x:f>SUM($S219:$Y219)</x:f>
        <x:v>12</x:v>
      </x:c>
      <x:c r="AA219" t="str">
        <x:f>IF($N219&lt;&gt;"Finalizado","Resultado pendiente",IF($H219="Sin envio","Sin respuesta",IF($Q219&lt;&gt;"Si","No acerto clasificado","OK")))</x:f>
        <x:v>OK</x:v>
      </x:c>
      <x:c r="AB219" t="str">
        <x:v>Google Forms cuartos + ESPN</x:v>
      </x:c>
      <x:c r="AC219" t="n">
        <x:v>12</x:v>
      </x:c>
      <x:c r="AD219" t="n">
        <x:f>$Z219-$AC219</x:f>
        <x:v>0</x:v>
      </x:c>
    </x:row>
    <x:row r="220" ht="15" hidden="0" customHeight="1">
      <x:c r="A220" t="str">
        <x:v>4tos</x:v>
      </x:c>
      <x:c r="B220" t="str">
        <x:v>QF2</x:v>
      </x:c>
      <x:c r="C220" t="str">
        <x:v>Diana</x:v>
      </x:c>
      <x:c r="D220" t="str">
        <x:v>Espana</x:v>
      </x:c>
      <x:c r="E220" t="str">
        <x:v>Belgica</x:v>
      </x:c>
      <x:c r="F220"/>
      <x:c r="G220"/>
      <x:c r="H220" t="str">
        <x:v>Sin envio</x:v>
      </x:c>
      <x:c r="I220" t="str">
        <x:v>Sin envio</x:v>
      </x:c>
      <x:c r="J220" t="n">
        <x:v>2</x:v>
      </x:c>
      <x:c r="K220" t="n">
        <x:v>1</x:v>
      </x:c>
      <x:c r="L220" t="str">
        <x:v>Espana</x:v>
      </x:c>
      <x:c r="M220" t="str">
        <x:v>90 minutos</x:v>
      </x:c>
      <x:c r="N220" t="str">
        <x:v>Finalizado</x:v>
      </x:c>
      <x:c r="O220" t="str">
        <x:f>IF($H220="Sin envio","Sin envio",IF($I220="90 minutos",IF($F220&gt;$G220,"A",IF($G220&gt;$F220,"B","E")),"E"))</x:f>
        <x:v>Sin envio</x:v>
      </x:c>
      <x:c r="P220" t="str">
        <x:f>IF($M220="90 minutos",IF($J220&gt;$K220,"A",IF($K220&gt;$J220,"B","E")),"E")</x:f>
        <x:v>A</x:v>
      </x:c>
      <x:c r="Q220" t="str">
        <x:f>IF($H220="Sin envio","No",IF($H220=$L220,"Si","No"))</x:f>
        <x:v>No</x:v>
      </x:c>
      <x:c r="R220" t="str">
        <x:f>IF(AND($I220=$M220,NOT(AND($I220="Penales",$F220&lt;&gt;$G220))),"Si","No")</x:f>
        <x:v>No</x:v>
      </x:c>
      <x:c r="S220" t="n">
        <x:f>IF(OR($N220&lt;&gt;"Finalizado",$Q220&lt;&gt;"Si"),0,IF($O220=$P220,Reglas!$B$2,0))</x:f>
        <x:v>0</x:v>
      </x:c>
      <x:c r="T220" t="n">
        <x:f>IF(OR($N220&lt;&gt;"Finalizado",$Q220&lt;&gt;"Si"),0,Reglas!$B$3)</x:f>
        <x:v>0</x:v>
      </x:c>
      <x:c r="U220" t="n">
        <x:f>IF(OR($N220&lt;&gt;"Finalizado",$Q220&lt;&gt;"Si"),0,IF($I220=$M220,Reglas!$B$4,0))</x:f>
        <x:v>0</x:v>
      </x:c>
      <x:c r="V220" t="n">
        <x:f>IF(OR($N220&lt;&gt;"Finalizado",$Q220&lt;&gt;"Si",$R220&lt;&gt;"Si"),0,IF(AND($F220=$J220,$G220=$K220),Reglas!$B$5,0))</x:f>
        <x:v>0</x:v>
      </x:c>
      <x:c r="W220" t="n">
        <x:f>IF(OR($N220&lt;&gt;"Finalizado",$Q220&lt;&gt;"Si",$R220&lt;&gt;"Si"),0,IF($F220-$G220=$J220-$K220,Reglas!$B$6,0))</x:f>
        <x:v>0</x:v>
      </x:c>
      <x:c r="X220" t="n">
        <x:f>IF(OR($N220&lt;&gt;"Finalizado",$Q220&lt;&gt;"Si",$R220&lt;&gt;"Si"),0,IF($F220=$J220,Reglas!$B$7,0))</x:f>
        <x:v>0</x:v>
      </x:c>
      <x:c r="Y220" t="n">
        <x:f>IF(OR($N220&lt;&gt;"Finalizado",$Q220&lt;&gt;"Si",$R220&lt;&gt;"Si"),0,IF($G220=$K220,Reglas!$B$8,0))</x:f>
        <x:v>0</x:v>
      </x:c>
      <x:c r="Z220" t="n">
        <x:f>SUM($S220:$Y220)</x:f>
        <x:v>0</x:v>
      </x:c>
      <x:c r="AA220" t="str">
        <x:f>IF($N220&lt;&gt;"Finalizado","Resultado pendiente",IF($H220="Sin envio","Sin respuesta",IF($Q220&lt;&gt;"Si","No acerto clasificado","OK")))</x:f>
        <x:v>Sin respuesta</x:v>
      </x:c>
      <x:c r="AB220" t="str">
        <x:v>Google Forms cuartos + ESPN</x:v>
      </x:c>
      <x:c r="AC220" t="n">
        <x:v>0</x:v>
      </x:c>
      <x:c r="AD220" t="n">
        <x:f>$Z220-$AC220</x:f>
        <x:v>0</x:v>
      </x:c>
    </x:row>
    <x:row r="221" ht="15" hidden="0" customHeight="1">
      <x:c r="A221" t="str">
        <x:v>4tos</x:v>
      </x:c>
      <x:c r="B221" t="str">
        <x:v>QF2</x:v>
      </x:c>
      <x:c r="C221" t="str">
        <x:v>Óscar</x:v>
      </x:c>
      <x:c r="D221" t="str">
        <x:v>Espana</x:v>
      </x:c>
      <x:c r="E221" t="str">
        <x:v>Belgica</x:v>
      </x:c>
      <x:c r="F221" t="n">
        <x:v>1</x:v>
      </x:c>
      <x:c r="G221" t="n">
        <x:v>1</x:v>
      </x:c>
      <x:c r="H221" t="str">
        <x:v>Espana</x:v>
      </x:c>
      <x:c r="I221" t="str">
        <x:v>Penales</x:v>
      </x:c>
      <x:c r="J221" t="n">
        <x:v>2</x:v>
      </x:c>
      <x:c r="K221" t="n">
        <x:v>1</x:v>
      </x:c>
      <x:c r="L221" t="str">
        <x:v>Espana</x:v>
      </x:c>
      <x:c r="M221" t="str">
        <x:v>90 minutos</x:v>
      </x:c>
      <x:c r="N221" t="str">
        <x:v>Finalizado</x:v>
      </x:c>
      <x:c r="O221" t="str">
        <x:f>IF($H221="Sin envio","Sin envio",IF($I221="90 minutos",IF($F221&gt;$G221,"A",IF($G221&gt;$F221,"B","E")),"E"))</x:f>
        <x:v>E</x:v>
      </x:c>
      <x:c r="P221" t="str">
        <x:f>IF($M221="90 minutos",IF($J221&gt;$K221,"A",IF($K221&gt;$J221,"B","E")),"E")</x:f>
        <x:v>A</x:v>
      </x:c>
      <x:c r="Q221" t="str">
        <x:f>IF($H221="Sin envio","No",IF($H221=$L221,"Si","No"))</x:f>
        <x:v>Si</x:v>
      </x:c>
      <x:c r="R221" t="str">
        <x:f>IF(AND($I221=$M221,NOT(AND($I221="Penales",$F221&lt;&gt;$G221))),"Si","No")</x:f>
        <x:v>No</x:v>
      </x:c>
      <x:c r="S221" t="n">
        <x:f>IF(OR($N221&lt;&gt;"Finalizado",$Q221&lt;&gt;"Si"),0,IF($O221=$P221,Reglas!$B$2,0))</x:f>
        <x:v>0</x:v>
      </x:c>
      <x:c r="T221" t="n">
        <x:f>IF(OR($N221&lt;&gt;"Finalizado",$Q221&lt;&gt;"Si"),0,Reglas!$B$3)</x:f>
        <x:v>3</x:v>
      </x:c>
      <x:c r="U221" t="n">
        <x:f>IF(OR($N221&lt;&gt;"Finalizado",$Q221&lt;&gt;"Si"),0,IF($I221=$M221,Reglas!$B$4,0))</x:f>
        <x:v>0</x:v>
      </x:c>
      <x:c r="V221" t="n">
        <x:f>IF(OR($N221&lt;&gt;"Finalizado",$Q221&lt;&gt;"Si",$R221&lt;&gt;"Si"),0,IF(AND($F221=$J221,$G221=$K221),Reglas!$B$5,0))</x:f>
        <x:v>0</x:v>
      </x:c>
      <x:c r="W221" t="n">
        <x:f>IF(OR($N221&lt;&gt;"Finalizado",$Q221&lt;&gt;"Si",$R221&lt;&gt;"Si"),0,IF($F221-$G221=$J221-$K221,Reglas!$B$6,0))</x:f>
        <x:v>0</x:v>
      </x:c>
      <x:c r="X221" t="n">
        <x:f>IF(OR($N221&lt;&gt;"Finalizado",$Q221&lt;&gt;"Si",$R221&lt;&gt;"Si"),0,IF($F221=$J221,Reglas!$B$7,0))</x:f>
        <x:v>0</x:v>
      </x:c>
      <x:c r="Y221" t="n">
        <x:f>IF(OR($N221&lt;&gt;"Finalizado",$Q221&lt;&gt;"Si",$R221&lt;&gt;"Si"),0,IF($G221=$K221,Reglas!$B$8,0))</x:f>
        <x:v>0</x:v>
      </x:c>
      <x:c r="Z221" t="n">
        <x:f>SUM($S221:$Y221)</x:f>
        <x:v>3</x:v>
      </x:c>
      <x:c r="AA221" t="str">
        <x:f>IF($N221&lt;&gt;"Finalizado","Resultado pendiente",IF($H221="Sin envio","Sin respuesta",IF($Q221&lt;&gt;"Si","No acerto clasificado","OK")))</x:f>
        <x:v>OK</x:v>
      </x:c>
      <x:c r="AB221" t="str">
        <x:v>Google Forms cuartos + ESPN</x:v>
      </x:c>
      <x:c r="AC221" t="n">
        <x:v>3</x:v>
      </x:c>
      <x:c r="AD221" t="n">
        <x:f>$Z221-$AC221</x:f>
        <x:v>0</x:v>
      </x:c>
    </x:row>
    <x:row r="222" ht="15" hidden="0" customHeight="1">
      <x:c r="A222" t="str">
        <x:v>4tos</x:v>
      </x:c>
      <x:c r="B222" t="str">
        <x:v>QF3</x:v>
      </x:c>
      <x:c r="C222" t="str">
        <x:v>Freddy</x:v>
      </x:c>
      <x:c r="D222" t="str">
        <x:v>Noruega</x:v>
      </x:c>
      <x:c r="E222" t="str">
        <x:v>Inglaterra</x:v>
      </x:c>
      <x:c r="F222" t="n">
        <x:v>1</x:v>
      </x:c>
      <x:c r="G222" t="n">
        <x:v>2</x:v>
      </x:c>
      <x:c r="H222" t="str">
        <x:v>Inglaterra</x:v>
      </x:c>
      <x:c r="I222" t="str">
        <x:v>90 minutos</x:v>
      </x:c>
      <x:c r="J222" t="n">
        <x:v>1</x:v>
      </x:c>
      <x:c r="K222" t="n">
        <x:v>2</x:v>
      </x:c>
      <x:c r="L222" t="str">
        <x:v>Inglaterra</x:v>
      </x:c>
      <x:c r="M222" t="str">
        <x:v>Suplementario</x:v>
      </x:c>
      <x:c r="N222" t="str">
        <x:v>Finalizado</x:v>
      </x:c>
      <x:c r="O222" t="str">
        <x:f>IF($H222="Sin envio","Sin envio",IF($I222="90 minutos",IF($F222&gt;$G222,"A",IF($G222&gt;$F222,"B","E")),"E"))</x:f>
        <x:v>B</x:v>
      </x:c>
      <x:c r="P222" t="str">
        <x:f>IF($M222="90 minutos",IF($J222&gt;$K222,"A",IF($K222&gt;$J222,"B","E")),"E")</x:f>
        <x:v>E</x:v>
      </x:c>
      <x:c r="Q222" t="str">
        <x:f>IF($H222="Sin envio","No",IF($H222=$L222,"Si","No"))</x:f>
        <x:v>Si</x:v>
      </x:c>
      <x:c r="R222" t="str">
        <x:f>IF(AND($I222=$M222,NOT(AND($I222="Penales",$F222&lt;&gt;$G222))),"Si","No")</x:f>
        <x:v>No</x:v>
      </x:c>
      <x:c r="S222" t="n">
        <x:f>IF(OR($N222&lt;&gt;"Finalizado",$Q222&lt;&gt;"Si"),0,IF($O222=$P222,Reglas!$B$2,0))</x:f>
        <x:v>0</x:v>
      </x:c>
      <x:c r="T222" t="n">
        <x:f>IF(OR($N222&lt;&gt;"Finalizado",$Q222&lt;&gt;"Si"),0,Reglas!$B$3)</x:f>
        <x:v>3</x:v>
      </x:c>
      <x:c r="U222" t="n">
        <x:f>IF(OR($N222&lt;&gt;"Finalizado",$Q222&lt;&gt;"Si"),0,IF($I222=$M222,Reglas!$B$4,0))</x:f>
        <x:v>0</x:v>
      </x:c>
      <x:c r="V222" t="n">
        <x:f>IF(OR($N222&lt;&gt;"Finalizado",$Q222&lt;&gt;"Si",$R222&lt;&gt;"Si"),0,IF(AND($F222=$J222,$G222=$K222),Reglas!$B$5,0))</x:f>
        <x:v>0</x:v>
      </x:c>
      <x:c r="W222" t="n">
        <x:f>IF(OR($N222&lt;&gt;"Finalizado",$Q222&lt;&gt;"Si",$R222&lt;&gt;"Si"),0,IF($F222-$G222=$J222-$K222,Reglas!$B$6,0))</x:f>
        <x:v>0</x:v>
      </x:c>
      <x:c r="X222" t="n">
        <x:f>IF(OR($N222&lt;&gt;"Finalizado",$Q222&lt;&gt;"Si",$R222&lt;&gt;"Si"),0,IF($F222=$J222,Reglas!$B$7,0))</x:f>
        <x:v>0</x:v>
      </x:c>
      <x:c r="Y222" t="n">
        <x:f>IF(OR($N222&lt;&gt;"Finalizado",$Q222&lt;&gt;"Si",$R222&lt;&gt;"Si"),0,IF($G222=$K222,Reglas!$B$8,0))</x:f>
        <x:v>0</x:v>
      </x:c>
      <x:c r="Z222" t="n">
        <x:f>SUM($S222:$Y222)</x:f>
        <x:v>3</x:v>
      </x:c>
      <x:c r="AA222" t="str">
        <x:f>IF($N222&lt;&gt;"Finalizado","Resultado pendiente",IF($H222="Sin envio","Sin respuesta",IF($Q222&lt;&gt;"Si","No acerto clasificado","OK")))</x:f>
        <x:v>OK</x:v>
      </x:c>
      <x:c r="AB222" t="str">
        <x:v>Google Forms cuartos + ESPN</x:v>
      </x:c>
      <x:c r="AC222" t="n">
        <x:v>3</x:v>
      </x:c>
      <x:c r="AD222" t="n">
        <x:f>$Z222-$AC222</x:f>
        <x:v>0</x:v>
      </x:c>
    </x:row>
    <x:row r="223" ht="15" hidden="0" customHeight="1">
      <x:c r="A223" t="str">
        <x:v>4tos</x:v>
      </x:c>
      <x:c r="B223" t="str">
        <x:v>QF3</x:v>
      </x:c>
      <x:c r="C223" t="str">
        <x:v>Gabriela</x:v>
      </x:c>
      <x:c r="D223" t="str">
        <x:v>Noruega</x:v>
      </x:c>
      <x:c r="E223" t="str">
        <x:v>Inglaterra</x:v>
      </x:c>
      <x:c r="F223" t="n">
        <x:v>2</x:v>
      </x:c>
      <x:c r="G223" t="n">
        <x:v>2</x:v>
      </x:c>
      <x:c r="H223" t="str">
        <x:v>Noruega</x:v>
      </x:c>
      <x:c r="I223" t="str">
        <x:v>Penales</x:v>
      </x:c>
      <x:c r="J223" t="n">
        <x:v>1</x:v>
      </x:c>
      <x:c r="K223" t="n">
        <x:v>2</x:v>
      </x:c>
      <x:c r="L223" t="str">
        <x:v>Inglaterra</x:v>
      </x:c>
      <x:c r="M223" t="str">
        <x:v>Suplementario</x:v>
      </x:c>
      <x:c r="N223" t="str">
        <x:v>Finalizado</x:v>
      </x:c>
      <x:c r="O223" t="str">
        <x:f>IF($H223="Sin envio","Sin envio",IF($I223="90 minutos",IF($F223&gt;$G223,"A",IF($G223&gt;$F223,"B","E")),"E"))</x:f>
        <x:v>E</x:v>
      </x:c>
      <x:c r="P223" t="str">
        <x:f>IF($M223="90 minutos",IF($J223&gt;$K223,"A",IF($K223&gt;$J223,"B","E")),"E")</x:f>
        <x:v>E</x:v>
      </x:c>
      <x:c r="Q223" t="str">
        <x:f>IF($H223="Sin envio","No",IF($H223=$L223,"Si","No"))</x:f>
        <x:v>No</x:v>
      </x:c>
      <x:c r="R223" t="str">
        <x:f>IF(AND($I223=$M223,NOT(AND($I223="Penales",$F223&lt;&gt;$G223))),"Si","No")</x:f>
        <x:v>No</x:v>
      </x:c>
      <x:c r="S223" t="n">
        <x:f>IF(OR($N223&lt;&gt;"Finalizado",$Q223&lt;&gt;"Si"),0,IF($O223=$P223,Reglas!$B$2,0))</x:f>
        <x:v>0</x:v>
      </x:c>
      <x:c r="T223" t="n">
        <x:f>IF(OR($N223&lt;&gt;"Finalizado",$Q223&lt;&gt;"Si"),0,Reglas!$B$3)</x:f>
        <x:v>0</x:v>
      </x:c>
      <x:c r="U223" t="n">
        <x:f>IF(OR($N223&lt;&gt;"Finalizado",$Q223&lt;&gt;"Si"),0,IF($I223=$M223,Reglas!$B$4,0))</x:f>
        <x:v>0</x:v>
      </x:c>
      <x:c r="V223" t="n">
        <x:f>IF(OR($N223&lt;&gt;"Finalizado",$Q223&lt;&gt;"Si",$R223&lt;&gt;"Si"),0,IF(AND($F223=$J223,$G223=$K223),Reglas!$B$5,0))</x:f>
        <x:v>0</x:v>
      </x:c>
      <x:c r="W223" t="n">
        <x:f>IF(OR($N223&lt;&gt;"Finalizado",$Q223&lt;&gt;"Si",$R223&lt;&gt;"Si"),0,IF($F223-$G223=$J223-$K223,Reglas!$B$6,0))</x:f>
        <x:v>0</x:v>
      </x:c>
      <x:c r="X223" t="n">
        <x:f>IF(OR($N223&lt;&gt;"Finalizado",$Q223&lt;&gt;"Si",$R223&lt;&gt;"Si"),0,IF($F223=$J223,Reglas!$B$7,0))</x:f>
        <x:v>0</x:v>
      </x:c>
      <x:c r="Y223" t="n">
        <x:f>IF(OR($N223&lt;&gt;"Finalizado",$Q223&lt;&gt;"Si",$R223&lt;&gt;"Si"),0,IF($G223=$K223,Reglas!$B$8,0))</x:f>
        <x:v>0</x:v>
      </x:c>
      <x:c r="Z223" t="n">
        <x:f>SUM($S223:$Y223)</x:f>
        <x:v>0</x:v>
      </x:c>
      <x:c r="AA223" t="str">
        <x:f>IF($N223&lt;&gt;"Finalizado","Resultado pendiente",IF($H223="Sin envio","Sin respuesta",IF($Q223&lt;&gt;"Si","No acerto clasificado","OK")))</x:f>
        <x:v>No acerto clasificado</x:v>
      </x:c>
      <x:c r="AB223" t="str">
        <x:v>Google Forms cuartos + ESPN</x:v>
      </x:c>
      <x:c r="AC223" t="n">
        <x:v>0</x:v>
      </x:c>
      <x:c r="AD223" t="n">
        <x:f>$Z223-$AC223</x:f>
        <x:v>0</x:v>
      </x:c>
    </x:row>
    <x:row r="224" ht="15" hidden="0" customHeight="1">
      <x:c r="A224" t="str">
        <x:v>4tos</x:v>
      </x:c>
      <x:c r="B224" t="str">
        <x:v>QF3</x:v>
      </x:c>
      <x:c r="C224" t="str">
        <x:v>Jean</x:v>
      </x:c>
      <x:c r="D224" t="str">
        <x:v>Noruega</x:v>
      </x:c>
      <x:c r="E224" t="str">
        <x:v>Inglaterra</x:v>
      </x:c>
      <x:c r="F224" t="n">
        <x:v>0</x:v>
      </x:c>
      <x:c r="G224" t="n">
        <x:v>2</x:v>
      </x:c>
      <x:c r="H224" t="str">
        <x:v>Inglaterra</x:v>
      </x:c>
      <x:c r="I224" t="str">
        <x:v>90 minutos</x:v>
      </x:c>
      <x:c r="J224" t="n">
        <x:v>1</x:v>
      </x:c>
      <x:c r="K224" t="n">
        <x:v>2</x:v>
      </x:c>
      <x:c r="L224" t="str">
        <x:v>Inglaterra</x:v>
      </x:c>
      <x:c r="M224" t="str">
        <x:v>Suplementario</x:v>
      </x:c>
      <x:c r="N224" t="str">
        <x:v>Finalizado</x:v>
      </x:c>
      <x:c r="O224" t="str">
        <x:f>IF($H224="Sin envio","Sin envio",IF($I224="90 minutos",IF($F224&gt;$G224,"A",IF($G224&gt;$F224,"B","E")),"E"))</x:f>
        <x:v>B</x:v>
      </x:c>
      <x:c r="P224" t="str">
        <x:f>IF($M224="90 minutos",IF($J224&gt;$K224,"A",IF($K224&gt;$J224,"B","E")),"E")</x:f>
        <x:v>E</x:v>
      </x:c>
      <x:c r="Q224" t="str">
        <x:f>IF($H224="Sin envio","No",IF($H224=$L224,"Si","No"))</x:f>
        <x:v>Si</x:v>
      </x:c>
      <x:c r="R224" t="str">
        <x:f>IF(AND($I224=$M224,NOT(AND($I224="Penales",$F224&lt;&gt;$G224))),"Si","No")</x:f>
        <x:v>No</x:v>
      </x:c>
      <x:c r="S224" t="n">
        <x:f>IF(OR($N224&lt;&gt;"Finalizado",$Q224&lt;&gt;"Si"),0,IF($O224=$P224,Reglas!$B$2,0))</x:f>
        <x:v>0</x:v>
      </x:c>
      <x:c r="T224" t="n">
        <x:f>IF(OR($N224&lt;&gt;"Finalizado",$Q224&lt;&gt;"Si"),0,Reglas!$B$3)</x:f>
        <x:v>3</x:v>
      </x:c>
      <x:c r="U224" t="n">
        <x:f>IF(OR($N224&lt;&gt;"Finalizado",$Q224&lt;&gt;"Si"),0,IF($I224=$M224,Reglas!$B$4,0))</x:f>
        <x:v>0</x:v>
      </x:c>
      <x:c r="V224" t="n">
        <x:f>IF(OR($N224&lt;&gt;"Finalizado",$Q224&lt;&gt;"Si",$R224&lt;&gt;"Si"),0,IF(AND($F224=$J224,$G224=$K224),Reglas!$B$5,0))</x:f>
        <x:v>0</x:v>
      </x:c>
      <x:c r="W224" t="n">
        <x:f>IF(OR($N224&lt;&gt;"Finalizado",$Q224&lt;&gt;"Si",$R224&lt;&gt;"Si"),0,IF($F224-$G224=$J224-$K224,Reglas!$B$6,0))</x:f>
        <x:v>0</x:v>
      </x:c>
      <x:c r="X224" t="n">
        <x:f>IF(OR($N224&lt;&gt;"Finalizado",$Q224&lt;&gt;"Si",$R224&lt;&gt;"Si"),0,IF($F224=$J224,Reglas!$B$7,0))</x:f>
        <x:v>0</x:v>
      </x:c>
      <x:c r="Y224" t="n">
        <x:f>IF(OR($N224&lt;&gt;"Finalizado",$Q224&lt;&gt;"Si",$R224&lt;&gt;"Si"),0,IF($G224=$K224,Reglas!$B$8,0))</x:f>
        <x:v>0</x:v>
      </x:c>
      <x:c r="Z224" t="n">
        <x:f>SUM($S224:$Y224)</x:f>
        <x:v>3</x:v>
      </x:c>
      <x:c r="AA224" t="str">
        <x:f>IF($N224&lt;&gt;"Finalizado","Resultado pendiente",IF($H224="Sin envio","Sin respuesta",IF($Q224&lt;&gt;"Si","No acerto clasificado","OK")))</x:f>
        <x:v>OK</x:v>
      </x:c>
      <x:c r="AB224" t="str">
        <x:v>Google Forms cuartos + ESPN</x:v>
      </x:c>
      <x:c r="AC224" t="n">
        <x:v>3</x:v>
      </x:c>
      <x:c r="AD224" t="n">
        <x:f>$Z224-$AC224</x:f>
        <x:v>0</x:v>
      </x:c>
    </x:row>
    <x:row r="225" ht="15" hidden="0" customHeight="1">
      <x:c r="A225" t="str">
        <x:v>4tos</x:v>
      </x:c>
      <x:c r="B225" t="str">
        <x:v>QF3</x:v>
      </x:c>
      <x:c r="C225" t="str">
        <x:v>Juan</x:v>
      </x:c>
      <x:c r="D225" t="str">
        <x:v>Noruega</x:v>
      </x:c>
      <x:c r="E225" t="str">
        <x:v>Inglaterra</x:v>
      </x:c>
      <x:c r="F225"/>
      <x:c r="G225"/>
      <x:c r="H225" t="str">
        <x:v>Sin envio</x:v>
      </x:c>
      <x:c r="I225" t="str">
        <x:v>Sin envio</x:v>
      </x:c>
      <x:c r="J225" t="n">
        <x:v>1</x:v>
      </x:c>
      <x:c r="K225" t="n">
        <x:v>2</x:v>
      </x:c>
      <x:c r="L225" t="str">
        <x:v>Inglaterra</x:v>
      </x:c>
      <x:c r="M225" t="str">
        <x:v>Suplementario</x:v>
      </x:c>
      <x:c r="N225" t="str">
        <x:v>Finalizado</x:v>
      </x:c>
      <x:c r="O225" t="str">
        <x:f>IF($H225="Sin envio","Sin envio",IF($I225="90 minutos",IF($F225&gt;$G225,"A",IF($G225&gt;$F225,"B","E")),"E"))</x:f>
        <x:v>Sin envio</x:v>
      </x:c>
      <x:c r="P225" t="str">
        <x:f>IF($M225="90 minutos",IF($J225&gt;$K225,"A",IF($K225&gt;$J225,"B","E")),"E")</x:f>
        <x:v>E</x:v>
      </x:c>
      <x:c r="Q225" t="str">
        <x:f>IF($H225="Sin envio","No",IF($H225=$L225,"Si","No"))</x:f>
        <x:v>No</x:v>
      </x:c>
      <x:c r="R225" t="str">
        <x:f>IF(AND($I225=$M225,NOT(AND($I225="Penales",$F225&lt;&gt;$G225))),"Si","No")</x:f>
        <x:v>No</x:v>
      </x:c>
      <x:c r="S225" t="n">
        <x:f>IF(OR($N225&lt;&gt;"Finalizado",$Q225&lt;&gt;"Si"),0,IF($O225=$P225,Reglas!$B$2,0))</x:f>
        <x:v>0</x:v>
      </x:c>
      <x:c r="T225" t="n">
        <x:f>IF(OR($N225&lt;&gt;"Finalizado",$Q225&lt;&gt;"Si"),0,Reglas!$B$3)</x:f>
        <x:v>0</x:v>
      </x:c>
      <x:c r="U225" t="n">
        <x:f>IF(OR($N225&lt;&gt;"Finalizado",$Q225&lt;&gt;"Si"),0,IF($I225=$M225,Reglas!$B$4,0))</x:f>
        <x:v>0</x:v>
      </x:c>
      <x:c r="V225" t="n">
        <x:f>IF(OR($N225&lt;&gt;"Finalizado",$Q225&lt;&gt;"Si",$R225&lt;&gt;"Si"),0,IF(AND($F225=$J225,$G225=$K225),Reglas!$B$5,0))</x:f>
        <x:v>0</x:v>
      </x:c>
      <x:c r="W225" t="n">
        <x:f>IF(OR($N225&lt;&gt;"Finalizado",$Q225&lt;&gt;"Si",$R225&lt;&gt;"Si"),0,IF($F225-$G225=$J225-$K225,Reglas!$B$6,0))</x:f>
        <x:v>0</x:v>
      </x:c>
      <x:c r="X225" t="n">
        <x:f>IF(OR($N225&lt;&gt;"Finalizado",$Q225&lt;&gt;"Si",$R225&lt;&gt;"Si"),0,IF($F225=$J225,Reglas!$B$7,0))</x:f>
        <x:v>0</x:v>
      </x:c>
      <x:c r="Y225" t="n">
        <x:f>IF(OR($N225&lt;&gt;"Finalizado",$Q225&lt;&gt;"Si",$R225&lt;&gt;"Si"),0,IF($G225=$K225,Reglas!$B$8,0))</x:f>
        <x:v>0</x:v>
      </x:c>
      <x:c r="Z225" t="n">
        <x:f>SUM($S225:$Y225)</x:f>
        <x:v>0</x:v>
      </x:c>
      <x:c r="AA225" t="str">
        <x:f>IF($N225&lt;&gt;"Finalizado","Resultado pendiente",IF($H225="Sin envio","Sin respuesta",IF($Q225&lt;&gt;"Si","No acerto clasificado","OK")))</x:f>
        <x:v>Sin respuesta</x:v>
      </x:c>
      <x:c r="AB225" t="str">
        <x:v>Google Forms cuartos + ESPN</x:v>
      </x:c>
      <x:c r="AC225" t="n">
        <x:v>0</x:v>
      </x:c>
      <x:c r="AD225" t="n">
        <x:f>$Z225-$AC225</x:f>
        <x:v>0</x:v>
      </x:c>
    </x:row>
    <x:row r="226" ht="15" hidden="0" customHeight="1">
      <x:c r="A226" t="str">
        <x:v>4tos</x:v>
      </x:c>
      <x:c r="B226" t="str">
        <x:v>QF3</x:v>
      </x:c>
      <x:c r="C226" t="str">
        <x:v>Jesús</x:v>
      </x:c>
      <x:c r="D226" t="str">
        <x:v>Noruega</x:v>
      </x:c>
      <x:c r="E226" t="str">
        <x:v>Inglaterra</x:v>
      </x:c>
      <x:c r="F226" t="n">
        <x:v>2</x:v>
      </x:c>
      <x:c r="G226" t="n">
        <x:v>1</x:v>
      </x:c>
      <x:c r="H226" t="str">
        <x:v>Noruega</x:v>
      </x:c>
      <x:c r="I226" t="str">
        <x:v>90 minutos</x:v>
      </x:c>
      <x:c r="J226" t="n">
        <x:v>1</x:v>
      </x:c>
      <x:c r="K226" t="n">
        <x:v>2</x:v>
      </x:c>
      <x:c r="L226" t="str">
        <x:v>Inglaterra</x:v>
      </x:c>
      <x:c r="M226" t="str">
        <x:v>Suplementario</x:v>
      </x:c>
      <x:c r="N226" t="str">
        <x:v>Finalizado</x:v>
      </x:c>
      <x:c r="O226" t="str">
        <x:f>IF($H226="Sin envio","Sin envio",IF($I226="90 minutos",IF($F226&gt;$G226,"A",IF($G226&gt;$F226,"B","E")),"E"))</x:f>
        <x:v>A</x:v>
      </x:c>
      <x:c r="P226" t="str">
        <x:f>IF($M226="90 minutos",IF($J226&gt;$K226,"A",IF($K226&gt;$J226,"B","E")),"E")</x:f>
        <x:v>E</x:v>
      </x:c>
      <x:c r="Q226" t="str">
        <x:f>IF($H226="Sin envio","No",IF($H226=$L226,"Si","No"))</x:f>
        <x:v>No</x:v>
      </x:c>
      <x:c r="R226" t="str">
        <x:f>IF(AND($I226=$M226,NOT(AND($I226="Penales",$F226&lt;&gt;$G226))),"Si","No")</x:f>
        <x:v>No</x:v>
      </x:c>
      <x:c r="S226" t="n">
        <x:f>IF(OR($N226&lt;&gt;"Finalizado",$Q226&lt;&gt;"Si"),0,IF($O226=$P226,Reglas!$B$2,0))</x:f>
        <x:v>0</x:v>
      </x:c>
      <x:c r="T226" t="n">
        <x:f>IF(OR($N226&lt;&gt;"Finalizado",$Q226&lt;&gt;"Si"),0,Reglas!$B$3)</x:f>
        <x:v>0</x:v>
      </x:c>
      <x:c r="U226" t="n">
        <x:f>IF(OR($N226&lt;&gt;"Finalizado",$Q226&lt;&gt;"Si"),0,IF($I226=$M226,Reglas!$B$4,0))</x:f>
        <x:v>0</x:v>
      </x:c>
      <x:c r="V226" t="n">
        <x:f>IF(OR($N226&lt;&gt;"Finalizado",$Q226&lt;&gt;"Si",$R226&lt;&gt;"Si"),0,IF(AND($F226=$J226,$G226=$K226),Reglas!$B$5,0))</x:f>
        <x:v>0</x:v>
      </x:c>
      <x:c r="W226" t="n">
        <x:f>IF(OR($N226&lt;&gt;"Finalizado",$Q226&lt;&gt;"Si",$R226&lt;&gt;"Si"),0,IF($F226-$G226=$J226-$K226,Reglas!$B$6,0))</x:f>
        <x:v>0</x:v>
      </x:c>
      <x:c r="X226" t="n">
        <x:f>IF(OR($N226&lt;&gt;"Finalizado",$Q226&lt;&gt;"Si",$R226&lt;&gt;"Si"),0,IF($F226=$J226,Reglas!$B$7,0))</x:f>
        <x:v>0</x:v>
      </x:c>
      <x:c r="Y226" t="n">
        <x:f>IF(OR($N226&lt;&gt;"Finalizado",$Q226&lt;&gt;"Si",$R226&lt;&gt;"Si"),0,IF($G226=$K226,Reglas!$B$8,0))</x:f>
        <x:v>0</x:v>
      </x:c>
      <x:c r="Z226" t="n">
        <x:f>SUM($S226:$Y226)</x:f>
        <x:v>0</x:v>
      </x:c>
      <x:c r="AA226" t="str">
        <x:f>IF($N226&lt;&gt;"Finalizado","Resultado pendiente",IF($H226="Sin envio","Sin respuesta",IF($Q226&lt;&gt;"Si","No acerto clasificado","OK")))</x:f>
        <x:v>No acerto clasificado</x:v>
      </x:c>
      <x:c r="AB226" t="str">
        <x:v>Google Forms cuartos + ESPN</x:v>
      </x:c>
      <x:c r="AC226" t="n">
        <x:v>0</x:v>
      </x:c>
      <x:c r="AD226" t="n">
        <x:f>$Z226-$AC226</x:f>
        <x:v>0</x:v>
      </x:c>
    </x:row>
    <x:row r="227" ht="15" hidden="0" customHeight="1">
      <x:c r="A227" t="str">
        <x:v>4tos</x:v>
      </x:c>
      <x:c r="B227" t="str">
        <x:v>QF3</x:v>
      </x:c>
      <x:c r="C227" t="str">
        <x:v>Diego</x:v>
      </x:c>
      <x:c r="D227" t="str">
        <x:v>Noruega</x:v>
      </x:c>
      <x:c r="E227" t="str">
        <x:v>Inglaterra</x:v>
      </x:c>
      <x:c r="F227" t="n">
        <x:v>2</x:v>
      </x:c>
      <x:c r="G227" t="n">
        <x:v>1</x:v>
      </x:c>
      <x:c r="H227" t="str">
        <x:v>Noruega</x:v>
      </x:c>
      <x:c r="I227" t="str">
        <x:v>Suplementario</x:v>
      </x:c>
      <x:c r="J227" t="n">
        <x:v>1</x:v>
      </x:c>
      <x:c r="K227" t="n">
        <x:v>2</x:v>
      </x:c>
      <x:c r="L227" t="str">
        <x:v>Inglaterra</x:v>
      </x:c>
      <x:c r="M227" t="str">
        <x:v>Suplementario</x:v>
      </x:c>
      <x:c r="N227" t="str">
        <x:v>Finalizado</x:v>
      </x:c>
      <x:c r="O227" t="str">
        <x:f>IF($H227="Sin envio","Sin envio",IF($I227="90 minutos",IF($F227&gt;$G227,"A",IF($G227&gt;$F227,"B","E")),"E"))</x:f>
        <x:v>E</x:v>
      </x:c>
      <x:c r="P227" t="str">
        <x:f>IF($M227="90 minutos",IF($J227&gt;$K227,"A",IF($K227&gt;$J227,"B","E")),"E")</x:f>
        <x:v>E</x:v>
      </x:c>
      <x:c r="Q227" t="str">
        <x:f>IF($H227="Sin envio","No",IF($H227=$L227,"Si","No"))</x:f>
        <x:v>No</x:v>
      </x:c>
      <x:c r="R227" t="str">
        <x:f>IF(AND($I227=$M227,NOT(AND($I227="Penales",$F227&lt;&gt;$G227))),"Si","No")</x:f>
        <x:v>Si</x:v>
      </x:c>
      <x:c r="S227" t="n">
        <x:f>IF(OR($N227&lt;&gt;"Finalizado",$Q227&lt;&gt;"Si"),0,IF($O227=$P227,Reglas!$B$2,0))</x:f>
        <x:v>0</x:v>
      </x:c>
      <x:c r="T227" t="n">
        <x:f>IF(OR($N227&lt;&gt;"Finalizado",$Q227&lt;&gt;"Si"),0,Reglas!$B$3)</x:f>
        <x:v>0</x:v>
      </x:c>
      <x:c r="U227" t="n">
        <x:f>IF(OR($N227&lt;&gt;"Finalizado",$Q227&lt;&gt;"Si"),0,IF($I227=$M227,Reglas!$B$4,0))</x:f>
        <x:v>0</x:v>
      </x:c>
      <x:c r="V227" t="n">
        <x:f>IF(OR($N227&lt;&gt;"Finalizado",$Q227&lt;&gt;"Si",$R227&lt;&gt;"Si"),0,IF(AND($F227=$J227,$G227=$K227),Reglas!$B$5,0))</x:f>
        <x:v>0</x:v>
      </x:c>
      <x:c r="W227" t="n">
        <x:f>IF(OR($N227&lt;&gt;"Finalizado",$Q227&lt;&gt;"Si",$R227&lt;&gt;"Si"),0,IF($F227-$G227=$J227-$K227,Reglas!$B$6,0))</x:f>
        <x:v>0</x:v>
      </x:c>
      <x:c r="X227" t="n">
        <x:f>IF(OR($N227&lt;&gt;"Finalizado",$Q227&lt;&gt;"Si",$R227&lt;&gt;"Si"),0,IF($F227=$J227,Reglas!$B$7,0))</x:f>
        <x:v>0</x:v>
      </x:c>
      <x:c r="Y227" t="n">
        <x:f>IF(OR($N227&lt;&gt;"Finalizado",$Q227&lt;&gt;"Si",$R227&lt;&gt;"Si"),0,IF($G227=$K227,Reglas!$B$8,0))</x:f>
        <x:v>0</x:v>
      </x:c>
      <x:c r="Z227" t="n">
        <x:f>SUM($S227:$Y227)</x:f>
        <x:v>0</x:v>
      </x:c>
      <x:c r="AA227" t="str">
        <x:f>IF($N227&lt;&gt;"Finalizado","Resultado pendiente",IF($H227="Sin envio","Sin respuesta",IF($Q227&lt;&gt;"Si","No acerto clasificado","OK")))</x:f>
        <x:v>No acerto clasificado</x:v>
      </x:c>
      <x:c r="AB227" t="str">
        <x:v>Google Forms cuartos + ESPN</x:v>
      </x:c>
      <x:c r="AC227" t="n">
        <x:v>0</x:v>
      </x:c>
      <x:c r="AD227" t="n">
        <x:f>$Z227-$AC227</x:f>
        <x:v>0</x:v>
      </x:c>
    </x:row>
    <x:row r="228" ht="15" hidden="0" customHeight="1">
      <x:c r="A228" t="str">
        <x:v>4tos</x:v>
      </x:c>
      <x:c r="B228" t="str">
        <x:v>QF3</x:v>
      </x:c>
      <x:c r="C228" t="str">
        <x:v>Aldo</x:v>
      </x:c>
      <x:c r="D228" t="str">
        <x:v>Noruega</x:v>
      </x:c>
      <x:c r="E228" t="str">
        <x:v>Inglaterra</x:v>
      </x:c>
      <x:c r="F228" t="n">
        <x:v>1</x:v>
      </x:c>
      <x:c r="G228" t="n">
        <x:v>2</x:v>
      </x:c>
      <x:c r="H228" t="str">
        <x:v>Inglaterra</x:v>
      </x:c>
      <x:c r="I228" t="str">
        <x:v>90 minutos</x:v>
      </x:c>
      <x:c r="J228" t="n">
        <x:v>1</x:v>
      </x:c>
      <x:c r="K228" t="n">
        <x:v>2</x:v>
      </x:c>
      <x:c r="L228" t="str">
        <x:v>Inglaterra</x:v>
      </x:c>
      <x:c r="M228" t="str">
        <x:v>Suplementario</x:v>
      </x:c>
      <x:c r="N228" t="str">
        <x:v>Finalizado</x:v>
      </x:c>
      <x:c r="O228" t="str">
        <x:f>IF($H228="Sin envio","Sin envio",IF($I228="90 minutos",IF($F228&gt;$G228,"A",IF($G228&gt;$F228,"B","E")),"E"))</x:f>
        <x:v>B</x:v>
      </x:c>
      <x:c r="P228" t="str">
        <x:f>IF($M228="90 minutos",IF($J228&gt;$K228,"A",IF($K228&gt;$J228,"B","E")),"E")</x:f>
        <x:v>E</x:v>
      </x:c>
      <x:c r="Q228" t="str">
        <x:f>IF($H228="Sin envio","No",IF($H228=$L228,"Si","No"))</x:f>
        <x:v>Si</x:v>
      </x:c>
      <x:c r="R228" t="str">
        <x:f>IF(AND($I228=$M228,NOT(AND($I228="Penales",$F228&lt;&gt;$G228))),"Si","No")</x:f>
        <x:v>No</x:v>
      </x:c>
      <x:c r="S228" t="n">
        <x:f>IF(OR($N228&lt;&gt;"Finalizado",$Q228&lt;&gt;"Si"),0,IF($O228=$P228,Reglas!$B$2,0))</x:f>
        <x:v>0</x:v>
      </x:c>
      <x:c r="T228" t="n">
        <x:f>IF(OR($N228&lt;&gt;"Finalizado",$Q228&lt;&gt;"Si"),0,Reglas!$B$3)</x:f>
        <x:v>3</x:v>
      </x:c>
      <x:c r="U228" t="n">
        <x:f>IF(OR($N228&lt;&gt;"Finalizado",$Q228&lt;&gt;"Si"),0,IF($I228=$M228,Reglas!$B$4,0))</x:f>
        <x:v>0</x:v>
      </x:c>
      <x:c r="V228" t="n">
        <x:f>IF(OR($N228&lt;&gt;"Finalizado",$Q228&lt;&gt;"Si",$R228&lt;&gt;"Si"),0,IF(AND($F228=$J228,$G228=$K228),Reglas!$B$5,0))</x:f>
        <x:v>0</x:v>
      </x:c>
      <x:c r="W228" t="n">
        <x:f>IF(OR($N228&lt;&gt;"Finalizado",$Q228&lt;&gt;"Si",$R228&lt;&gt;"Si"),0,IF($F228-$G228=$J228-$K228,Reglas!$B$6,0))</x:f>
        <x:v>0</x:v>
      </x:c>
      <x:c r="X228" t="n">
        <x:f>IF(OR($N228&lt;&gt;"Finalizado",$Q228&lt;&gt;"Si",$R228&lt;&gt;"Si"),0,IF($F228=$J228,Reglas!$B$7,0))</x:f>
        <x:v>0</x:v>
      </x:c>
      <x:c r="Y228" t="n">
        <x:f>IF(OR($N228&lt;&gt;"Finalizado",$Q228&lt;&gt;"Si",$R228&lt;&gt;"Si"),0,IF($G228=$K228,Reglas!$B$8,0))</x:f>
        <x:v>0</x:v>
      </x:c>
      <x:c r="Z228" t="n">
        <x:f>SUM($S228:$Y228)</x:f>
        <x:v>3</x:v>
      </x:c>
      <x:c r="AA228" t="str">
        <x:f>IF($N228&lt;&gt;"Finalizado","Resultado pendiente",IF($H228="Sin envio","Sin respuesta",IF($Q228&lt;&gt;"Si","No acerto clasificado","OK")))</x:f>
        <x:v>OK</x:v>
      </x:c>
      <x:c r="AB228" t="str">
        <x:v>Google Forms cuartos + ESPN</x:v>
      </x:c>
      <x:c r="AC228" t="n">
        <x:v>3</x:v>
      </x:c>
      <x:c r="AD228" t="n">
        <x:f>$Z228-$AC228</x:f>
        <x:v>0</x:v>
      </x:c>
    </x:row>
    <x:row r="229" ht="15" hidden="0" customHeight="1">
      <x:c r="A229" t="str">
        <x:v>4tos</x:v>
      </x:c>
      <x:c r="B229" t="str">
        <x:v>QF3</x:v>
      </x:c>
      <x:c r="C229" t="str">
        <x:v>Javier</x:v>
      </x:c>
      <x:c r="D229" t="str">
        <x:v>Noruega</x:v>
      </x:c>
      <x:c r="E229" t="str">
        <x:v>Inglaterra</x:v>
      </x:c>
      <x:c r="F229" t="n">
        <x:v>2</x:v>
      </x:c>
      <x:c r="G229" t="n">
        <x:v>1</x:v>
      </x:c>
      <x:c r="H229" t="str">
        <x:v>Noruega</x:v>
      </x:c>
      <x:c r="I229" t="str">
        <x:v>Suplementario</x:v>
      </x:c>
      <x:c r="J229" t="n">
        <x:v>1</x:v>
      </x:c>
      <x:c r="K229" t="n">
        <x:v>2</x:v>
      </x:c>
      <x:c r="L229" t="str">
        <x:v>Inglaterra</x:v>
      </x:c>
      <x:c r="M229" t="str">
        <x:v>Suplementario</x:v>
      </x:c>
      <x:c r="N229" t="str">
        <x:v>Finalizado</x:v>
      </x:c>
      <x:c r="O229" t="str">
        <x:f>IF($H229="Sin envio","Sin envio",IF($I229="90 minutos",IF($F229&gt;$G229,"A",IF($G229&gt;$F229,"B","E")),"E"))</x:f>
        <x:v>E</x:v>
      </x:c>
      <x:c r="P229" t="str">
        <x:f>IF($M229="90 minutos",IF($J229&gt;$K229,"A",IF($K229&gt;$J229,"B","E")),"E")</x:f>
        <x:v>E</x:v>
      </x:c>
      <x:c r="Q229" t="str">
        <x:f>IF($H229="Sin envio","No",IF($H229=$L229,"Si","No"))</x:f>
        <x:v>No</x:v>
      </x:c>
      <x:c r="R229" t="str">
        <x:f>IF(AND($I229=$M229,NOT(AND($I229="Penales",$F229&lt;&gt;$G229))),"Si","No")</x:f>
        <x:v>Si</x:v>
      </x:c>
      <x:c r="S229" t="n">
        <x:f>IF(OR($N229&lt;&gt;"Finalizado",$Q229&lt;&gt;"Si"),0,IF($O229=$P229,Reglas!$B$2,0))</x:f>
        <x:v>0</x:v>
      </x:c>
      <x:c r="T229" t="n">
        <x:f>IF(OR($N229&lt;&gt;"Finalizado",$Q229&lt;&gt;"Si"),0,Reglas!$B$3)</x:f>
        <x:v>0</x:v>
      </x:c>
      <x:c r="U229" t="n">
        <x:f>IF(OR($N229&lt;&gt;"Finalizado",$Q229&lt;&gt;"Si"),0,IF($I229=$M229,Reglas!$B$4,0))</x:f>
        <x:v>0</x:v>
      </x:c>
      <x:c r="V229" t="n">
        <x:f>IF(OR($N229&lt;&gt;"Finalizado",$Q229&lt;&gt;"Si",$R229&lt;&gt;"Si"),0,IF(AND($F229=$J229,$G229=$K229),Reglas!$B$5,0))</x:f>
        <x:v>0</x:v>
      </x:c>
      <x:c r="W229" t="n">
        <x:f>IF(OR($N229&lt;&gt;"Finalizado",$Q229&lt;&gt;"Si",$R229&lt;&gt;"Si"),0,IF($F229-$G229=$J229-$K229,Reglas!$B$6,0))</x:f>
        <x:v>0</x:v>
      </x:c>
      <x:c r="X229" t="n">
        <x:f>IF(OR($N229&lt;&gt;"Finalizado",$Q229&lt;&gt;"Si",$R229&lt;&gt;"Si"),0,IF($F229=$J229,Reglas!$B$7,0))</x:f>
        <x:v>0</x:v>
      </x:c>
      <x:c r="Y229" t="n">
        <x:f>IF(OR($N229&lt;&gt;"Finalizado",$Q229&lt;&gt;"Si",$R229&lt;&gt;"Si"),0,IF($G229=$K229,Reglas!$B$8,0))</x:f>
        <x:v>0</x:v>
      </x:c>
      <x:c r="Z229" t="n">
        <x:f>SUM($S229:$Y229)</x:f>
        <x:v>0</x:v>
      </x:c>
      <x:c r="AA229" t="str">
        <x:f>IF($N229&lt;&gt;"Finalizado","Resultado pendiente",IF($H229="Sin envio","Sin respuesta",IF($Q229&lt;&gt;"Si","No acerto clasificado","OK")))</x:f>
        <x:v>No acerto clasificado</x:v>
      </x:c>
      <x:c r="AB229" t="str">
        <x:v>Google Forms cuartos + ESPN</x:v>
      </x:c>
      <x:c r="AC229" t="n">
        <x:v>0</x:v>
      </x:c>
      <x:c r="AD229" t="n">
        <x:f>$Z229-$AC229</x:f>
        <x:v>0</x:v>
      </x:c>
    </x:row>
    <x:row r="230" ht="15" hidden="0" customHeight="1">
      <x:c r="A230" t="str">
        <x:v>4tos</x:v>
      </x:c>
      <x:c r="B230" t="str">
        <x:v>QF3</x:v>
      </x:c>
      <x:c r="C230" t="str">
        <x:v>Gino</x:v>
      </x:c>
      <x:c r="D230" t="str">
        <x:v>Noruega</x:v>
      </x:c>
      <x:c r="E230" t="str">
        <x:v>Inglaterra</x:v>
      </x:c>
      <x:c r="F230" t="n">
        <x:v>1</x:v>
      </x:c>
      <x:c r="G230" t="n">
        <x:v>2</x:v>
      </x:c>
      <x:c r="H230" t="str">
        <x:v>Noruega</x:v>
      </x:c>
      <x:c r="I230" t="str">
        <x:v>Suplementario</x:v>
      </x:c>
      <x:c r="J230" t="n">
        <x:v>1</x:v>
      </x:c>
      <x:c r="K230" t="n">
        <x:v>2</x:v>
      </x:c>
      <x:c r="L230" t="str">
        <x:v>Inglaterra</x:v>
      </x:c>
      <x:c r="M230" t="str">
        <x:v>Suplementario</x:v>
      </x:c>
      <x:c r="N230" t="str">
        <x:v>Finalizado</x:v>
      </x:c>
      <x:c r="O230" t="str">
        <x:f>IF($H230="Sin envio","Sin envio",IF($I230="90 minutos",IF($F230&gt;$G230,"A",IF($G230&gt;$F230,"B","E")),"E"))</x:f>
        <x:v>E</x:v>
      </x:c>
      <x:c r="P230" t="str">
        <x:f>IF($M230="90 minutos",IF($J230&gt;$K230,"A",IF($K230&gt;$J230,"B","E")),"E")</x:f>
        <x:v>E</x:v>
      </x:c>
      <x:c r="Q230" t="str">
        <x:f>IF($H230="Sin envio","No",IF($H230=$L230,"Si","No"))</x:f>
        <x:v>No</x:v>
      </x:c>
      <x:c r="R230" t="str">
        <x:f>IF(AND($I230=$M230,NOT(AND($I230="Penales",$F230&lt;&gt;$G230))),"Si","No")</x:f>
        <x:v>Si</x:v>
      </x:c>
      <x:c r="S230" t="n">
        <x:f>IF(OR($N230&lt;&gt;"Finalizado",$Q230&lt;&gt;"Si"),0,IF($O230=$P230,Reglas!$B$2,0))</x:f>
        <x:v>0</x:v>
      </x:c>
      <x:c r="T230" t="n">
        <x:f>IF(OR($N230&lt;&gt;"Finalizado",$Q230&lt;&gt;"Si"),0,Reglas!$B$3)</x:f>
        <x:v>0</x:v>
      </x:c>
      <x:c r="U230" t="n">
        <x:f>IF(OR($N230&lt;&gt;"Finalizado",$Q230&lt;&gt;"Si"),0,IF($I230=$M230,Reglas!$B$4,0))</x:f>
        <x:v>0</x:v>
      </x:c>
      <x:c r="V230" t="n">
        <x:f>IF(OR($N230&lt;&gt;"Finalizado",$Q230&lt;&gt;"Si",$R230&lt;&gt;"Si"),0,IF(AND($F230=$J230,$G230=$K230),Reglas!$B$5,0))</x:f>
        <x:v>0</x:v>
      </x:c>
      <x:c r="W230" t="n">
        <x:f>IF(OR($N230&lt;&gt;"Finalizado",$Q230&lt;&gt;"Si",$R230&lt;&gt;"Si"),0,IF($F230-$G230=$J230-$K230,Reglas!$B$6,0))</x:f>
        <x:v>0</x:v>
      </x:c>
      <x:c r="X230" t="n">
        <x:f>IF(OR($N230&lt;&gt;"Finalizado",$Q230&lt;&gt;"Si",$R230&lt;&gt;"Si"),0,IF($F230=$J230,Reglas!$B$7,0))</x:f>
        <x:v>0</x:v>
      </x:c>
      <x:c r="Y230" t="n">
        <x:f>IF(OR($N230&lt;&gt;"Finalizado",$Q230&lt;&gt;"Si",$R230&lt;&gt;"Si"),0,IF($G230=$K230,Reglas!$B$8,0))</x:f>
        <x:v>0</x:v>
      </x:c>
      <x:c r="Z230" t="n">
        <x:f>SUM($S230:$Y230)</x:f>
        <x:v>0</x:v>
      </x:c>
      <x:c r="AA230" t="str">
        <x:f>IF($N230&lt;&gt;"Finalizado","Resultado pendiente",IF($H230="Sin envio","Sin respuesta",IF($Q230&lt;&gt;"Si","No acerto clasificado","OK")))</x:f>
        <x:v>No acerto clasificado</x:v>
      </x:c>
      <x:c r="AB230" t="str">
        <x:v>Google Forms cuartos + ESPN</x:v>
      </x:c>
      <x:c r="AC230" t="n">
        <x:v>0</x:v>
      </x:c>
      <x:c r="AD230" t="n">
        <x:f>$Z230-$AC230</x:f>
        <x:v>0</x:v>
      </x:c>
    </x:row>
    <x:row r="231" ht="15" hidden="0" customHeight="1">
      <x:c r="A231" t="str">
        <x:v>4tos</x:v>
      </x:c>
      <x:c r="B231" t="str">
        <x:v>QF3</x:v>
      </x:c>
      <x:c r="C231" t="str">
        <x:v>Manuel</x:v>
      </x:c>
      <x:c r="D231" t="str">
        <x:v>Noruega</x:v>
      </x:c>
      <x:c r="E231" t="str">
        <x:v>Inglaterra</x:v>
      </x:c>
      <x:c r="F231" t="n">
        <x:v>3</x:v>
      </x:c>
      <x:c r="G231" t="n">
        <x:v>2</x:v>
      </x:c>
      <x:c r="H231" t="str">
        <x:v>Noruega</x:v>
      </x:c>
      <x:c r="I231" t="str">
        <x:v>Suplementario</x:v>
      </x:c>
      <x:c r="J231" t="n">
        <x:v>1</x:v>
      </x:c>
      <x:c r="K231" t="n">
        <x:v>2</x:v>
      </x:c>
      <x:c r="L231" t="str">
        <x:v>Inglaterra</x:v>
      </x:c>
      <x:c r="M231" t="str">
        <x:v>Suplementario</x:v>
      </x:c>
      <x:c r="N231" t="str">
        <x:v>Finalizado</x:v>
      </x:c>
      <x:c r="O231" t="str">
        <x:f>IF($H231="Sin envio","Sin envio",IF($I231="90 minutos",IF($F231&gt;$G231,"A",IF($G231&gt;$F231,"B","E")),"E"))</x:f>
        <x:v>E</x:v>
      </x:c>
      <x:c r="P231" t="str">
        <x:f>IF($M231="90 minutos",IF($J231&gt;$K231,"A",IF($K231&gt;$J231,"B","E")),"E")</x:f>
        <x:v>E</x:v>
      </x:c>
      <x:c r="Q231" t="str">
        <x:f>IF($H231="Sin envio","No",IF($H231=$L231,"Si","No"))</x:f>
        <x:v>No</x:v>
      </x:c>
      <x:c r="R231" t="str">
        <x:f>IF(AND($I231=$M231,NOT(AND($I231="Penales",$F231&lt;&gt;$G231))),"Si","No")</x:f>
        <x:v>Si</x:v>
      </x:c>
      <x:c r="S231" t="n">
        <x:f>IF(OR($N231&lt;&gt;"Finalizado",$Q231&lt;&gt;"Si"),0,IF($O231=$P231,Reglas!$B$2,0))</x:f>
        <x:v>0</x:v>
      </x:c>
      <x:c r="T231" t="n">
        <x:f>IF(OR($N231&lt;&gt;"Finalizado",$Q231&lt;&gt;"Si"),0,Reglas!$B$3)</x:f>
        <x:v>0</x:v>
      </x:c>
      <x:c r="U231" t="n">
        <x:f>IF(OR($N231&lt;&gt;"Finalizado",$Q231&lt;&gt;"Si"),0,IF($I231=$M231,Reglas!$B$4,0))</x:f>
        <x:v>0</x:v>
      </x:c>
      <x:c r="V231" t="n">
        <x:f>IF(OR($N231&lt;&gt;"Finalizado",$Q231&lt;&gt;"Si",$R231&lt;&gt;"Si"),0,IF(AND($F231=$J231,$G231=$K231),Reglas!$B$5,0))</x:f>
        <x:v>0</x:v>
      </x:c>
      <x:c r="W231" t="n">
        <x:f>IF(OR($N231&lt;&gt;"Finalizado",$Q231&lt;&gt;"Si",$R231&lt;&gt;"Si"),0,IF($F231-$G231=$J231-$K231,Reglas!$B$6,0))</x:f>
        <x:v>0</x:v>
      </x:c>
      <x:c r="X231" t="n">
        <x:f>IF(OR($N231&lt;&gt;"Finalizado",$Q231&lt;&gt;"Si",$R231&lt;&gt;"Si"),0,IF($F231=$J231,Reglas!$B$7,0))</x:f>
        <x:v>0</x:v>
      </x:c>
      <x:c r="Y231" t="n">
        <x:f>IF(OR($N231&lt;&gt;"Finalizado",$Q231&lt;&gt;"Si",$R231&lt;&gt;"Si"),0,IF($G231=$K231,Reglas!$B$8,0))</x:f>
        <x:v>0</x:v>
      </x:c>
      <x:c r="Z231" t="n">
        <x:f>SUM($S231:$Y231)</x:f>
        <x:v>0</x:v>
      </x:c>
      <x:c r="AA231" t="str">
        <x:f>IF($N231&lt;&gt;"Finalizado","Resultado pendiente",IF($H231="Sin envio","Sin respuesta",IF($Q231&lt;&gt;"Si","No acerto clasificado","OK")))</x:f>
        <x:v>No acerto clasificado</x:v>
      </x:c>
      <x:c r="AB231" t="str">
        <x:v>Google Forms cuartos + ESPN</x:v>
      </x:c>
      <x:c r="AC231" t="n">
        <x:v>0</x:v>
      </x:c>
      <x:c r="AD231" t="n">
        <x:f>$Z231-$AC231</x:f>
        <x:v>0</x:v>
      </x:c>
    </x:row>
    <x:row r="232" ht="15" hidden="0" customHeight="1">
      <x:c r="A232" t="str">
        <x:v>4tos</x:v>
      </x:c>
      <x:c r="B232" t="str">
        <x:v>QF3</x:v>
      </x:c>
      <x:c r="C232" t="str">
        <x:v>Jorge</x:v>
      </x:c>
      <x:c r="D232" t="str">
        <x:v>Noruega</x:v>
      </x:c>
      <x:c r="E232" t="str">
        <x:v>Inglaterra</x:v>
      </x:c>
      <x:c r="F232" t="n">
        <x:v>1</x:v>
      </x:c>
      <x:c r="G232" t="n">
        <x:v>2</x:v>
      </x:c>
      <x:c r="H232" t="str">
        <x:v>Noruega</x:v>
      </x:c>
      <x:c r="I232" t="str">
        <x:v>90 minutos</x:v>
      </x:c>
      <x:c r="J232" t="n">
        <x:v>1</x:v>
      </x:c>
      <x:c r="K232" t="n">
        <x:v>2</x:v>
      </x:c>
      <x:c r="L232" t="str">
        <x:v>Inglaterra</x:v>
      </x:c>
      <x:c r="M232" t="str">
        <x:v>Suplementario</x:v>
      </x:c>
      <x:c r="N232" t="str">
        <x:v>Finalizado</x:v>
      </x:c>
      <x:c r="O232" t="str">
        <x:f>IF($H232="Sin envio","Sin envio",IF($I232="90 minutos",IF($F232&gt;$G232,"A",IF($G232&gt;$F232,"B","E")),"E"))</x:f>
        <x:v>B</x:v>
      </x:c>
      <x:c r="P232" t="str">
        <x:f>IF($M232="90 minutos",IF($J232&gt;$K232,"A",IF($K232&gt;$J232,"B","E")),"E")</x:f>
        <x:v>E</x:v>
      </x:c>
      <x:c r="Q232" t="str">
        <x:f>IF($H232="Sin envio","No",IF($H232=$L232,"Si","No"))</x:f>
        <x:v>No</x:v>
      </x:c>
      <x:c r="R232" t="str">
        <x:f>IF(AND($I232=$M232,NOT(AND($I232="Penales",$F232&lt;&gt;$G232))),"Si","No")</x:f>
        <x:v>No</x:v>
      </x:c>
      <x:c r="S232" t="n">
        <x:f>IF(OR($N232&lt;&gt;"Finalizado",$Q232&lt;&gt;"Si"),0,IF($O232=$P232,Reglas!$B$2,0))</x:f>
        <x:v>0</x:v>
      </x:c>
      <x:c r="T232" t="n">
        <x:f>IF(OR($N232&lt;&gt;"Finalizado",$Q232&lt;&gt;"Si"),0,Reglas!$B$3)</x:f>
        <x:v>0</x:v>
      </x:c>
      <x:c r="U232" t="n">
        <x:f>IF(OR($N232&lt;&gt;"Finalizado",$Q232&lt;&gt;"Si"),0,IF($I232=$M232,Reglas!$B$4,0))</x:f>
        <x:v>0</x:v>
      </x:c>
      <x:c r="V232" t="n">
        <x:f>IF(OR($N232&lt;&gt;"Finalizado",$Q232&lt;&gt;"Si",$R232&lt;&gt;"Si"),0,IF(AND($F232=$J232,$G232=$K232),Reglas!$B$5,0))</x:f>
        <x:v>0</x:v>
      </x:c>
      <x:c r="W232" t="n">
        <x:f>IF(OR($N232&lt;&gt;"Finalizado",$Q232&lt;&gt;"Si",$R232&lt;&gt;"Si"),0,IF($F232-$G232=$J232-$K232,Reglas!$B$6,0))</x:f>
        <x:v>0</x:v>
      </x:c>
      <x:c r="X232" t="n">
        <x:f>IF(OR($N232&lt;&gt;"Finalizado",$Q232&lt;&gt;"Si",$R232&lt;&gt;"Si"),0,IF($F232=$J232,Reglas!$B$7,0))</x:f>
        <x:v>0</x:v>
      </x:c>
      <x:c r="Y232" t="n">
        <x:f>IF(OR($N232&lt;&gt;"Finalizado",$Q232&lt;&gt;"Si",$R232&lt;&gt;"Si"),0,IF($G232=$K232,Reglas!$B$8,0))</x:f>
        <x:v>0</x:v>
      </x:c>
      <x:c r="Z232" t="n">
        <x:f>SUM($S232:$Y232)</x:f>
        <x:v>0</x:v>
      </x:c>
      <x:c r="AA232" t="str">
        <x:f>IF($N232&lt;&gt;"Finalizado","Resultado pendiente",IF($H232="Sin envio","Sin respuesta",IF($Q232&lt;&gt;"Si","No acerto clasificado","OK")))</x:f>
        <x:v>No acerto clasificado</x:v>
      </x:c>
      <x:c r="AB232" t="str">
        <x:v>Google Forms cuartos + ESPN</x:v>
      </x:c>
      <x:c r="AC232" t="n">
        <x:v>0</x:v>
      </x:c>
      <x:c r="AD232" t="n">
        <x:f>$Z232-$AC232</x:f>
        <x:v>0</x:v>
      </x:c>
    </x:row>
    <x:row r="233" ht="15" hidden="0" customHeight="1">
      <x:c r="A233" t="str">
        <x:v>4tos</x:v>
      </x:c>
      <x:c r="B233" t="str">
        <x:v>QF3</x:v>
      </x:c>
      <x:c r="C233" t="str">
        <x:v>Daniel</x:v>
      </x:c>
      <x:c r="D233" t="str">
        <x:v>Noruega</x:v>
      </x:c>
      <x:c r="E233" t="str">
        <x:v>Inglaterra</x:v>
      </x:c>
      <x:c r="F233" t="n">
        <x:v>2</x:v>
      </x:c>
      <x:c r="G233" t="n">
        <x:v>2</x:v>
      </x:c>
      <x:c r="H233" t="str">
        <x:v>Noruega</x:v>
      </x:c>
      <x:c r="I233" t="str">
        <x:v>Penales</x:v>
      </x:c>
      <x:c r="J233" t="n">
        <x:v>1</x:v>
      </x:c>
      <x:c r="K233" t="n">
        <x:v>2</x:v>
      </x:c>
      <x:c r="L233" t="str">
        <x:v>Inglaterra</x:v>
      </x:c>
      <x:c r="M233" t="str">
        <x:v>Suplementario</x:v>
      </x:c>
      <x:c r="N233" t="str">
        <x:v>Finalizado</x:v>
      </x:c>
      <x:c r="O233" t="str">
        <x:f>IF($H233="Sin envio","Sin envio",IF($I233="90 minutos",IF($F233&gt;$G233,"A",IF($G233&gt;$F233,"B","E")),"E"))</x:f>
        <x:v>E</x:v>
      </x:c>
      <x:c r="P233" t="str">
        <x:f>IF($M233="90 minutos",IF($J233&gt;$K233,"A",IF($K233&gt;$J233,"B","E")),"E")</x:f>
        <x:v>E</x:v>
      </x:c>
      <x:c r="Q233" t="str">
        <x:f>IF($H233="Sin envio","No",IF($H233=$L233,"Si","No"))</x:f>
        <x:v>No</x:v>
      </x:c>
      <x:c r="R233" t="str">
        <x:f>IF(AND($I233=$M233,NOT(AND($I233="Penales",$F233&lt;&gt;$G233))),"Si","No")</x:f>
        <x:v>No</x:v>
      </x:c>
      <x:c r="S233" t="n">
        <x:f>IF(OR($N233&lt;&gt;"Finalizado",$Q233&lt;&gt;"Si"),0,IF($O233=$P233,Reglas!$B$2,0))</x:f>
        <x:v>0</x:v>
      </x:c>
      <x:c r="T233" t="n">
        <x:f>IF(OR($N233&lt;&gt;"Finalizado",$Q233&lt;&gt;"Si"),0,Reglas!$B$3)</x:f>
        <x:v>0</x:v>
      </x:c>
      <x:c r="U233" t="n">
        <x:f>IF(OR($N233&lt;&gt;"Finalizado",$Q233&lt;&gt;"Si"),0,IF($I233=$M233,Reglas!$B$4,0))</x:f>
        <x:v>0</x:v>
      </x:c>
      <x:c r="V233" t="n">
        <x:f>IF(OR($N233&lt;&gt;"Finalizado",$Q233&lt;&gt;"Si",$R233&lt;&gt;"Si"),0,IF(AND($F233=$J233,$G233=$K233),Reglas!$B$5,0))</x:f>
        <x:v>0</x:v>
      </x:c>
      <x:c r="W233" t="n">
        <x:f>IF(OR($N233&lt;&gt;"Finalizado",$Q233&lt;&gt;"Si",$R233&lt;&gt;"Si"),0,IF($F233-$G233=$J233-$K233,Reglas!$B$6,0))</x:f>
        <x:v>0</x:v>
      </x:c>
      <x:c r="X233" t="n">
        <x:f>IF(OR($N233&lt;&gt;"Finalizado",$Q233&lt;&gt;"Si",$R233&lt;&gt;"Si"),0,IF($F233=$J233,Reglas!$B$7,0))</x:f>
        <x:v>0</x:v>
      </x:c>
      <x:c r="Y233" t="n">
        <x:f>IF(OR($N233&lt;&gt;"Finalizado",$Q233&lt;&gt;"Si",$R233&lt;&gt;"Si"),0,IF($G233=$K233,Reglas!$B$8,0))</x:f>
        <x:v>0</x:v>
      </x:c>
      <x:c r="Z233" t="n">
        <x:f>SUM($S233:$Y233)</x:f>
        <x:v>0</x:v>
      </x:c>
      <x:c r="AA233" t="str">
        <x:f>IF($N233&lt;&gt;"Finalizado","Resultado pendiente",IF($H233="Sin envio","Sin respuesta",IF($Q233&lt;&gt;"Si","No acerto clasificado","OK")))</x:f>
        <x:v>No acerto clasificado</x:v>
      </x:c>
      <x:c r="AB233" t="str">
        <x:v>Google Forms cuartos + ESPN</x:v>
      </x:c>
      <x:c r="AC233" t="n">
        <x:v>0</x:v>
      </x:c>
      <x:c r="AD233" t="n">
        <x:f>$Z233-$AC233</x:f>
        <x:v>0</x:v>
      </x:c>
    </x:row>
    <x:row r="234" ht="15" hidden="0" customHeight="1">
      <x:c r="A234" t="str">
        <x:v>4tos</x:v>
      </x:c>
      <x:c r="B234" t="str">
        <x:v>QF3</x:v>
      </x:c>
      <x:c r="C234" t="str">
        <x:v>Arthur</x:v>
      </x:c>
      <x:c r="D234" t="str">
        <x:v>Noruega</x:v>
      </x:c>
      <x:c r="E234" t="str">
        <x:v>Inglaterra</x:v>
      </x:c>
      <x:c r="F234" t="n">
        <x:v>2</x:v>
      </x:c>
      <x:c r="G234" t="n">
        <x:v>1</x:v>
      </x:c>
      <x:c r="H234" t="str">
        <x:v>Noruega</x:v>
      </x:c>
      <x:c r="I234" t="str">
        <x:v>Suplementario</x:v>
      </x:c>
      <x:c r="J234" t="n">
        <x:v>1</x:v>
      </x:c>
      <x:c r="K234" t="n">
        <x:v>2</x:v>
      </x:c>
      <x:c r="L234" t="str">
        <x:v>Inglaterra</x:v>
      </x:c>
      <x:c r="M234" t="str">
        <x:v>Suplementario</x:v>
      </x:c>
      <x:c r="N234" t="str">
        <x:v>Finalizado</x:v>
      </x:c>
      <x:c r="O234" t="str">
        <x:f>IF($H234="Sin envio","Sin envio",IF($I234="90 minutos",IF($F234&gt;$G234,"A",IF($G234&gt;$F234,"B","E")),"E"))</x:f>
        <x:v>E</x:v>
      </x:c>
      <x:c r="P234" t="str">
        <x:f>IF($M234="90 minutos",IF($J234&gt;$K234,"A",IF($K234&gt;$J234,"B","E")),"E")</x:f>
        <x:v>E</x:v>
      </x:c>
      <x:c r="Q234" t="str">
        <x:f>IF($H234="Sin envio","No",IF($H234=$L234,"Si","No"))</x:f>
        <x:v>No</x:v>
      </x:c>
      <x:c r="R234" t="str">
        <x:f>IF(AND($I234=$M234,NOT(AND($I234="Penales",$F234&lt;&gt;$G234))),"Si","No")</x:f>
        <x:v>Si</x:v>
      </x:c>
      <x:c r="S234" t="n">
        <x:f>IF(OR($N234&lt;&gt;"Finalizado",$Q234&lt;&gt;"Si"),0,IF($O234=$P234,Reglas!$B$2,0))</x:f>
        <x:v>0</x:v>
      </x:c>
      <x:c r="T234" t="n">
        <x:f>IF(OR($N234&lt;&gt;"Finalizado",$Q234&lt;&gt;"Si"),0,Reglas!$B$3)</x:f>
        <x:v>0</x:v>
      </x:c>
      <x:c r="U234" t="n">
        <x:f>IF(OR($N234&lt;&gt;"Finalizado",$Q234&lt;&gt;"Si"),0,IF($I234=$M234,Reglas!$B$4,0))</x:f>
        <x:v>0</x:v>
      </x:c>
      <x:c r="V234" t="n">
        <x:f>IF(OR($N234&lt;&gt;"Finalizado",$Q234&lt;&gt;"Si",$R234&lt;&gt;"Si"),0,IF(AND($F234=$J234,$G234=$K234),Reglas!$B$5,0))</x:f>
        <x:v>0</x:v>
      </x:c>
      <x:c r="W234" t="n">
        <x:f>IF(OR($N234&lt;&gt;"Finalizado",$Q234&lt;&gt;"Si",$R234&lt;&gt;"Si"),0,IF($F234-$G234=$J234-$K234,Reglas!$B$6,0))</x:f>
        <x:v>0</x:v>
      </x:c>
      <x:c r="X234" t="n">
        <x:f>IF(OR($N234&lt;&gt;"Finalizado",$Q234&lt;&gt;"Si",$R234&lt;&gt;"Si"),0,IF($F234=$J234,Reglas!$B$7,0))</x:f>
        <x:v>0</x:v>
      </x:c>
      <x:c r="Y234" t="n">
        <x:f>IF(OR($N234&lt;&gt;"Finalizado",$Q234&lt;&gt;"Si",$R234&lt;&gt;"Si"),0,IF($G234=$K234,Reglas!$B$8,0))</x:f>
        <x:v>0</x:v>
      </x:c>
      <x:c r="Z234" t="n">
        <x:f>SUM($S234:$Y234)</x:f>
        <x:v>0</x:v>
      </x:c>
      <x:c r="AA234" t="str">
        <x:f>IF($N234&lt;&gt;"Finalizado","Resultado pendiente",IF($H234="Sin envio","Sin respuesta",IF($Q234&lt;&gt;"Si","No acerto clasificado","OK")))</x:f>
        <x:v>No acerto clasificado</x:v>
      </x:c>
      <x:c r="AB234" t="str">
        <x:v>Google Forms cuartos + ESPN</x:v>
      </x:c>
      <x:c r="AC234" t="n">
        <x:v>0</x:v>
      </x:c>
      <x:c r="AD234" t="n">
        <x:f>$Z234-$AC234</x:f>
        <x:v>0</x:v>
      </x:c>
    </x:row>
    <x:row r="235" ht="15" hidden="0" customHeight="1">
      <x:c r="A235" t="str">
        <x:v>4tos</x:v>
      </x:c>
      <x:c r="B235" t="str">
        <x:v>QF3</x:v>
      </x:c>
      <x:c r="C235" t="str">
        <x:v>José Luis</x:v>
      </x:c>
      <x:c r="D235" t="str">
        <x:v>Noruega</x:v>
      </x:c>
      <x:c r="E235" t="str">
        <x:v>Inglaterra</x:v>
      </x:c>
      <x:c r="F235"/>
      <x:c r="G235"/>
      <x:c r="H235" t="str">
        <x:v>Sin envio</x:v>
      </x:c>
      <x:c r="I235" t="str">
        <x:v>Sin envio</x:v>
      </x:c>
      <x:c r="J235" t="n">
        <x:v>1</x:v>
      </x:c>
      <x:c r="K235" t="n">
        <x:v>2</x:v>
      </x:c>
      <x:c r="L235" t="str">
        <x:v>Inglaterra</x:v>
      </x:c>
      <x:c r="M235" t="str">
        <x:v>Suplementario</x:v>
      </x:c>
      <x:c r="N235" t="str">
        <x:v>Finalizado</x:v>
      </x:c>
      <x:c r="O235" t="str">
        <x:f>IF($H235="Sin envio","Sin envio",IF($I235="90 minutos",IF($F235&gt;$G235,"A",IF($G235&gt;$F235,"B","E")),"E"))</x:f>
        <x:v>Sin envio</x:v>
      </x:c>
      <x:c r="P235" t="str">
        <x:f>IF($M235="90 minutos",IF($J235&gt;$K235,"A",IF($K235&gt;$J235,"B","E")),"E")</x:f>
        <x:v>E</x:v>
      </x:c>
      <x:c r="Q235" t="str">
        <x:f>IF($H235="Sin envio","No",IF($H235=$L235,"Si","No"))</x:f>
        <x:v>No</x:v>
      </x:c>
      <x:c r="R235" t="str">
        <x:f>IF(AND($I235=$M235,NOT(AND($I235="Penales",$F235&lt;&gt;$G235))),"Si","No")</x:f>
        <x:v>No</x:v>
      </x:c>
      <x:c r="S235" t="n">
        <x:f>IF(OR($N235&lt;&gt;"Finalizado",$Q235&lt;&gt;"Si"),0,IF($O235=$P235,Reglas!$B$2,0))</x:f>
        <x:v>0</x:v>
      </x:c>
      <x:c r="T235" t="n">
        <x:f>IF(OR($N235&lt;&gt;"Finalizado",$Q235&lt;&gt;"Si"),0,Reglas!$B$3)</x:f>
        <x:v>0</x:v>
      </x:c>
      <x:c r="U235" t="n">
        <x:f>IF(OR($N235&lt;&gt;"Finalizado",$Q235&lt;&gt;"Si"),0,IF($I235=$M235,Reglas!$B$4,0))</x:f>
        <x:v>0</x:v>
      </x:c>
      <x:c r="V235" t="n">
        <x:f>IF(OR($N235&lt;&gt;"Finalizado",$Q235&lt;&gt;"Si",$R235&lt;&gt;"Si"),0,IF(AND($F235=$J235,$G235=$K235),Reglas!$B$5,0))</x:f>
        <x:v>0</x:v>
      </x:c>
      <x:c r="W235" t="n">
        <x:f>IF(OR($N235&lt;&gt;"Finalizado",$Q235&lt;&gt;"Si",$R235&lt;&gt;"Si"),0,IF($F235-$G235=$J235-$K235,Reglas!$B$6,0))</x:f>
        <x:v>0</x:v>
      </x:c>
      <x:c r="X235" t="n">
        <x:f>IF(OR($N235&lt;&gt;"Finalizado",$Q235&lt;&gt;"Si",$R235&lt;&gt;"Si"),0,IF($F235=$J235,Reglas!$B$7,0))</x:f>
        <x:v>0</x:v>
      </x:c>
      <x:c r="Y235" t="n">
        <x:f>IF(OR($N235&lt;&gt;"Finalizado",$Q235&lt;&gt;"Si",$R235&lt;&gt;"Si"),0,IF($G235=$K235,Reglas!$B$8,0))</x:f>
        <x:v>0</x:v>
      </x:c>
      <x:c r="Z235" t="n">
        <x:f>SUM($S235:$Y235)</x:f>
        <x:v>0</x:v>
      </x:c>
      <x:c r="AA235" t="str">
        <x:f>IF($N235&lt;&gt;"Finalizado","Resultado pendiente",IF($H235="Sin envio","Sin respuesta",IF($Q235&lt;&gt;"Si","No acerto clasificado","OK")))</x:f>
        <x:v>Sin respuesta</x:v>
      </x:c>
      <x:c r="AB235" t="str">
        <x:v>Google Forms cuartos + ESPN</x:v>
      </x:c>
      <x:c r="AC235" t="n">
        <x:v>0</x:v>
      </x:c>
      <x:c r="AD235" t="n">
        <x:f>$Z235-$AC235</x:f>
        <x:v>0</x:v>
      </x:c>
    </x:row>
    <x:row r="236" ht="15" hidden="0" customHeight="1">
      <x:c r="A236" t="str">
        <x:v>4tos</x:v>
      </x:c>
      <x:c r="B236" t="str">
        <x:v>QF3</x:v>
      </x:c>
      <x:c r="C236" t="str">
        <x:v>Marcelo</x:v>
      </x:c>
      <x:c r="D236" t="str">
        <x:v>Noruega</x:v>
      </x:c>
      <x:c r="E236" t="str">
        <x:v>Inglaterra</x:v>
      </x:c>
      <x:c r="F236"/>
      <x:c r="G236"/>
      <x:c r="H236" t="str">
        <x:v>Sin envio</x:v>
      </x:c>
      <x:c r="I236" t="str">
        <x:v>Sin envio</x:v>
      </x:c>
      <x:c r="J236" t="n">
        <x:v>1</x:v>
      </x:c>
      <x:c r="K236" t="n">
        <x:v>2</x:v>
      </x:c>
      <x:c r="L236" t="str">
        <x:v>Inglaterra</x:v>
      </x:c>
      <x:c r="M236" t="str">
        <x:v>Suplementario</x:v>
      </x:c>
      <x:c r="N236" t="str">
        <x:v>Finalizado</x:v>
      </x:c>
      <x:c r="O236" t="str">
        <x:f>IF($H236="Sin envio","Sin envio",IF($I236="90 minutos",IF($F236&gt;$G236,"A",IF($G236&gt;$F236,"B","E")),"E"))</x:f>
        <x:v>Sin envio</x:v>
      </x:c>
      <x:c r="P236" t="str">
        <x:f>IF($M236="90 minutos",IF($J236&gt;$K236,"A",IF($K236&gt;$J236,"B","E")),"E")</x:f>
        <x:v>E</x:v>
      </x:c>
      <x:c r="Q236" t="str">
        <x:f>IF($H236="Sin envio","No",IF($H236=$L236,"Si","No"))</x:f>
        <x:v>No</x:v>
      </x:c>
      <x:c r="R236" t="str">
        <x:f>IF(AND($I236=$M236,NOT(AND($I236="Penales",$F236&lt;&gt;$G236))),"Si","No")</x:f>
        <x:v>No</x:v>
      </x:c>
      <x:c r="S236" t="n">
        <x:f>IF(OR($N236&lt;&gt;"Finalizado",$Q236&lt;&gt;"Si"),0,IF($O236=$P236,Reglas!$B$2,0))</x:f>
        <x:v>0</x:v>
      </x:c>
      <x:c r="T236" t="n">
        <x:f>IF(OR($N236&lt;&gt;"Finalizado",$Q236&lt;&gt;"Si"),0,Reglas!$B$3)</x:f>
        <x:v>0</x:v>
      </x:c>
      <x:c r="U236" t="n">
        <x:f>IF(OR($N236&lt;&gt;"Finalizado",$Q236&lt;&gt;"Si"),0,IF($I236=$M236,Reglas!$B$4,0))</x:f>
        <x:v>0</x:v>
      </x:c>
      <x:c r="V236" t="n">
        <x:f>IF(OR($N236&lt;&gt;"Finalizado",$Q236&lt;&gt;"Si",$R236&lt;&gt;"Si"),0,IF(AND($F236=$J236,$G236=$K236),Reglas!$B$5,0))</x:f>
        <x:v>0</x:v>
      </x:c>
      <x:c r="W236" t="n">
        <x:f>IF(OR($N236&lt;&gt;"Finalizado",$Q236&lt;&gt;"Si",$R236&lt;&gt;"Si"),0,IF($F236-$G236=$J236-$K236,Reglas!$B$6,0))</x:f>
        <x:v>0</x:v>
      </x:c>
      <x:c r="X236" t="n">
        <x:f>IF(OR($N236&lt;&gt;"Finalizado",$Q236&lt;&gt;"Si",$R236&lt;&gt;"Si"),0,IF($F236=$J236,Reglas!$B$7,0))</x:f>
        <x:v>0</x:v>
      </x:c>
      <x:c r="Y236" t="n">
        <x:f>IF(OR($N236&lt;&gt;"Finalizado",$Q236&lt;&gt;"Si",$R236&lt;&gt;"Si"),0,IF($G236=$K236,Reglas!$B$8,0))</x:f>
        <x:v>0</x:v>
      </x:c>
      <x:c r="Z236" t="n">
        <x:f>SUM($S236:$Y236)</x:f>
        <x:v>0</x:v>
      </x:c>
      <x:c r="AA236" t="str">
        <x:f>IF($N236&lt;&gt;"Finalizado","Resultado pendiente",IF($H236="Sin envio","Sin respuesta",IF($Q236&lt;&gt;"Si","No acerto clasificado","OK")))</x:f>
        <x:v>Sin respuesta</x:v>
      </x:c>
      <x:c r="AB236" t="str">
        <x:v>Google Forms cuartos + ESPN</x:v>
      </x:c>
      <x:c r="AC236" t="n">
        <x:v>0</x:v>
      </x:c>
      <x:c r="AD236" t="n">
        <x:f>$Z236-$AC236</x:f>
        <x:v>0</x:v>
      </x:c>
    </x:row>
    <x:row r="237" ht="15" hidden="0" customHeight="1">
      <x:c r="A237" t="str">
        <x:v>4tos</x:v>
      </x:c>
      <x:c r="B237" t="str">
        <x:v>QF3</x:v>
      </x:c>
      <x:c r="C237" t="str">
        <x:v>Anny</x:v>
      </x:c>
      <x:c r="D237" t="str">
        <x:v>Noruega</x:v>
      </x:c>
      <x:c r="E237" t="str">
        <x:v>Inglaterra</x:v>
      </x:c>
      <x:c r="F237" t="n">
        <x:v>1</x:v>
      </x:c>
      <x:c r="G237" t="n">
        <x:v>1</x:v>
      </x:c>
      <x:c r="H237" t="str">
        <x:v>Noruega</x:v>
      </x:c>
      <x:c r="I237" t="str">
        <x:v>Suplementario</x:v>
      </x:c>
      <x:c r="J237" t="n">
        <x:v>1</x:v>
      </x:c>
      <x:c r="K237" t="n">
        <x:v>2</x:v>
      </x:c>
      <x:c r="L237" t="str">
        <x:v>Inglaterra</x:v>
      </x:c>
      <x:c r="M237" t="str">
        <x:v>Suplementario</x:v>
      </x:c>
      <x:c r="N237" t="str">
        <x:v>Finalizado</x:v>
      </x:c>
      <x:c r="O237" t="str">
        <x:f>IF($H237="Sin envio","Sin envio",IF($I237="90 minutos",IF($F237&gt;$G237,"A",IF($G237&gt;$F237,"B","E")),"E"))</x:f>
        <x:v>E</x:v>
      </x:c>
      <x:c r="P237" t="str">
        <x:f>IF($M237="90 minutos",IF($J237&gt;$K237,"A",IF($K237&gt;$J237,"B","E")),"E")</x:f>
        <x:v>E</x:v>
      </x:c>
      <x:c r="Q237" t="str">
        <x:f>IF($H237="Sin envio","No",IF($H237=$L237,"Si","No"))</x:f>
        <x:v>No</x:v>
      </x:c>
      <x:c r="R237" t="str">
        <x:f>IF(AND($I237=$M237,NOT(AND($I237="Penales",$F237&lt;&gt;$G237))),"Si","No")</x:f>
        <x:v>Si</x:v>
      </x:c>
      <x:c r="S237" t="n">
        <x:f>IF(OR($N237&lt;&gt;"Finalizado",$Q237&lt;&gt;"Si"),0,IF($O237=$P237,Reglas!$B$2,0))</x:f>
        <x:v>0</x:v>
      </x:c>
      <x:c r="T237" t="n">
        <x:f>IF(OR($N237&lt;&gt;"Finalizado",$Q237&lt;&gt;"Si"),0,Reglas!$B$3)</x:f>
        <x:v>0</x:v>
      </x:c>
      <x:c r="U237" t="n">
        <x:f>IF(OR($N237&lt;&gt;"Finalizado",$Q237&lt;&gt;"Si"),0,IF($I237=$M237,Reglas!$B$4,0))</x:f>
        <x:v>0</x:v>
      </x:c>
      <x:c r="V237" t="n">
        <x:f>IF(OR($N237&lt;&gt;"Finalizado",$Q237&lt;&gt;"Si",$R237&lt;&gt;"Si"),0,IF(AND($F237=$J237,$G237=$K237),Reglas!$B$5,0))</x:f>
        <x:v>0</x:v>
      </x:c>
      <x:c r="W237" t="n">
        <x:f>IF(OR($N237&lt;&gt;"Finalizado",$Q237&lt;&gt;"Si",$R237&lt;&gt;"Si"),0,IF($F237-$G237=$J237-$K237,Reglas!$B$6,0))</x:f>
        <x:v>0</x:v>
      </x:c>
      <x:c r="X237" t="n">
        <x:f>IF(OR($N237&lt;&gt;"Finalizado",$Q237&lt;&gt;"Si",$R237&lt;&gt;"Si"),0,IF($F237=$J237,Reglas!$B$7,0))</x:f>
        <x:v>0</x:v>
      </x:c>
      <x:c r="Y237" t="n">
        <x:f>IF(OR($N237&lt;&gt;"Finalizado",$Q237&lt;&gt;"Si",$R237&lt;&gt;"Si"),0,IF($G237=$K237,Reglas!$B$8,0))</x:f>
        <x:v>0</x:v>
      </x:c>
      <x:c r="Z237" t="n">
        <x:f>SUM($S237:$Y237)</x:f>
        <x:v>0</x:v>
      </x:c>
      <x:c r="AA237" t="str">
        <x:f>IF($N237&lt;&gt;"Finalizado","Resultado pendiente",IF($H237="Sin envio","Sin respuesta",IF($Q237&lt;&gt;"Si","No acerto clasificado","OK")))</x:f>
        <x:v>No acerto clasificado</x:v>
      </x:c>
      <x:c r="AB237" t="str">
        <x:v>Google Forms cuartos + ESPN</x:v>
      </x:c>
      <x:c r="AC237" t="n">
        <x:v>0</x:v>
      </x:c>
      <x:c r="AD237" t="n">
        <x:f>$Z237-$AC237</x:f>
        <x:v>0</x:v>
      </x:c>
    </x:row>
    <x:row r="238" ht="15" hidden="0" customHeight="1">
      <x:c r="A238" t="str">
        <x:v>4tos</x:v>
      </x:c>
      <x:c r="B238" t="str">
        <x:v>QF3</x:v>
      </x:c>
      <x:c r="C238" t="str">
        <x:v>Moisés</x:v>
      </x:c>
      <x:c r="D238" t="str">
        <x:v>Noruega</x:v>
      </x:c>
      <x:c r="E238" t="str">
        <x:v>Inglaterra</x:v>
      </x:c>
      <x:c r="F238" t="n">
        <x:v>3</x:v>
      </x:c>
      <x:c r="G238" t="n">
        <x:v>2</x:v>
      </x:c>
      <x:c r="H238" t="str">
        <x:v>Noruega</x:v>
      </x:c>
      <x:c r="I238" t="str">
        <x:v>90 minutos</x:v>
      </x:c>
      <x:c r="J238" t="n">
        <x:v>1</x:v>
      </x:c>
      <x:c r="K238" t="n">
        <x:v>2</x:v>
      </x:c>
      <x:c r="L238" t="str">
        <x:v>Inglaterra</x:v>
      </x:c>
      <x:c r="M238" t="str">
        <x:v>Suplementario</x:v>
      </x:c>
      <x:c r="N238" t="str">
        <x:v>Finalizado</x:v>
      </x:c>
      <x:c r="O238" t="str">
        <x:f>IF($H238="Sin envio","Sin envio",IF($I238="90 minutos",IF($F238&gt;$G238,"A",IF($G238&gt;$F238,"B","E")),"E"))</x:f>
        <x:v>A</x:v>
      </x:c>
      <x:c r="P238" t="str">
        <x:f>IF($M238="90 minutos",IF($J238&gt;$K238,"A",IF($K238&gt;$J238,"B","E")),"E")</x:f>
        <x:v>E</x:v>
      </x:c>
      <x:c r="Q238" t="str">
        <x:f>IF($H238="Sin envio","No",IF($H238=$L238,"Si","No"))</x:f>
        <x:v>No</x:v>
      </x:c>
      <x:c r="R238" t="str">
        <x:f>IF(AND($I238=$M238,NOT(AND($I238="Penales",$F238&lt;&gt;$G238))),"Si","No")</x:f>
        <x:v>No</x:v>
      </x:c>
      <x:c r="S238" t="n">
        <x:f>IF(OR($N238&lt;&gt;"Finalizado",$Q238&lt;&gt;"Si"),0,IF($O238=$P238,Reglas!$B$2,0))</x:f>
        <x:v>0</x:v>
      </x:c>
      <x:c r="T238" t="n">
        <x:f>IF(OR($N238&lt;&gt;"Finalizado",$Q238&lt;&gt;"Si"),0,Reglas!$B$3)</x:f>
        <x:v>0</x:v>
      </x:c>
      <x:c r="U238" t="n">
        <x:f>IF(OR($N238&lt;&gt;"Finalizado",$Q238&lt;&gt;"Si"),0,IF($I238=$M238,Reglas!$B$4,0))</x:f>
        <x:v>0</x:v>
      </x:c>
      <x:c r="V238" t="n">
        <x:f>IF(OR($N238&lt;&gt;"Finalizado",$Q238&lt;&gt;"Si",$R238&lt;&gt;"Si"),0,IF(AND($F238=$J238,$G238=$K238),Reglas!$B$5,0))</x:f>
        <x:v>0</x:v>
      </x:c>
      <x:c r="W238" t="n">
        <x:f>IF(OR($N238&lt;&gt;"Finalizado",$Q238&lt;&gt;"Si",$R238&lt;&gt;"Si"),0,IF($F238-$G238=$J238-$K238,Reglas!$B$6,0))</x:f>
        <x:v>0</x:v>
      </x:c>
      <x:c r="X238" t="n">
        <x:f>IF(OR($N238&lt;&gt;"Finalizado",$Q238&lt;&gt;"Si",$R238&lt;&gt;"Si"),0,IF($F238=$J238,Reglas!$B$7,0))</x:f>
        <x:v>0</x:v>
      </x:c>
      <x:c r="Y238" t="n">
        <x:f>IF(OR($N238&lt;&gt;"Finalizado",$Q238&lt;&gt;"Si",$R238&lt;&gt;"Si"),0,IF($G238=$K238,Reglas!$B$8,0))</x:f>
        <x:v>0</x:v>
      </x:c>
      <x:c r="Z238" t="n">
        <x:f>SUM($S238:$Y238)</x:f>
        <x:v>0</x:v>
      </x:c>
      <x:c r="AA238" t="str">
        <x:f>IF($N238&lt;&gt;"Finalizado","Resultado pendiente",IF($H238="Sin envio","Sin respuesta",IF($Q238&lt;&gt;"Si","No acerto clasificado","OK")))</x:f>
        <x:v>No acerto clasificado</x:v>
      </x:c>
      <x:c r="AB238" t="str">
        <x:v>Google Forms cuartos + ESPN</x:v>
      </x:c>
      <x:c r="AC238" t="n">
        <x:v>0</x:v>
      </x:c>
      <x:c r="AD238" t="n">
        <x:f>$Z238-$AC238</x:f>
        <x:v>0</x:v>
      </x:c>
    </x:row>
    <x:row r="239" ht="15" hidden="0" customHeight="1">
      <x:c r="A239" t="str">
        <x:v>4tos</x:v>
      </x:c>
      <x:c r="B239" t="str">
        <x:v>QF3</x:v>
      </x:c>
      <x:c r="C239" t="str">
        <x:v>Alex</x:v>
      </x:c>
      <x:c r="D239" t="str">
        <x:v>Noruega</x:v>
      </x:c>
      <x:c r="E239" t="str">
        <x:v>Inglaterra</x:v>
      </x:c>
      <x:c r="F239" t="n">
        <x:v>2</x:v>
      </x:c>
      <x:c r="G239" t="n">
        <x:v>2</x:v>
      </x:c>
      <x:c r="H239" t="str">
        <x:v>Inglaterra</x:v>
      </x:c>
      <x:c r="I239" t="str">
        <x:v>Suplementario</x:v>
      </x:c>
      <x:c r="J239" t="n">
        <x:v>1</x:v>
      </x:c>
      <x:c r="K239" t="n">
        <x:v>2</x:v>
      </x:c>
      <x:c r="L239" t="str">
        <x:v>Inglaterra</x:v>
      </x:c>
      <x:c r="M239" t="str">
        <x:v>Suplementario</x:v>
      </x:c>
      <x:c r="N239" t="str">
        <x:v>Finalizado</x:v>
      </x:c>
      <x:c r="O239" t="str">
        <x:f>IF($H239="Sin envio","Sin envio",IF($I239="90 minutos",IF($F239&gt;$G239,"A",IF($G239&gt;$F239,"B","E")),"E"))</x:f>
        <x:v>E</x:v>
      </x:c>
      <x:c r="P239" t="str">
        <x:f>IF($M239="90 minutos",IF($J239&gt;$K239,"A",IF($K239&gt;$J239,"B","E")),"E")</x:f>
        <x:v>E</x:v>
      </x:c>
      <x:c r="Q239" t="str">
        <x:f>IF($H239="Sin envio","No",IF($H239=$L239,"Si","No"))</x:f>
        <x:v>Si</x:v>
      </x:c>
      <x:c r="R239" t="str">
        <x:f>IF(AND($I239=$M239,NOT(AND($I239="Penales",$F239&lt;&gt;$G239))),"Si","No")</x:f>
        <x:v>Si</x:v>
      </x:c>
      <x:c r="S239" t="n">
        <x:f>IF(OR($N239&lt;&gt;"Finalizado",$Q239&lt;&gt;"Si"),0,IF($O239=$P239,Reglas!$B$2,0))</x:f>
        <x:v>5</x:v>
      </x:c>
      <x:c r="T239" t="n">
        <x:f>IF(OR($N239&lt;&gt;"Finalizado",$Q239&lt;&gt;"Si"),0,Reglas!$B$3)</x:f>
        <x:v>3</x:v>
      </x:c>
      <x:c r="U239" t="n">
        <x:f>IF(OR($N239&lt;&gt;"Finalizado",$Q239&lt;&gt;"Si"),0,IF($I239=$M239,Reglas!$B$4,0))</x:f>
        <x:v>2</x:v>
      </x:c>
      <x:c r="V239" t="n">
        <x:f>IF(OR($N239&lt;&gt;"Finalizado",$Q239&lt;&gt;"Si",$R239&lt;&gt;"Si"),0,IF(AND($F239=$J239,$G239=$K239),Reglas!$B$5,0))</x:f>
        <x:v>0</x:v>
      </x:c>
      <x:c r="W239" t="n">
        <x:f>IF(OR($N239&lt;&gt;"Finalizado",$Q239&lt;&gt;"Si",$R239&lt;&gt;"Si"),0,IF($F239-$G239=$J239-$K239,Reglas!$B$6,0))</x:f>
        <x:v>0</x:v>
      </x:c>
      <x:c r="X239" t="n">
        <x:f>IF(OR($N239&lt;&gt;"Finalizado",$Q239&lt;&gt;"Si",$R239&lt;&gt;"Si"),0,IF($F239=$J239,Reglas!$B$7,0))</x:f>
        <x:v>0</x:v>
      </x:c>
      <x:c r="Y239" t="n">
        <x:f>IF(OR($N239&lt;&gt;"Finalizado",$Q239&lt;&gt;"Si",$R239&lt;&gt;"Si"),0,IF($G239=$K239,Reglas!$B$8,0))</x:f>
        <x:v>1</x:v>
      </x:c>
      <x:c r="Z239" t="n">
        <x:f>SUM($S239:$Y239)</x:f>
        <x:v>11</x:v>
      </x:c>
      <x:c r="AA239" t="str">
        <x:f>IF($N239&lt;&gt;"Finalizado","Resultado pendiente",IF($H239="Sin envio","Sin respuesta",IF($Q239&lt;&gt;"Si","No acerto clasificado","OK")))</x:f>
        <x:v>OK</x:v>
      </x:c>
      <x:c r="AB239" t="str">
        <x:v>Google Forms cuartos + ESPN</x:v>
      </x:c>
      <x:c r="AC239" t="n">
        <x:v>11</x:v>
      </x:c>
      <x:c r="AD239" t="n">
        <x:f>$Z239-$AC239</x:f>
        <x:v>0</x:v>
      </x:c>
    </x:row>
    <x:row r="240" ht="15" hidden="0" customHeight="1">
      <x:c r="A240" t="str">
        <x:v>4tos</x:v>
      </x:c>
      <x:c r="B240" t="str">
        <x:v>QF3</x:v>
      </x:c>
      <x:c r="C240" t="str">
        <x:v>Omar</x:v>
      </x:c>
      <x:c r="D240" t="str">
        <x:v>Noruega</x:v>
      </x:c>
      <x:c r="E240" t="str">
        <x:v>Inglaterra</x:v>
      </x:c>
      <x:c r="F240"/>
      <x:c r="G240"/>
      <x:c r="H240" t="str">
        <x:v>Sin envio</x:v>
      </x:c>
      <x:c r="I240" t="str">
        <x:v>Sin envio</x:v>
      </x:c>
      <x:c r="J240" t="n">
        <x:v>1</x:v>
      </x:c>
      <x:c r="K240" t="n">
        <x:v>2</x:v>
      </x:c>
      <x:c r="L240" t="str">
        <x:v>Inglaterra</x:v>
      </x:c>
      <x:c r="M240" t="str">
        <x:v>Suplementario</x:v>
      </x:c>
      <x:c r="N240" t="str">
        <x:v>Finalizado</x:v>
      </x:c>
      <x:c r="O240" t="str">
        <x:f>IF($H240="Sin envio","Sin envio",IF($I240="90 minutos",IF($F240&gt;$G240,"A",IF($G240&gt;$F240,"B","E")),"E"))</x:f>
        <x:v>Sin envio</x:v>
      </x:c>
      <x:c r="P240" t="str">
        <x:f>IF($M240="90 minutos",IF($J240&gt;$K240,"A",IF($K240&gt;$J240,"B","E")),"E")</x:f>
        <x:v>E</x:v>
      </x:c>
      <x:c r="Q240" t="str">
        <x:f>IF($H240="Sin envio","No",IF($H240=$L240,"Si","No"))</x:f>
        <x:v>No</x:v>
      </x:c>
      <x:c r="R240" t="str">
        <x:f>IF(AND($I240=$M240,NOT(AND($I240="Penales",$F240&lt;&gt;$G240))),"Si","No")</x:f>
        <x:v>No</x:v>
      </x:c>
      <x:c r="S240" t="n">
        <x:f>IF(OR($N240&lt;&gt;"Finalizado",$Q240&lt;&gt;"Si"),0,IF($O240=$P240,Reglas!$B$2,0))</x:f>
        <x:v>0</x:v>
      </x:c>
      <x:c r="T240" t="n">
        <x:f>IF(OR($N240&lt;&gt;"Finalizado",$Q240&lt;&gt;"Si"),0,Reglas!$B$3)</x:f>
        <x:v>0</x:v>
      </x:c>
      <x:c r="U240" t="n">
        <x:f>IF(OR($N240&lt;&gt;"Finalizado",$Q240&lt;&gt;"Si"),0,IF($I240=$M240,Reglas!$B$4,0))</x:f>
        <x:v>0</x:v>
      </x:c>
      <x:c r="V240" t="n">
        <x:f>IF(OR($N240&lt;&gt;"Finalizado",$Q240&lt;&gt;"Si",$R240&lt;&gt;"Si"),0,IF(AND($F240=$J240,$G240=$K240),Reglas!$B$5,0))</x:f>
        <x:v>0</x:v>
      </x:c>
      <x:c r="W240" t="n">
        <x:f>IF(OR($N240&lt;&gt;"Finalizado",$Q240&lt;&gt;"Si",$R240&lt;&gt;"Si"),0,IF($F240-$G240=$J240-$K240,Reglas!$B$6,0))</x:f>
        <x:v>0</x:v>
      </x:c>
      <x:c r="X240" t="n">
        <x:f>IF(OR($N240&lt;&gt;"Finalizado",$Q240&lt;&gt;"Si",$R240&lt;&gt;"Si"),0,IF($F240=$J240,Reglas!$B$7,0))</x:f>
        <x:v>0</x:v>
      </x:c>
      <x:c r="Y240" t="n">
        <x:f>IF(OR($N240&lt;&gt;"Finalizado",$Q240&lt;&gt;"Si",$R240&lt;&gt;"Si"),0,IF($G240=$K240,Reglas!$B$8,0))</x:f>
        <x:v>0</x:v>
      </x:c>
      <x:c r="Z240" t="n">
        <x:f>SUM($S240:$Y240)</x:f>
        <x:v>0</x:v>
      </x:c>
      <x:c r="AA240" t="str">
        <x:f>IF($N240&lt;&gt;"Finalizado","Resultado pendiente",IF($H240="Sin envio","Sin respuesta",IF($Q240&lt;&gt;"Si","No acerto clasificado","OK")))</x:f>
        <x:v>Sin respuesta</x:v>
      </x:c>
      <x:c r="AB240" t="str">
        <x:v>Google Forms cuartos + ESPN</x:v>
      </x:c>
      <x:c r="AC240" t="n">
        <x:v>0</x:v>
      </x:c>
      <x:c r="AD240" t="n">
        <x:f>$Z240-$AC240</x:f>
        <x:v>0</x:v>
      </x:c>
    </x:row>
    <x:row r="241" ht="15" hidden="0" customHeight="1">
      <x:c r="A241" t="str">
        <x:v>4tos</x:v>
      </x:c>
      <x:c r="B241" t="str">
        <x:v>QF3</x:v>
      </x:c>
      <x:c r="C241" t="str">
        <x:v>Fernando</x:v>
      </x:c>
      <x:c r="D241" t="str">
        <x:v>Noruega</x:v>
      </x:c>
      <x:c r="E241" t="str">
        <x:v>Inglaterra</x:v>
      </x:c>
      <x:c r="F241" t="n">
        <x:v>3</x:v>
      </x:c>
      <x:c r="G241" t="n">
        <x:v>2</x:v>
      </x:c>
      <x:c r="H241" t="str">
        <x:v>Noruega</x:v>
      </x:c>
      <x:c r="I241" t="str">
        <x:v>90 minutos</x:v>
      </x:c>
      <x:c r="J241" t="n">
        <x:v>1</x:v>
      </x:c>
      <x:c r="K241" t="n">
        <x:v>2</x:v>
      </x:c>
      <x:c r="L241" t="str">
        <x:v>Inglaterra</x:v>
      </x:c>
      <x:c r="M241" t="str">
        <x:v>Suplementario</x:v>
      </x:c>
      <x:c r="N241" t="str">
        <x:v>Finalizado</x:v>
      </x:c>
      <x:c r="O241" t="str">
        <x:f>IF($H241="Sin envio","Sin envio",IF($I241="90 minutos",IF($F241&gt;$G241,"A",IF($G241&gt;$F241,"B","E")),"E"))</x:f>
        <x:v>A</x:v>
      </x:c>
      <x:c r="P241" t="str">
        <x:f>IF($M241="90 minutos",IF($J241&gt;$K241,"A",IF($K241&gt;$J241,"B","E")),"E")</x:f>
        <x:v>E</x:v>
      </x:c>
      <x:c r="Q241" t="str">
        <x:f>IF($H241="Sin envio","No",IF($H241=$L241,"Si","No"))</x:f>
        <x:v>No</x:v>
      </x:c>
      <x:c r="R241" t="str">
        <x:f>IF(AND($I241=$M241,NOT(AND($I241="Penales",$F241&lt;&gt;$G241))),"Si","No")</x:f>
        <x:v>No</x:v>
      </x:c>
      <x:c r="S241" t="n">
        <x:f>IF(OR($N241&lt;&gt;"Finalizado",$Q241&lt;&gt;"Si"),0,IF($O241=$P241,Reglas!$B$2,0))</x:f>
        <x:v>0</x:v>
      </x:c>
      <x:c r="T241" t="n">
        <x:f>IF(OR($N241&lt;&gt;"Finalizado",$Q241&lt;&gt;"Si"),0,Reglas!$B$3)</x:f>
        <x:v>0</x:v>
      </x:c>
      <x:c r="U241" t="n">
        <x:f>IF(OR($N241&lt;&gt;"Finalizado",$Q241&lt;&gt;"Si"),0,IF($I241=$M241,Reglas!$B$4,0))</x:f>
        <x:v>0</x:v>
      </x:c>
      <x:c r="V241" t="n">
        <x:f>IF(OR($N241&lt;&gt;"Finalizado",$Q241&lt;&gt;"Si",$R241&lt;&gt;"Si"),0,IF(AND($F241=$J241,$G241=$K241),Reglas!$B$5,0))</x:f>
        <x:v>0</x:v>
      </x:c>
      <x:c r="W241" t="n">
        <x:f>IF(OR($N241&lt;&gt;"Finalizado",$Q241&lt;&gt;"Si",$R241&lt;&gt;"Si"),0,IF($F241-$G241=$J241-$K241,Reglas!$B$6,0))</x:f>
        <x:v>0</x:v>
      </x:c>
      <x:c r="X241" t="n">
        <x:f>IF(OR($N241&lt;&gt;"Finalizado",$Q241&lt;&gt;"Si",$R241&lt;&gt;"Si"),0,IF($F241=$J241,Reglas!$B$7,0))</x:f>
        <x:v>0</x:v>
      </x:c>
      <x:c r="Y241" t="n">
        <x:f>IF(OR($N241&lt;&gt;"Finalizado",$Q241&lt;&gt;"Si",$R241&lt;&gt;"Si"),0,IF($G241=$K241,Reglas!$B$8,0))</x:f>
        <x:v>0</x:v>
      </x:c>
      <x:c r="Z241" t="n">
        <x:f>SUM($S241:$Y241)</x:f>
        <x:v>0</x:v>
      </x:c>
      <x:c r="AA241" t="str">
        <x:f>IF($N241&lt;&gt;"Finalizado","Resultado pendiente",IF($H241="Sin envio","Sin respuesta",IF($Q241&lt;&gt;"Si","No acerto clasificado","OK")))</x:f>
        <x:v>No acerto clasificado</x:v>
      </x:c>
      <x:c r="AB241" t="str">
        <x:v>Google Forms cuartos + ESPN</x:v>
      </x:c>
      <x:c r="AC241" t="n">
        <x:v>0</x:v>
      </x:c>
      <x:c r="AD241" t="n">
        <x:f>$Z241-$AC241</x:f>
        <x:v>0</x:v>
      </x:c>
    </x:row>
    <x:row r="242" ht="15" hidden="0" customHeight="1">
      <x:c r="A242" t="str">
        <x:v>4tos</x:v>
      </x:c>
      <x:c r="B242" t="str">
        <x:v>QF3</x:v>
      </x:c>
      <x:c r="C242" t="str">
        <x:v>Diana</x:v>
      </x:c>
      <x:c r="D242" t="str">
        <x:v>Noruega</x:v>
      </x:c>
      <x:c r="E242" t="str">
        <x:v>Inglaterra</x:v>
      </x:c>
      <x:c r="F242"/>
      <x:c r="G242"/>
      <x:c r="H242" t="str">
        <x:v>Sin envio</x:v>
      </x:c>
      <x:c r="I242" t="str">
        <x:v>Sin envio</x:v>
      </x:c>
      <x:c r="J242" t="n">
        <x:v>1</x:v>
      </x:c>
      <x:c r="K242" t="n">
        <x:v>2</x:v>
      </x:c>
      <x:c r="L242" t="str">
        <x:v>Inglaterra</x:v>
      </x:c>
      <x:c r="M242" t="str">
        <x:v>Suplementario</x:v>
      </x:c>
      <x:c r="N242" t="str">
        <x:v>Finalizado</x:v>
      </x:c>
      <x:c r="O242" t="str">
        <x:f>IF($H242="Sin envio","Sin envio",IF($I242="90 minutos",IF($F242&gt;$G242,"A",IF($G242&gt;$F242,"B","E")),"E"))</x:f>
        <x:v>Sin envio</x:v>
      </x:c>
      <x:c r="P242" t="str">
        <x:f>IF($M242="90 minutos",IF($J242&gt;$K242,"A",IF($K242&gt;$J242,"B","E")),"E")</x:f>
        <x:v>E</x:v>
      </x:c>
      <x:c r="Q242" t="str">
        <x:f>IF($H242="Sin envio","No",IF($H242=$L242,"Si","No"))</x:f>
        <x:v>No</x:v>
      </x:c>
      <x:c r="R242" t="str">
        <x:f>IF(AND($I242=$M242,NOT(AND($I242="Penales",$F242&lt;&gt;$G242))),"Si","No")</x:f>
        <x:v>No</x:v>
      </x:c>
      <x:c r="S242" t="n">
        <x:f>IF(OR($N242&lt;&gt;"Finalizado",$Q242&lt;&gt;"Si"),0,IF($O242=$P242,Reglas!$B$2,0))</x:f>
        <x:v>0</x:v>
      </x:c>
      <x:c r="T242" t="n">
        <x:f>IF(OR($N242&lt;&gt;"Finalizado",$Q242&lt;&gt;"Si"),0,Reglas!$B$3)</x:f>
        <x:v>0</x:v>
      </x:c>
      <x:c r="U242" t="n">
        <x:f>IF(OR($N242&lt;&gt;"Finalizado",$Q242&lt;&gt;"Si"),0,IF($I242=$M242,Reglas!$B$4,0))</x:f>
        <x:v>0</x:v>
      </x:c>
      <x:c r="V242" t="n">
        <x:f>IF(OR($N242&lt;&gt;"Finalizado",$Q242&lt;&gt;"Si",$R242&lt;&gt;"Si"),0,IF(AND($F242=$J242,$G242=$K242),Reglas!$B$5,0))</x:f>
        <x:v>0</x:v>
      </x:c>
      <x:c r="W242" t="n">
        <x:f>IF(OR($N242&lt;&gt;"Finalizado",$Q242&lt;&gt;"Si",$R242&lt;&gt;"Si"),0,IF($F242-$G242=$J242-$K242,Reglas!$B$6,0))</x:f>
        <x:v>0</x:v>
      </x:c>
      <x:c r="X242" t="n">
        <x:f>IF(OR($N242&lt;&gt;"Finalizado",$Q242&lt;&gt;"Si",$R242&lt;&gt;"Si"),0,IF($F242=$J242,Reglas!$B$7,0))</x:f>
        <x:v>0</x:v>
      </x:c>
      <x:c r="Y242" t="n">
        <x:f>IF(OR($N242&lt;&gt;"Finalizado",$Q242&lt;&gt;"Si",$R242&lt;&gt;"Si"),0,IF($G242=$K242,Reglas!$B$8,0))</x:f>
        <x:v>0</x:v>
      </x:c>
      <x:c r="Z242" t="n">
        <x:f>SUM($S242:$Y242)</x:f>
        <x:v>0</x:v>
      </x:c>
      <x:c r="AA242" t="str">
        <x:f>IF($N242&lt;&gt;"Finalizado","Resultado pendiente",IF($H242="Sin envio","Sin respuesta",IF($Q242&lt;&gt;"Si","No acerto clasificado","OK")))</x:f>
        <x:v>Sin respuesta</x:v>
      </x:c>
      <x:c r="AB242" t="str">
        <x:v>Google Forms cuartos + ESPN</x:v>
      </x:c>
      <x:c r="AC242" t="n">
        <x:v>0</x:v>
      </x:c>
      <x:c r="AD242" t="n">
        <x:f>$Z242-$AC242</x:f>
        <x:v>0</x:v>
      </x:c>
    </x:row>
    <x:row r="243" ht="15" hidden="0" customHeight="1">
      <x:c r="A243" t="str">
        <x:v>4tos</x:v>
      </x:c>
      <x:c r="B243" t="str">
        <x:v>QF3</x:v>
      </x:c>
      <x:c r="C243" t="str">
        <x:v>Óscar</x:v>
      </x:c>
      <x:c r="D243" t="str">
        <x:v>Noruega</x:v>
      </x:c>
      <x:c r="E243" t="str">
        <x:v>Inglaterra</x:v>
      </x:c>
      <x:c r="F243" t="n">
        <x:v>2</x:v>
      </x:c>
      <x:c r="G243" t="n">
        <x:v>3</x:v>
      </x:c>
      <x:c r="H243" t="str">
        <x:v>Inglaterra</x:v>
      </x:c>
      <x:c r="I243" t="str">
        <x:v>Suplementario</x:v>
      </x:c>
      <x:c r="J243" t="n">
        <x:v>1</x:v>
      </x:c>
      <x:c r="K243" t="n">
        <x:v>2</x:v>
      </x:c>
      <x:c r="L243" t="str">
        <x:v>Inglaterra</x:v>
      </x:c>
      <x:c r="M243" t="str">
        <x:v>Suplementario</x:v>
      </x:c>
      <x:c r="N243" t="str">
        <x:v>Finalizado</x:v>
      </x:c>
      <x:c r="O243" t="str">
        <x:f>IF($H243="Sin envio","Sin envio",IF($I243="90 minutos",IF($F243&gt;$G243,"A",IF($G243&gt;$F243,"B","E")),"E"))</x:f>
        <x:v>E</x:v>
      </x:c>
      <x:c r="P243" t="str">
        <x:f>IF($M243="90 minutos",IF($J243&gt;$K243,"A",IF($K243&gt;$J243,"B","E")),"E")</x:f>
        <x:v>E</x:v>
      </x:c>
      <x:c r="Q243" t="str">
        <x:f>IF($H243="Sin envio","No",IF($H243=$L243,"Si","No"))</x:f>
        <x:v>Si</x:v>
      </x:c>
      <x:c r="R243" t="str">
        <x:f>IF(AND($I243=$M243,NOT(AND($I243="Penales",$F243&lt;&gt;$G243))),"Si","No")</x:f>
        <x:v>Si</x:v>
      </x:c>
      <x:c r="S243" t="n">
        <x:f>IF(OR($N243&lt;&gt;"Finalizado",$Q243&lt;&gt;"Si"),0,IF($O243=$P243,Reglas!$B$2,0))</x:f>
        <x:v>5</x:v>
      </x:c>
      <x:c r="T243" t="n">
        <x:f>IF(OR($N243&lt;&gt;"Finalizado",$Q243&lt;&gt;"Si"),0,Reglas!$B$3)</x:f>
        <x:v>3</x:v>
      </x:c>
      <x:c r="U243" t="n">
        <x:f>IF(OR($N243&lt;&gt;"Finalizado",$Q243&lt;&gt;"Si"),0,IF($I243=$M243,Reglas!$B$4,0))</x:f>
        <x:v>2</x:v>
      </x:c>
      <x:c r="V243" t="n">
        <x:f>IF(OR($N243&lt;&gt;"Finalizado",$Q243&lt;&gt;"Si",$R243&lt;&gt;"Si"),0,IF(AND($F243=$J243,$G243=$K243),Reglas!$B$5,0))</x:f>
        <x:v>0</x:v>
      </x:c>
      <x:c r="W243" t="n">
        <x:f>IF(OR($N243&lt;&gt;"Finalizado",$Q243&lt;&gt;"Si",$R243&lt;&gt;"Si"),0,IF($F243-$G243=$J243-$K243,Reglas!$B$6,0))</x:f>
        <x:v>2</x:v>
      </x:c>
      <x:c r="X243" t="n">
        <x:f>IF(OR($N243&lt;&gt;"Finalizado",$Q243&lt;&gt;"Si",$R243&lt;&gt;"Si"),0,IF($F243=$J243,Reglas!$B$7,0))</x:f>
        <x:v>0</x:v>
      </x:c>
      <x:c r="Y243" t="n">
        <x:f>IF(OR($N243&lt;&gt;"Finalizado",$Q243&lt;&gt;"Si",$R243&lt;&gt;"Si"),0,IF($G243=$K243,Reglas!$B$8,0))</x:f>
        <x:v>0</x:v>
      </x:c>
      <x:c r="Z243" t="n">
        <x:f>SUM($S243:$Y243)</x:f>
        <x:v>12</x:v>
      </x:c>
      <x:c r="AA243" t="str">
        <x:f>IF($N243&lt;&gt;"Finalizado","Resultado pendiente",IF($H243="Sin envio","Sin respuesta",IF($Q243&lt;&gt;"Si","No acerto clasificado","OK")))</x:f>
        <x:v>OK</x:v>
      </x:c>
      <x:c r="AB243" t="str">
        <x:v>Google Forms cuartos + ESPN</x:v>
      </x:c>
      <x:c r="AC243" t="n">
        <x:v>12</x:v>
      </x:c>
      <x:c r="AD243" t="n">
        <x:f>$Z243-$AC243</x:f>
        <x:v>0</x:v>
      </x:c>
    </x:row>
    <x:row r="244" ht="15" hidden="0" customHeight="1">
      <x:c r="A244" t="str">
        <x:v>4tos</x:v>
      </x:c>
      <x:c r="B244" t="str">
        <x:v>QF4</x:v>
      </x:c>
      <x:c r="C244" t="str">
        <x:v>Freddy</x:v>
      </x:c>
      <x:c r="D244" t="str">
        <x:v>Argentina</x:v>
      </x:c>
      <x:c r="E244" t="str">
        <x:v>Suiza</x:v>
      </x:c>
      <x:c r="F244" t="n">
        <x:v>1</x:v>
      </x:c>
      <x:c r="G244" t="n">
        <x:v>0</x:v>
      </x:c>
      <x:c r="H244" t="str">
        <x:v>Argentina</x:v>
      </x:c>
      <x:c r="I244" t="str">
        <x:v>90 minutos</x:v>
      </x:c>
      <x:c r="J244" t="n">
        <x:v>3</x:v>
      </x:c>
      <x:c r="K244" t="n">
        <x:v>1</x:v>
      </x:c>
      <x:c r="L244" t="str">
        <x:v>Argentina</x:v>
      </x:c>
      <x:c r="M244" t="str">
        <x:v>Suplementario</x:v>
      </x:c>
      <x:c r="N244" t="str">
        <x:v>Finalizado</x:v>
      </x:c>
      <x:c r="O244" t="str">
        <x:f>IF($H244="Sin envio","Sin envio",IF($I244="90 minutos",IF($F244&gt;$G244,"A",IF($G244&gt;$F244,"B","E")),"E"))</x:f>
        <x:v>A</x:v>
      </x:c>
      <x:c r="P244" t="str">
        <x:f>IF($M244="90 minutos",IF($J244&gt;$K244,"A",IF($K244&gt;$J244,"B","E")),"E")</x:f>
        <x:v>E</x:v>
      </x:c>
      <x:c r="Q244" t="str">
        <x:f>IF($H244="Sin envio","No",IF($H244=$L244,"Si","No"))</x:f>
        <x:v>Si</x:v>
      </x:c>
      <x:c r="R244" t="str">
        <x:f>IF(AND($I244=$M244,NOT(AND($I244="Penales",$F244&lt;&gt;$G244))),"Si","No")</x:f>
        <x:v>No</x:v>
      </x:c>
      <x:c r="S244" t="n">
        <x:f>IF(OR($N244&lt;&gt;"Finalizado",$Q244&lt;&gt;"Si"),0,IF($O244=$P244,Reglas!$B$2,0))</x:f>
        <x:v>0</x:v>
      </x:c>
      <x:c r="T244" t="n">
        <x:f>IF(OR($N244&lt;&gt;"Finalizado",$Q244&lt;&gt;"Si"),0,Reglas!$B$3)</x:f>
        <x:v>3</x:v>
      </x:c>
      <x:c r="U244" t="n">
        <x:f>IF(OR($N244&lt;&gt;"Finalizado",$Q244&lt;&gt;"Si"),0,IF($I244=$M244,Reglas!$B$4,0))</x:f>
        <x:v>0</x:v>
      </x:c>
      <x:c r="V244" t="n">
        <x:f>IF(OR($N244&lt;&gt;"Finalizado",$Q244&lt;&gt;"Si",$R244&lt;&gt;"Si"),0,IF(AND($F244=$J244,$G244=$K244),Reglas!$B$5,0))</x:f>
        <x:v>0</x:v>
      </x:c>
      <x:c r="W244" t="n">
        <x:f>IF(OR($N244&lt;&gt;"Finalizado",$Q244&lt;&gt;"Si",$R244&lt;&gt;"Si"),0,IF($F244-$G244=$J244-$K244,Reglas!$B$6,0))</x:f>
        <x:v>0</x:v>
      </x:c>
      <x:c r="X244" t="n">
        <x:f>IF(OR($N244&lt;&gt;"Finalizado",$Q244&lt;&gt;"Si",$R244&lt;&gt;"Si"),0,IF($F244=$J244,Reglas!$B$7,0))</x:f>
        <x:v>0</x:v>
      </x:c>
      <x:c r="Y244" t="n">
        <x:f>IF(OR($N244&lt;&gt;"Finalizado",$Q244&lt;&gt;"Si",$R244&lt;&gt;"Si"),0,IF($G244=$K244,Reglas!$B$8,0))</x:f>
        <x:v>0</x:v>
      </x:c>
      <x:c r="Z244" t="n">
        <x:f>SUM($S244:$Y244)</x:f>
        <x:v>3</x:v>
      </x:c>
      <x:c r="AA244" t="str">
        <x:f>IF($N244&lt;&gt;"Finalizado","Resultado pendiente",IF($H244="Sin envio","Sin respuesta",IF($Q244&lt;&gt;"Si","No acerto clasificado","OK")))</x:f>
        <x:v>OK</x:v>
      </x:c>
      <x:c r="AB244" t="str">
        <x:v>Google Forms cuartos + ESPN</x:v>
      </x:c>
      <x:c r="AC244" t="n">
        <x:v>3</x:v>
      </x:c>
      <x:c r="AD244" t="n">
        <x:f>$Z244-$AC244</x:f>
        <x:v>0</x:v>
      </x:c>
    </x:row>
    <x:row r="245" ht="15" hidden="0" customHeight="1">
      <x:c r="A245" t="str">
        <x:v>4tos</x:v>
      </x:c>
      <x:c r="B245" t="str">
        <x:v>QF4</x:v>
      </x:c>
      <x:c r="C245" t="str">
        <x:v>Gabriela</x:v>
      </x:c>
      <x:c r="D245" t="str">
        <x:v>Argentina</x:v>
      </x:c>
      <x:c r="E245" t="str">
        <x:v>Suiza</x:v>
      </x:c>
      <x:c r="F245" t="n">
        <x:v>2</x:v>
      </x:c>
      <x:c r="G245" t="n">
        <x:v>2</x:v>
      </x:c>
      <x:c r="H245" t="str">
        <x:v>Suiza</x:v>
      </x:c>
      <x:c r="I245" t="str">
        <x:v>Penales</x:v>
      </x:c>
      <x:c r="J245" t="n">
        <x:v>3</x:v>
      </x:c>
      <x:c r="K245" t="n">
        <x:v>1</x:v>
      </x:c>
      <x:c r="L245" t="str">
        <x:v>Argentina</x:v>
      </x:c>
      <x:c r="M245" t="str">
        <x:v>Suplementario</x:v>
      </x:c>
      <x:c r="N245" t="str">
        <x:v>Finalizado</x:v>
      </x:c>
      <x:c r="O245" t="str">
        <x:f>IF($H245="Sin envio","Sin envio",IF($I245="90 minutos",IF($F245&gt;$G245,"A",IF($G245&gt;$F245,"B","E")),"E"))</x:f>
        <x:v>E</x:v>
      </x:c>
      <x:c r="P245" t="str">
        <x:f>IF($M245="90 minutos",IF($J245&gt;$K245,"A",IF($K245&gt;$J245,"B","E")),"E")</x:f>
        <x:v>E</x:v>
      </x:c>
      <x:c r="Q245" t="str">
        <x:f>IF($H245="Sin envio","No",IF($H245=$L245,"Si","No"))</x:f>
        <x:v>No</x:v>
      </x:c>
      <x:c r="R245" t="str">
        <x:f>IF(AND($I245=$M245,NOT(AND($I245="Penales",$F245&lt;&gt;$G245))),"Si","No")</x:f>
        <x:v>No</x:v>
      </x:c>
      <x:c r="S245" t="n">
        <x:f>IF(OR($N245&lt;&gt;"Finalizado",$Q245&lt;&gt;"Si"),0,IF($O245=$P245,Reglas!$B$2,0))</x:f>
        <x:v>0</x:v>
      </x:c>
      <x:c r="T245" t="n">
        <x:f>IF(OR($N245&lt;&gt;"Finalizado",$Q245&lt;&gt;"Si"),0,Reglas!$B$3)</x:f>
        <x:v>0</x:v>
      </x:c>
      <x:c r="U245" t="n">
        <x:f>IF(OR($N245&lt;&gt;"Finalizado",$Q245&lt;&gt;"Si"),0,IF($I245=$M245,Reglas!$B$4,0))</x:f>
        <x:v>0</x:v>
      </x:c>
      <x:c r="V245" t="n">
        <x:f>IF(OR($N245&lt;&gt;"Finalizado",$Q245&lt;&gt;"Si",$R245&lt;&gt;"Si"),0,IF(AND($F245=$J245,$G245=$K245),Reglas!$B$5,0))</x:f>
        <x:v>0</x:v>
      </x:c>
      <x:c r="W245" t="n">
        <x:f>IF(OR($N245&lt;&gt;"Finalizado",$Q245&lt;&gt;"Si",$R245&lt;&gt;"Si"),0,IF($F245-$G245=$J245-$K245,Reglas!$B$6,0))</x:f>
        <x:v>0</x:v>
      </x:c>
      <x:c r="X245" t="n">
        <x:f>IF(OR($N245&lt;&gt;"Finalizado",$Q245&lt;&gt;"Si",$R245&lt;&gt;"Si"),0,IF($F245=$J245,Reglas!$B$7,0))</x:f>
        <x:v>0</x:v>
      </x:c>
      <x:c r="Y245" t="n">
        <x:f>IF(OR($N245&lt;&gt;"Finalizado",$Q245&lt;&gt;"Si",$R245&lt;&gt;"Si"),0,IF($G245=$K245,Reglas!$B$8,0))</x:f>
        <x:v>0</x:v>
      </x:c>
      <x:c r="Z245" t="n">
        <x:f>SUM($S245:$Y245)</x:f>
        <x:v>0</x:v>
      </x:c>
      <x:c r="AA245" t="str">
        <x:f>IF($N245&lt;&gt;"Finalizado","Resultado pendiente",IF($H245="Sin envio","Sin respuesta",IF($Q245&lt;&gt;"Si","No acerto clasificado","OK")))</x:f>
        <x:v>No acerto clasificado</x:v>
      </x:c>
      <x:c r="AB245" t="str">
        <x:v>Google Forms cuartos + ESPN</x:v>
      </x:c>
      <x:c r="AC245" t="n">
        <x:v>0</x:v>
      </x:c>
      <x:c r="AD245" t="n">
        <x:f>$Z245-$AC245</x:f>
        <x:v>0</x:v>
      </x:c>
    </x:row>
    <x:row r="246" ht="15" hidden="0" customHeight="1">
      <x:c r="A246" t="str">
        <x:v>4tos</x:v>
      </x:c>
      <x:c r="B246" t="str">
        <x:v>QF4</x:v>
      </x:c>
      <x:c r="C246" t="str">
        <x:v>Jean</x:v>
      </x:c>
      <x:c r="D246" t="str">
        <x:v>Argentina</x:v>
      </x:c>
      <x:c r="E246" t="str">
        <x:v>Suiza</x:v>
      </x:c>
      <x:c r="F246" t="n">
        <x:v>2</x:v>
      </x:c>
      <x:c r="G246" t="n">
        <x:v>0</x:v>
      </x:c>
      <x:c r="H246" t="str">
        <x:v>Argentina</x:v>
      </x:c>
      <x:c r="I246" t="str">
        <x:v>90 minutos</x:v>
      </x:c>
      <x:c r="J246" t="n">
        <x:v>3</x:v>
      </x:c>
      <x:c r="K246" t="n">
        <x:v>1</x:v>
      </x:c>
      <x:c r="L246" t="str">
        <x:v>Argentina</x:v>
      </x:c>
      <x:c r="M246" t="str">
        <x:v>Suplementario</x:v>
      </x:c>
      <x:c r="N246" t="str">
        <x:v>Finalizado</x:v>
      </x:c>
      <x:c r="O246" t="str">
        <x:f>IF($H246="Sin envio","Sin envio",IF($I246="90 minutos",IF($F246&gt;$G246,"A",IF($G246&gt;$F246,"B","E")),"E"))</x:f>
        <x:v>A</x:v>
      </x:c>
      <x:c r="P246" t="str">
        <x:f>IF($M246="90 minutos",IF($J246&gt;$K246,"A",IF($K246&gt;$J246,"B","E")),"E")</x:f>
        <x:v>E</x:v>
      </x:c>
      <x:c r="Q246" t="str">
        <x:f>IF($H246="Sin envio","No",IF($H246=$L246,"Si","No"))</x:f>
        <x:v>Si</x:v>
      </x:c>
      <x:c r="R246" t="str">
        <x:f>IF(AND($I246=$M246,NOT(AND($I246="Penales",$F246&lt;&gt;$G246))),"Si","No")</x:f>
        <x:v>No</x:v>
      </x:c>
      <x:c r="S246" t="n">
        <x:f>IF(OR($N246&lt;&gt;"Finalizado",$Q246&lt;&gt;"Si"),0,IF($O246=$P246,Reglas!$B$2,0))</x:f>
        <x:v>0</x:v>
      </x:c>
      <x:c r="T246" t="n">
        <x:f>IF(OR($N246&lt;&gt;"Finalizado",$Q246&lt;&gt;"Si"),0,Reglas!$B$3)</x:f>
        <x:v>3</x:v>
      </x:c>
      <x:c r="U246" t="n">
        <x:f>IF(OR($N246&lt;&gt;"Finalizado",$Q246&lt;&gt;"Si"),0,IF($I246=$M246,Reglas!$B$4,0))</x:f>
        <x:v>0</x:v>
      </x:c>
      <x:c r="V246" t="n">
        <x:f>IF(OR($N246&lt;&gt;"Finalizado",$Q246&lt;&gt;"Si",$R246&lt;&gt;"Si"),0,IF(AND($F246=$J246,$G246=$K246),Reglas!$B$5,0))</x:f>
        <x:v>0</x:v>
      </x:c>
      <x:c r="W246" t="n">
        <x:f>IF(OR($N246&lt;&gt;"Finalizado",$Q246&lt;&gt;"Si",$R246&lt;&gt;"Si"),0,IF($F246-$G246=$J246-$K246,Reglas!$B$6,0))</x:f>
        <x:v>0</x:v>
      </x:c>
      <x:c r="X246" t="n">
        <x:f>IF(OR($N246&lt;&gt;"Finalizado",$Q246&lt;&gt;"Si",$R246&lt;&gt;"Si"),0,IF($F246=$J246,Reglas!$B$7,0))</x:f>
        <x:v>0</x:v>
      </x:c>
      <x:c r="Y246" t="n">
        <x:f>IF(OR($N246&lt;&gt;"Finalizado",$Q246&lt;&gt;"Si",$R246&lt;&gt;"Si"),0,IF($G246=$K246,Reglas!$B$8,0))</x:f>
        <x:v>0</x:v>
      </x:c>
      <x:c r="Z246" t="n">
        <x:f>SUM($S246:$Y246)</x:f>
        <x:v>3</x:v>
      </x:c>
      <x:c r="AA246" t="str">
        <x:f>IF($N246&lt;&gt;"Finalizado","Resultado pendiente",IF($H246="Sin envio","Sin respuesta",IF($Q246&lt;&gt;"Si","No acerto clasificado","OK")))</x:f>
        <x:v>OK</x:v>
      </x:c>
      <x:c r="AB246" t="str">
        <x:v>Google Forms cuartos + ESPN</x:v>
      </x:c>
      <x:c r="AC246" t="n">
        <x:v>3</x:v>
      </x:c>
      <x:c r="AD246" t="n">
        <x:f>$Z246-$AC246</x:f>
        <x:v>0</x:v>
      </x:c>
    </x:row>
    <x:row r="247" ht="15" hidden="0" customHeight="1">
      <x:c r="A247" t="str">
        <x:v>4tos</x:v>
      </x:c>
      <x:c r="B247" t="str">
        <x:v>QF4</x:v>
      </x:c>
      <x:c r="C247" t="str">
        <x:v>Juan</x:v>
      </x:c>
      <x:c r="D247" t="str">
        <x:v>Argentina</x:v>
      </x:c>
      <x:c r="E247" t="str">
        <x:v>Suiza</x:v>
      </x:c>
      <x:c r="F247"/>
      <x:c r="G247"/>
      <x:c r="H247" t="str">
        <x:v>Sin envio</x:v>
      </x:c>
      <x:c r="I247" t="str">
        <x:v>Sin envio</x:v>
      </x:c>
      <x:c r="J247" t="n">
        <x:v>3</x:v>
      </x:c>
      <x:c r="K247" t="n">
        <x:v>1</x:v>
      </x:c>
      <x:c r="L247" t="str">
        <x:v>Argentina</x:v>
      </x:c>
      <x:c r="M247" t="str">
        <x:v>Suplementario</x:v>
      </x:c>
      <x:c r="N247" t="str">
        <x:v>Finalizado</x:v>
      </x:c>
      <x:c r="O247" t="str">
        <x:f>IF($H247="Sin envio","Sin envio",IF($I247="90 minutos",IF($F247&gt;$G247,"A",IF($G247&gt;$F247,"B","E")),"E"))</x:f>
        <x:v>Sin envio</x:v>
      </x:c>
      <x:c r="P247" t="str">
        <x:f>IF($M247="90 minutos",IF($J247&gt;$K247,"A",IF($K247&gt;$J247,"B","E")),"E")</x:f>
        <x:v>E</x:v>
      </x:c>
      <x:c r="Q247" t="str">
        <x:f>IF($H247="Sin envio","No",IF($H247=$L247,"Si","No"))</x:f>
        <x:v>No</x:v>
      </x:c>
      <x:c r="R247" t="str">
        <x:f>IF(AND($I247=$M247,NOT(AND($I247="Penales",$F247&lt;&gt;$G247))),"Si","No")</x:f>
        <x:v>No</x:v>
      </x:c>
      <x:c r="S247" t="n">
        <x:f>IF(OR($N247&lt;&gt;"Finalizado",$Q247&lt;&gt;"Si"),0,IF($O247=$P247,Reglas!$B$2,0))</x:f>
        <x:v>0</x:v>
      </x:c>
      <x:c r="T247" t="n">
        <x:f>IF(OR($N247&lt;&gt;"Finalizado",$Q247&lt;&gt;"Si"),0,Reglas!$B$3)</x:f>
        <x:v>0</x:v>
      </x:c>
      <x:c r="U247" t="n">
        <x:f>IF(OR($N247&lt;&gt;"Finalizado",$Q247&lt;&gt;"Si"),0,IF($I247=$M247,Reglas!$B$4,0))</x:f>
        <x:v>0</x:v>
      </x:c>
      <x:c r="V247" t="n">
        <x:f>IF(OR($N247&lt;&gt;"Finalizado",$Q247&lt;&gt;"Si",$R247&lt;&gt;"Si"),0,IF(AND($F247=$J247,$G247=$K247),Reglas!$B$5,0))</x:f>
        <x:v>0</x:v>
      </x:c>
      <x:c r="W247" t="n">
        <x:f>IF(OR($N247&lt;&gt;"Finalizado",$Q247&lt;&gt;"Si",$R247&lt;&gt;"Si"),0,IF($F247-$G247=$J247-$K247,Reglas!$B$6,0))</x:f>
        <x:v>0</x:v>
      </x:c>
      <x:c r="X247" t="n">
        <x:f>IF(OR($N247&lt;&gt;"Finalizado",$Q247&lt;&gt;"Si",$R247&lt;&gt;"Si"),0,IF($F247=$J247,Reglas!$B$7,0))</x:f>
        <x:v>0</x:v>
      </x:c>
      <x:c r="Y247" t="n">
        <x:f>IF(OR($N247&lt;&gt;"Finalizado",$Q247&lt;&gt;"Si",$R247&lt;&gt;"Si"),0,IF($G247=$K247,Reglas!$B$8,0))</x:f>
        <x:v>0</x:v>
      </x:c>
      <x:c r="Z247" t="n">
        <x:f>SUM($S247:$Y247)</x:f>
        <x:v>0</x:v>
      </x:c>
      <x:c r="AA247" t="str">
        <x:f>IF($N247&lt;&gt;"Finalizado","Resultado pendiente",IF($H247="Sin envio","Sin respuesta",IF($Q247&lt;&gt;"Si","No acerto clasificado","OK")))</x:f>
        <x:v>Sin respuesta</x:v>
      </x:c>
      <x:c r="AB247" t="str">
        <x:v>Google Forms cuartos + ESPN</x:v>
      </x:c>
      <x:c r="AC247" t="n">
        <x:v>0</x:v>
      </x:c>
      <x:c r="AD247" t="n">
        <x:f>$Z247-$AC247</x:f>
        <x:v>0</x:v>
      </x:c>
    </x:row>
    <x:row r="248" ht="15" hidden="0" customHeight="1">
      <x:c r="A248" t="str">
        <x:v>4tos</x:v>
      </x:c>
      <x:c r="B248" t="str">
        <x:v>QF4</x:v>
      </x:c>
      <x:c r="C248" t="str">
        <x:v>Jesús</x:v>
      </x:c>
      <x:c r="D248" t="str">
        <x:v>Argentina</x:v>
      </x:c>
      <x:c r="E248" t="str">
        <x:v>Suiza</x:v>
      </x:c>
      <x:c r="F248" t="n">
        <x:v>2</x:v>
      </x:c>
      <x:c r="G248" t="n">
        <x:v>1</x:v>
      </x:c>
      <x:c r="H248" t="str">
        <x:v>Argentina</x:v>
      </x:c>
      <x:c r="I248" t="str">
        <x:v>90 minutos</x:v>
      </x:c>
      <x:c r="J248" t="n">
        <x:v>3</x:v>
      </x:c>
      <x:c r="K248" t="n">
        <x:v>1</x:v>
      </x:c>
      <x:c r="L248" t="str">
        <x:v>Argentina</x:v>
      </x:c>
      <x:c r="M248" t="str">
        <x:v>Suplementario</x:v>
      </x:c>
      <x:c r="N248" t="str">
        <x:v>Finalizado</x:v>
      </x:c>
      <x:c r="O248" t="str">
        <x:f>IF($H248="Sin envio","Sin envio",IF($I248="90 minutos",IF($F248&gt;$G248,"A",IF($G248&gt;$F248,"B","E")),"E"))</x:f>
        <x:v>A</x:v>
      </x:c>
      <x:c r="P248" t="str">
        <x:f>IF($M248="90 minutos",IF($J248&gt;$K248,"A",IF($K248&gt;$J248,"B","E")),"E")</x:f>
        <x:v>E</x:v>
      </x:c>
      <x:c r="Q248" t="str">
        <x:f>IF($H248="Sin envio","No",IF($H248=$L248,"Si","No"))</x:f>
        <x:v>Si</x:v>
      </x:c>
      <x:c r="R248" t="str">
        <x:f>IF(AND($I248=$M248,NOT(AND($I248="Penales",$F248&lt;&gt;$G248))),"Si","No")</x:f>
        <x:v>No</x:v>
      </x:c>
      <x:c r="S248" t="n">
        <x:f>IF(OR($N248&lt;&gt;"Finalizado",$Q248&lt;&gt;"Si"),0,IF($O248=$P248,Reglas!$B$2,0))</x:f>
        <x:v>0</x:v>
      </x:c>
      <x:c r="T248" t="n">
        <x:f>IF(OR($N248&lt;&gt;"Finalizado",$Q248&lt;&gt;"Si"),0,Reglas!$B$3)</x:f>
        <x:v>3</x:v>
      </x:c>
      <x:c r="U248" t="n">
        <x:f>IF(OR($N248&lt;&gt;"Finalizado",$Q248&lt;&gt;"Si"),0,IF($I248=$M248,Reglas!$B$4,0))</x:f>
        <x:v>0</x:v>
      </x:c>
      <x:c r="V248" t="n">
        <x:f>IF(OR($N248&lt;&gt;"Finalizado",$Q248&lt;&gt;"Si",$R248&lt;&gt;"Si"),0,IF(AND($F248=$J248,$G248=$K248),Reglas!$B$5,0))</x:f>
        <x:v>0</x:v>
      </x:c>
      <x:c r="W248" t="n">
        <x:f>IF(OR($N248&lt;&gt;"Finalizado",$Q248&lt;&gt;"Si",$R248&lt;&gt;"Si"),0,IF($F248-$G248=$J248-$K248,Reglas!$B$6,0))</x:f>
        <x:v>0</x:v>
      </x:c>
      <x:c r="X248" t="n">
        <x:f>IF(OR($N248&lt;&gt;"Finalizado",$Q248&lt;&gt;"Si",$R248&lt;&gt;"Si"),0,IF($F248=$J248,Reglas!$B$7,0))</x:f>
        <x:v>0</x:v>
      </x:c>
      <x:c r="Y248" t="n">
        <x:f>IF(OR($N248&lt;&gt;"Finalizado",$Q248&lt;&gt;"Si",$R248&lt;&gt;"Si"),0,IF($G248=$K248,Reglas!$B$8,0))</x:f>
        <x:v>0</x:v>
      </x:c>
      <x:c r="Z248" t="n">
        <x:f>SUM($S248:$Y248)</x:f>
        <x:v>3</x:v>
      </x:c>
      <x:c r="AA248" t="str">
        <x:f>IF($N248&lt;&gt;"Finalizado","Resultado pendiente",IF($H248="Sin envio","Sin respuesta",IF($Q248&lt;&gt;"Si","No acerto clasificado","OK")))</x:f>
        <x:v>OK</x:v>
      </x:c>
      <x:c r="AB248" t="str">
        <x:v>Google Forms cuartos + ESPN</x:v>
      </x:c>
      <x:c r="AC248" t="n">
        <x:v>3</x:v>
      </x:c>
      <x:c r="AD248" t="n">
        <x:f>$Z248-$AC248</x:f>
        <x:v>0</x:v>
      </x:c>
    </x:row>
    <x:row r="249" ht="15" hidden="0" customHeight="1">
      <x:c r="A249" t="str">
        <x:v>4tos</x:v>
      </x:c>
      <x:c r="B249" t="str">
        <x:v>QF4</x:v>
      </x:c>
      <x:c r="C249" t="str">
        <x:v>Diego</x:v>
      </x:c>
      <x:c r="D249" t="str">
        <x:v>Argentina</x:v>
      </x:c>
      <x:c r="E249" t="str">
        <x:v>Suiza</x:v>
      </x:c>
      <x:c r="F249" t="n">
        <x:v>2</x:v>
      </x:c>
      <x:c r="G249" t="n">
        <x:v>0</x:v>
      </x:c>
      <x:c r="H249" t="str">
        <x:v>Argentina</x:v>
      </x:c>
      <x:c r="I249" t="str">
        <x:v>90 minutos</x:v>
      </x:c>
      <x:c r="J249" t="n">
        <x:v>3</x:v>
      </x:c>
      <x:c r="K249" t="n">
        <x:v>1</x:v>
      </x:c>
      <x:c r="L249" t="str">
        <x:v>Argentina</x:v>
      </x:c>
      <x:c r="M249" t="str">
        <x:v>Suplementario</x:v>
      </x:c>
      <x:c r="N249" t="str">
        <x:v>Finalizado</x:v>
      </x:c>
      <x:c r="O249" t="str">
        <x:f>IF($H249="Sin envio","Sin envio",IF($I249="90 minutos",IF($F249&gt;$G249,"A",IF($G249&gt;$F249,"B","E")),"E"))</x:f>
        <x:v>A</x:v>
      </x:c>
      <x:c r="P249" t="str">
        <x:f>IF($M249="90 minutos",IF($J249&gt;$K249,"A",IF($K249&gt;$J249,"B","E")),"E")</x:f>
        <x:v>E</x:v>
      </x:c>
      <x:c r="Q249" t="str">
        <x:f>IF($H249="Sin envio","No",IF($H249=$L249,"Si","No"))</x:f>
        <x:v>Si</x:v>
      </x:c>
      <x:c r="R249" t="str">
        <x:f>IF(AND($I249=$M249,NOT(AND($I249="Penales",$F249&lt;&gt;$G249))),"Si","No")</x:f>
        <x:v>No</x:v>
      </x:c>
      <x:c r="S249" t="n">
        <x:f>IF(OR($N249&lt;&gt;"Finalizado",$Q249&lt;&gt;"Si"),0,IF($O249=$P249,Reglas!$B$2,0))</x:f>
        <x:v>0</x:v>
      </x:c>
      <x:c r="T249" t="n">
        <x:f>IF(OR($N249&lt;&gt;"Finalizado",$Q249&lt;&gt;"Si"),0,Reglas!$B$3)</x:f>
        <x:v>3</x:v>
      </x:c>
      <x:c r="U249" t="n">
        <x:f>IF(OR($N249&lt;&gt;"Finalizado",$Q249&lt;&gt;"Si"),0,IF($I249=$M249,Reglas!$B$4,0))</x:f>
        <x:v>0</x:v>
      </x:c>
      <x:c r="V249" t="n">
        <x:f>IF(OR($N249&lt;&gt;"Finalizado",$Q249&lt;&gt;"Si",$R249&lt;&gt;"Si"),0,IF(AND($F249=$J249,$G249=$K249),Reglas!$B$5,0))</x:f>
        <x:v>0</x:v>
      </x:c>
      <x:c r="W249" t="n">
        <x:f>IF(OR($N249&lt;&gt;"Finalizado",$Q249&lt;&gt;"Si",$R249&lt;&gt;"Si"),0,IF($F249-$G249=$J249-$K249,Reglas!$B$6,0))</x:f>
        <x:v>0</x:v>
      </x:c>
      <x:c r="X249" t="n">
        <x:f>IF(OR($N249&lt;&gt;"Finalizado",$Q249&lt;&gt;"Si",$R249&lt;&gt;"Si"),0,IF($F249=$J249,Reglas!$B$7,0))</x:f>
        <x:v>0</x:v>
      </x:c>
      <x:c r="Y249" t="n">
        <x:f>IF(OR($N249&lt;&gt;"Finalizado",$Q249&lt;&gt;"Si",$R249&lt;&gt;"Si"),0,IF($G249=$K249,Reglas!$B$8,0))</x:f>
        <x:v>0</x:v>
      </x:c>
      <x:c r="Z249" t="n">
        <x:f>SUM($S249:$Y249)</x:f>
        <x:v>3</x:v>
      </x:c>
      <x:c r="AA249" t="str">
        <x:f>IF($N249&lt;&gt;"Finalizado","Resultado pendiente",IF($H249="Sin envio","Sin respuesta",IF($Q249&lt;&gt;"Si","No acerto clasificado","OK")))</x:f>
        <x:v>OK</x:v>
      </x:c>
      <x:c r="AB249" t="str">
        <x:v>Google Forms cuartos + ESPN</x:v>
      </x:c>
      <x:c r="AC249" t="n">
        <x:v>3</x:v>
      </x:c>
      <x:c r="AD249" t="n">
        <x:f>$Z249-$AC249</x:f>
        <x:v>0</x:v>
      </x:c>
    </x:row>
    <x:row r="250" ht="15" hidden="0" customHeight="1">
      <x:c r="A250" t="str">
        <x:v>4tos</x:v>
      </x:c>
      <x:c r="B250" t="str">
        <x:v>QF4</x:v>
      </x:c>
      <x:c r="C250" t="str">
        <x:v>Aldo</x:v>
      </x:c>
      <x:c r="D250" t="str">
        <x:v>Argentina</x:v>
      </x:c>
      <x:c r="E250" t="str">
        <x:v>Suiza</x:v>
      </x:c>
      <x:c r="F250" t="n">
        <x:v>2</x:v>
      </x:c>
      <x:c r="G250" t="n">
        <x:v>1</x:v>
      </x:c>
      <x:c r="H250" t="str">
        <x:v>Argentina</x:v>
      </x:c>
      <x:c r="I250" t="str">
        <x:v>90 minutos</x:v>
      </x:c>
      <x:c r="J250" t="n">
        <x:v>3</x:v>
      </x:c>
      <x:c r="K250" t="n">
        <x:v>1</x:v>
      </x:c>
      <x:c r="L250" t="str">
        <x:v>Argentina</x:v>
      </x:c>
      <x:c r="M250" t="str">
        <x:v>Suplementario</x:v>
      </x:c>
      <x:c r="N250" t="str">
        <x:v>Finalizado</x:v>
      </x:c>
      <x:c r="O250" t="str">
        <x:f>IF($H250="Sin envio","Sin envio",IF($I250="90 minutos",IF($F250&gt;$G250,"A",IF($G250&gt;$F250,"B","E")),"E"))</x:f>
        <x:v>A</x:v>
      </x:c>
      <x:c r="P250" t="str">
        <x:f>IF($M250="90 minutos",IF($J250&gt;$K250,"A",IF($K250&gt;$J250,"B","E")),"E")</x:f>
        <x:v>E</x:v>
      </x:c>
      <x:c r="Q250" t="str">
        <x:f>IF($H250="Sin envio","No",IF($H250=$L250,"Si","No"))</x:f>
        <x:v>Si</x:v>
      </x:c>
      <x:c r="R250" t="str">
        <x:f>IF(AND($I250=$M250,NOT(AND($I250="Penales",$F250&lt;&gt;$G250))),"Si","No")</x:f>
        <x:v>No</x:v>
      </x:c>
      <x:c r="S250" t="n">
        <x:f>IF(OR($N250&lt;&gt;"Finalizado",$Q250&lt;&gt;"Si"),0,IF($O250=$P250,Reglas!$B$2,0))</x:f>
        <x:v>0</x:v>
      </x:c>
      <x:c r="T250" t="n">
        <x:f>IF(OR($N250&lt;&gt;"Finalizado",$Q250&lt;&gt;"Si"),0,Reglas!$B$3)</x:f>
        <x:v>3</x:v>
      </x:c>
      <x:c r="U250" t="n">
        <x:f>IF(OR($N250&lt;&gt;"Finalizado",$Q250&lt;&gt;"Si"),0,IF($I250=$M250,Reglas!$B$4,0))</x:f>
        <x:v>0</x:v>
      </x:c>
      <x:c r="V250" t="n">
        <x:f>IF(OR($N250&lt;&gt;"Finalizado",$Q250&lt;&gt;"Si",$R250&lt;&gt;"Si"),0,IF(AND($F250=$J250,$G250=$K250),Reglas!$B$5,0))</x:f>
        <x:v>0</x:v>
      </x:c>
      <x:c r="W250" t="n">
        <x:f>IF(OR($N250&lt;&gt;"Finalizado",$Q250&lt;&gt;"Si",$R250&lt;&gt;"Si"),0,IF($F250-$G250=$J250-$K250,Reglas!$B$6,0))</x:f>
        <x:v>0</x:v>
      </x:c>
      <x:c r="X250" t="n">
        <x:f>IF(OR($N250&lt;&gt;"Finalizado",$Q250&lt;&gt;"Si",$R250&lt;&gt;"Si"),0,IF($F250=$J250,Reglas!$B$7,0))</x:f>
        <x:v>0</x:v>
      </x:c>
      <x:c r="Y250" t="n">
        <x:f>IF(OR($N250&lt;&gt;"Finalizado",$Q250&lt;&gt;"Si",$R250&lt;&gt;"Si"),0,IF($G250=$K250,Reglas!$B$8,0))</x:f>
        <x:v>0</x:v>
      </x:c>
      <x:c r="Z250" t="n">
        <x:f>SUM($S250:$Y250)</x:f>
        <x:v>3</x:v>
      </x:c>
      <x:c r="AA250" t="str">
        <x:f>IF($N250&lt;&gt;"Finalizado","Resultado pendiente",IF($H250="Sin envio","Sin respuesta",IF($Q250&lt;&gt;"Si","No acerto clasificado","OK")))</x:f>
        <x:v>OK</x:v>
      </x:c>
      <x:c r="AB250" t="str">
        <x:v>Google Forms cuartos + ESPN</x:v>
      </x:c>
      <x:c r="AC250" t="n">
        <x:v>3</x:v>
      </x:c>
      <x:c r="AD250" t="n">
        <x:f>$Z250-$AC250</x:f>
        <x:v>0</x:v>
      </x:c>
    </x:row>
    <x:row r="251" ht="15" hidden="0" customHeight="1">
      <x:c r="A251" t="str">
        <x:v>4tos</x:v>
      </x:c>
      <x:c r="B251" t="str">
        <x:v>QF4</x:v>
      </x:c>
      <x:c r="C251" t="str">
        <x:v>Javier</x:v>
      </x:c>
      <x:c r="D251" t="str">
        <x:v>Argentina</x:v>
      </x:c>
      <x:c r="E251" t="str">
        <x:v>Suiza</x:v>
      </x:c>
      <x:c r="F251" t="n">
        <x:v>3</x:v>
      </x:c>
      <x:c r="G251" t="n">
        <x:v>0</x:v>
      </x:c>
      <x:c r="H251" t="str">
        <x:v>Argentina</x:v>
      </x:c>
      <x:c r="I251" t="str">
        <x:v>90 minutos</x:v>
      </x:c>
      <x:c r="J251" t="n">
        <x:v>3</x:v>
      </x:c>
      <x:c r="K251" t="n">
        <x:v>1</x:v>
      </x:c>
      <x:c r="L251" t="str">
        <x:v>Argentina</x:v>
      </x:c>
      <x:c r="M251" t="str">
        <x:v>Suplementario</x:v>
      </x:c>
      <x:c r="N251" t="str">
        <x:v>Finalizado</x:v>
      </x:c>
      <x:c r="O251" t="str">
        <x:f>IF($H251="Sin envio","Sin envio",IF($I251="90 minutos",IF($F251&gt;$G251,"A",IF($G251&gt;$F251,"B","E")),"E"))</x:f>
        <x:v>A</x:v>
      </x:c>
      <x:c r="P251" t="str">
        <x:f>IF($M251="90 minutos",IF($J251&gt;$K251,"A",IF($K251&gt;$J251,"B","E")),"E")</x:f>
        <x:v>E</x:v>
      </x:c>
      <x:c r="Q251" t="str">
        <x:f>IF($H251="Sin envio","No",IF($H251=$L251,"Si","No"))</x:f>
        <x:v>Si</x:v>
      </x:c>
      <x:c r="R251" t="str">
        <x:f>IF(AND($I251=$M251,NOT(AND($I251="Penales",$F251&lt;&gt;$G251))),"Si","No")</x:f>
        <x:v>No</x:v>
      </x:c>
      <x:c r="S251" t="n">
        <x:f>IF(OR($N251&lt;&gt;"Finalizado",$Q251&lt;&gt;"Si"),0,IF($O251=$P251,Reglas!$B$2,0))</x:f>
        <x:v>0</x:v>
      </x:c>
      <x:c r="T251" t="n">
        <x:f>IF(OR($N251&lt;&gt;"Finalizado",$Q251&lt;&gt;"Si"),0,Reglas!$B$3)</x:f>
        <x:v>3</x:v>
      </x:c>
      <x:c r="U251" t="n">
        <x:f>IF(OR($N251&lt;&gt;"Finalizado",$Q251&lt;&gt;"Si"),0,IF($I251=$M251,Reglas!$B$4,0))</x:f>
        <x:v>0</x:v>
      </x:c>
      <x:c r="V251" t="n">
        <x:f>IF(OR($N251&lt;&gt;"Finalizado",$Q251&lt;&gt;"Si",$R251&lt;&gt;"Si"),0,IF(AND($F251=$J251,$G251=$K251),Reglas!$B$5,0))</x:f>
        <x:v>0</x:v>
      </x:c>
      <x:c r="W251" t="n">
        <x:f>IF(OR($N251&lt;&gt;"Finalizado",$Q251&lt;&gt;"Si",$R251&lt;&gt;"Si"),0,IF($F251-$G251=$J251-$K251,Reglas!$B$6,0))</x:f>
        <x:v>0</x:v>
      </x:c>
      <x:c r="X251" t="n">
        <x:f>IF(OR($N251&lt;&gt;"Finalizado",$Q251&lt;&gt;"Si",$R251&lt;&gt;"Si"),0,IF($F251=$J251,Reglas!$B$7,0))</x:f>
        <x:v>0</x:v>
      </x:c>
      <x:c r="Y251" t="n">
        <x:f>IF(OR($N251&lt;&gt;"Finalizado",$Q251&lt;&gt;"Si",$R251&lt;&gt;"Si"),0,IF($G251=$K251,Reglas!$B$8,0))</x:f>
        <x:v>0</x:v>
      </x:c>
      <x:c r="Z251" t="n">
        <x:f>SUM($S251:$Y251)</x:f>
        <x:v>3</x:v>
      </x:c>
      <x:c r="AA251" t="str">
        <x:f>IF($N251&lt;&gt;"Finalizado","Resultado pendiente",IF($H251="Sin envio","Sin respuesta",IF($Q251&lt;&gt;"Si","No acerto clasificado","OK")))</x:f>
        <x:v>OK</x:v>
      </x:c>
      <x:c r="AB251" t="str">
        <x:v>Google Forms cuartos + ESPN</x:v>
      </x:c>
      <x:c r="AC251" t="n">
        <x:v>3</x:v>
      </x:c>
      <x:c r="AD251" t="n">
        <x:f>$Z251-$AC251</x:f>
        <x:v>0</x:v>
      </x:c>
    </x:row>
    <x:row r="252" ht="15" hidden="0" customHeight="1">
      <x:c r="A252" t="str">
        <x:v>4tos</x:v>
      </x:c>
      <x:c r="B252" t="str">
        <x:v>QF4</x:v>
      </x:c>
      <x:c r="C252" t="str">
        <x:v>Gino</x:v>
      </x:c>
      <x:c r="D252" t="str">
        <x:v>Argentina</x:v>
      </x:c>
      <x:c r="E252" t="str">
        <x:v>Suiza</x:v>
      </x:c>
      <x:c r="F252" t="n">
        <x:v>2</x:v>
      </x:c>
      <x:c r="G252" t="n">
        <x:v>0</x:v>
      </x:c>
      <x:c r="H252" t="str">
        <x:v>Argentina</x:v>
      </x:c>
      <x:c r="I252" t="str">
        <x:v>90 minutos</x:v>
      </x:c>
      <x:c r="J252" t="n">
        <x:v>3</x:v>
      </x:c>
      <x:c r="K252" t="n">
        <x:v>1</x:v>
      </x:c>
      <x:c r="L252" t="str">
        <x:v>Argentina</x:v>
      </x:c>
      <x:c r="M252" t="str">
        <x:v>Suplementario</x:v>
      </x:c>
      <x:c r="N252" t="str">
        <x:v>Finalizado</x:v>
      </x:c>
      <x:c r="O252" t="str">
        <x:f>IF($H252="Sin envio","Sin envio",IF($I252="90 minutos",IF($F252&gt;$G252,"A",IF($G252&gt;$F252,"B","E")),"E"))</x:f>
        <x:v>A</x:v>
      </x:c>
      <x:c r="P252" t="str">
        <x:f>IF($M252="90 minutos",IF($J252&gt;$K252,"A",IF($K252&gt;$J252,"B","E")),"E")</x:f>
        <x:v>E</x:v>
      </x:c>
      <x:c r="Q252" t="str">
        <x:f>IF($H252="Sin envio","No",IF($H252=$L252,"Si","No"))</x:f>
        <x:v>Si</x:v>
      </x:c>
      <x:c r="R252" t="str">
        <x:f>IF(AND($I252=$M252,NOT(AND($I252="Penales",$F252&lt;&gt;$G252))),"Si","No")</x:f>
        <x:v>No</x:v>
      </x:c>
      <x:c r="S252" t="n">
        <x:f>IF(OR($N252&lt;&gt;"Finalizado",$Q252&lt;&gt;"Si"),0,IF($O252=$P252,Reglas!$B$2,0))</x:f>
        <x:v>0</x:v>
      </x:c>
      <x:c r="T252" t="n">
        <x:f>IF(OR($N252&lt;&gt;"Finalizado",$Q252&lt;&gt;"Si"),0,Reglas!$B$3)</x:f>
        <x:v>3</x:v>
      </x:c>
      <x:c r="U252" t="n">
        <x:f>IF(OR($N252&lt;&gt;"Finalizado",$Q252&lt;&gt;"Si"),0,IF($I252=$M252,Reglas!$B$4,0))</x:f>
        <x:v>0</x:v>
      </x:c>
      <x:c r="V252" t="n">
        <x:f>IF(OR($N252&lt;&gt;"Finalizado",$Q252&lt;&gt;"Si",$R252&lt;&gt;"Si"),0,IF(AND($F252=$J252,$G252=$K252),Reglas!$B$5,0))</x:f>
        <x:v>0</x:v>
      </x:c>
      <x:c r="W252" t="n">
        <x:f>IF(OR($N252&lt;&gt;"Finalizado",$Q252&lt;&gt;"Si",$R252&lt;&gt;"Si"),0,IF($F252-$G252=$J252-$K252,Reglas!$B$6,0))</x:f>
        <x:v>0</x:v>
      </x:c>
      <x:c r="X252" t="n">
        <x:f>IF(OR($N252&lt;&gt;"Finalizado",$Q252&lt;&gt;"Si",$R252&lt;&gt;"Si"),0,IF($F252=$J252,Reglas!$B$7,0))</x:f>
        <x:v>0</x:v>
      </x:c>
      <x:c r="Y252" t="n">
        <x:f>IF(OR($N252&lt;&gt;"Finalizado",$Q252&lt;&gt;"Si",$R252&lt;&gt;"Si"),0,IF($G252=$K252,Reglas!$B$8,0))</x:f>
        <x:v>0</x:v>
      </x:c>
      <x:c r="Z252" t="n">
        <x:f>SUM($S252:$Y252)</x:f>
        <x:v>3</x:v>
      </x:c>
      <x:c r="AA252" t="str">
        <x:f>IF($N252&lt;&gt;"Finalizado","Resultado pendiente",IF($H252="Sin envio","Sin respuesta",IF($Q252&lt;&gt;"Si","No acerto clasificado","OK")))</x:f>
        <x:v>OK</x:v>
      </x:c>
      <x:c r="AB252" t="str">
        <x:v>Google Forms cuartos + ESPN</x:v>
      </x:c>
      <x:c r="AC252" t="n">
        <x:v>3</x:v>
      </x:c>
      <x:c r="AD252" t="n">
        <x:f>$Z252-$AC252</x:f>
        <x:v>0</x:v>
      </x:c>
    </x:row>
    <x:row r="253" ht="15" hidden="0" customHeight="1">
      <x:c r="A253" t="str">
        <x:v>4tos</x:v>
      </x:c>
      <x:c r="B253" t="str">
        <x:v>QF4</x:v>
      </x:c>
      <x:c r="C253" t="str">
        <x:v>Manuel</x:v>
      </x:c>
      <x:c r="D253" t="str">
        <x:v>Argentina</x:v>
      </x:c>
      <x:c r="E253" t="str">
        <x:v>Suiza</x:v>
      </x:c>
      <x:c r="F253" t="n">
        <x:v>1</x:v>
      </x:c>
      <x:c r="G253" t="n">
        <x:v>2</x:v>
      </x:c>
      <x:c r="H253" t="str">
        <x:v>Suiza</x:v>
      </x:c>
      <x:c r="I253" t="str">
        <x:v>90 minutos</x:v>
      </x:c>
      <x:c r="J253" t="n">
        <x:v>3</x:v>
      </x:c>
      <x:c r="K253" t="n">
        <x:v>1</x:v>
      </x:c>
      <x:c r="L253" t="str">
        <x:v>Argentina</x:v>
      </x:c>
      <x:c r="M253" t="str">
        <x:v>Suplementario</x:v>
      </x:c>
      <x:c r="N253" t="str">
        <x:v>Finalizado</x:v>
      </x:c>
      <x:c r="O253" t="str">
        <x:f>IF($H253="Sin envio","Sin envio",IF($I253="90 minutos",IF($F253&gt;$G253,"A",IF($G253&gt;$F253,"B","E")),"E"))</x:f>
        <x:v>B</x:v>
      </x:c>
      <x:c r="P253" t="str">
        <x:f>IF($M253="90 minutos",IF($J253&gt;$K253,"A",IF($K253&gt;$J253,"B","E")),"E")</x:f>
        <x:v>E</x:v>
      </x:c>
      <x:c r="Q253" t="str">
        <x:f>IF($H253="Sin envio","No",IF($H253=$L253,"Si","No"))</x:f>
        <x:v>No</x:v>
      </x:c>
      <x:c r="R253" t="str">
        <x:f>IF(AND($I253=$M253,NOT(AND($I253="Penales",$F253&lt;&gt;$G253))),"Si","No")</x:f>
        <x:v>No</x:v>
      </x:c>
      <x:c r="S253" t="n">
        <x:f>IF(OR($N253&lt;&gt;"Finalizado",$Q253&lt;&gt;"Si"),0,IF($O253=$P253,Reglas!$B$2,0))</x:f>
        <x:v>0</x:v>
      </x:c>
      <x:c r="T253" t="n">
        <x:f>IF(OR($N253&lt;&gt;"Finalizado",$Q253&lt;&gt;"Si"),0,Reglas!$B$3)</x:f>
        <x:v>0</x:v>
      </x:c>
      <x:c r="U253" t="n">
        <x:f>IF(OR($N253&lt;&gt;"Finalizado",$Q253&lt;&gt;"Si"),0,IF($I253=$M253,Reglas!$B$4,0))</x:f>
        <x:v>0</x:v>
      </x:c>
      <x:c r="V253" t="n">
        <x:f>IF(OR($N253&lt;&gt;"Finalizado",$Q253&lt;&gt;"Si",$R253&lt;&gt;"Si"),0,IF(AND($F253=$J253,$G253=$K253),Reglas!$B$5,0))</x:f>
        <x:v>0</x:v>
      </x:c>
      <x:c r="W253" t="n">
        <x:f>IF(OR($N253&lt;&gt;"Finalizado",$Q253&lt;&gt;"Si",$R253&lt;&gt;"Si"),0,IF($F253-$G253=$J253-$K253,Reglas!$B$6,0))</x:f>
        <x:v>0</x:v>
      </x:c>
      <x:c r="X253" t="n">
        <x:f>IF(OR($N253&lt;&gt;"Finalizado",$Q253&lt;&gt;"Si",$R253&lt;&gt;"Si"),0,IF($F253=$J253,Reglas!$B$7,0))</x:f>
        <x:v>0</x:v>
      </x:c>
      <x:c r="Y253" t="n">
        <x:f>IF(OR($N253&lt;&gt;"Finalizado",$Q253&lt;&gt;"Si",$R253&lt;&gt;"Si"),0,IF($G253=$K253,Reglas!$B$8,0))</x:f>
        <x:v>0</x:v>
      </x:c>
      <x:c r="Z253" t="n">
        <x:f>SUM($S253:$Y253)</x:f>
        <x:v>0</x:v>
      </x:c>
      <x:c r="AA253" t="str">
        <x:f>IF($N253&lt;&gt;"Finalizado","Resultado pendiente",IF($H253="Sin envio","Sin respuesta",IF($Q253&lt;&gt;"Si","No acerto clasificado","OK")))</x:f>
        <x:v>No acerto clasificado</x:v>
      </x:c>
      <x:c r="AB253" t="str">
        <x:v>Google Forms cuartos + ESPN</x:v>
      </x:c>
      <x:c r="AC253" t="n">
        <x:v>0</x:v>
      </x:c>
      <x:c r="AD253" t="n">
        <x:f>$Z253-$AC253</x:f>
        <x:v>0</x:v>
      </x:c>
    </x:row>
    <x:row r="254" ht="15" hidden="0" customHeight="1">
      <x:c r="A254" t="str">
        <x:v>4tos</x:v>
      </x:c>
      <x:c r="B254" t="str">
        <x:v>QF4</x:v>
      </x:c>
      <x:c r="C254" t="str">
        <x:v>Jorge</x:v>
      </x:c>
      <x:c r="D254" t="str">
        <x:v>Argentina</x:v>
      </x:c>
      <x:c r="E254" t="str">
        <x:v>Suiza</x:v>
      </x:c>
      <x:c r="F254" t="n">
        <x:v>3</x:v>
      </x:c>
      <x:c r="G254" t="n">
        <x:v>1</x:v>
      </x:c>
      <x:c r="H254" t="str">
        <x:v>Argentina</x:v>
      </x:c>
      <x:c r="I254" t="str">
        <x:v>90 minutos</x:v>
      </x:c>
      <x:c r="J254" t="n">
        <x:v>3</x:v>
      </x:c>
      <x:c r="K254" t="n">
        <x:v>1</x:v>
      </x:c>
      <x:c r="L254" t="str">
        <x:v>Argentina</x:v>
      </x:c>
      <x:c r="M254" t="str">
        <x:v>Suplementario</x:v>
      </x:c>
      <x:c r="N254" t="str">
        <x:v>Finalizado</x:v>
      </x:c>
      <x:c r="O254" t="str">
        <x:f>IF($H254="Sin envio","Sin envio",IF($I254="90 minutos",IF($F254&gt;$G254,"A",IF($G254&gt;$F254,"B","E")),"E"))</x:f>
        <x:v>A</x:v>
      </x:c>
      <x:c r="P254" t="str">
        <x:f>IF($M254="90 minutos",IF($J254&gt;$K254,"A",IF($K254&gt;$J254,"B","E")),"E")</x:f>
        <x:v>E</x:v>
      </x:c>
      <x:c r="Q254" t="str">
        <x:f>IF($H254="Sin envio","No",IF($H254=$L254,"Si","No"))</x:f>
        <x:v>Si</x:v>
      </x:c>
      <x:c r="R254" t="str">
        <x:f>IF(AND($I254=$M254,NOT(AND($I254="Penales",$F254&lt;&gt;$G254))),"Si","No")</x:f>
        <x:v>No</x:v>
      </x:c>
      <x:c r="S254" t="n">
        <x:f>IF(OR($N254&lt;&gt;"Finalizado",$Q254&lt;&gt;"Si"),0,IF($O254=$P254,Reglas!$B$2,0))</x:f>
        <x:v>0</x:v>
      </x:c>
      <x:c r="T254" t="n">
        <x:f>IF(OR($N254&lt;&gt;"Finalizado",$Q254&lt;&gt;"Si"),0,Reglas!$B$3)</x:f>
        <x:v>3</x:v>
      </x:c>
      <x:c r="U254" t="n">
        <x:f>IF(OR($N254&lt;&gt;"Finalizado",$Q254&lt;&gt;"Si"),0,IF($I254=$M254,Reglas!$B$4,0))</x:f>
        <x:v>0</x:v>
      </x:c>
      <x:c r="V254" t="n">
        <x:f>IF(OR($N254&lt;&gt;"Finalizado",$Q254&lt;&gt;"Si",$R254&lt;&gt;"Si"),0,IF(AND($F254=$J254,$G254=$K254),Reglas!$B$5,0))</x:f>
        <x:v>0</x:v>
      </x:c>
      <x:c r="W254" t="n">
        <x:f>IF(OR($N254&lt;&gt;"Finalizado",$Q254&lt;&gt;"Si",$R254&lt;&gt;"Si"),0,IF($F254-$G254=$J254-$K254,Reglas!$B$6,0))</x:f>
        <x:v>0</x:v>
      </x:c>
      <x:c r="X254" t="n">
        <x:f>IF(OR($N254&lt;&gt;"Finalizado",$Q254&lt;&gt;"Si",$R254&lt;&gt;"Si"),0,IF($F254=$J254,Reglas!$B$7,0))</x:f>
        <x:v>0</x:v>
      </x:c>
      <x:c r="Y254" t="n">
        <x:f>IF(OR($N254&lt;&gt;"Finalizado",$Q254&lt;&gt;"Si",$R254&lt;&gt;"Si"),0,IF($G254=$K254,Reglas!$B$8,0))</x:f>
        <x:v>0</x:v>
      </x:c>
      <x:c r="Z254" t="n">
        <x:f>SUM($S254:$Y254)</x:f>
        <x:v>3</x:v>
      </x:c>
      <x:c r="AA254" t="str">
        <x:f>IF($N254&lt;&gt;"Finalizado","Resultado pendiente",IF($H254="Sin envio","Sin respuesta",IF($Q254&lt;&gt;"Si","No acerto clasificado","OK")))</x:f>
        <x:v>OK</x:v>
      </x:c>
      <x:c r="AB254" t="str">
        <x:v>Google Forms cuartos + ESPN</x:v>
      </x:c>
      <x:c r="AC254" t="n">
        <x:v>3</x:v>
      </x:c>
      <x:c r="AD254" t="n">
        <x:f>$Z254-$AC254</x:f>
        <x:v>0</x:v>
      </x:c>
    </x:row>
    <x:row r="255" ht="15" hidden="0" customHeight="1">
      <x:c r="A255" t="str">
        <x:v>4tos</x:v>
      </x:c>
      <x:c r="B255" t="str">
        <x:v>QF4</x:v>
      </x:c>
      <x:c r="C255" t="str">
        <x:v>Daniel</x:v>
      </x:c>
      <x:c r="D255" t="str">
        <x:v>Argentina</x:v>
      </x:c>
      <x:c r="E255" t="str">
        <x:v>Suiza</x:v>
      </x:c>
      <x:c r="F255" t="n">
        <x:v>2</x:v>
      </x:c>
      <x:c r="G255" t="n">
        <x:v>2</x:v>
      </x:c>
      <x:c r="H255" t="str">
        <x:v>Argentina</x:v>
      </x:c>
      <x:c r="I255" t="str">
        <x:v>Penales</x:v>
      </x:c>
      <x:c r="J255" t="n">
        <x:v>3</x:v>
      </x:c>
      <x:c r="K255" t="n">
        <x:v>1</x:v>
      </x:c>
      <x:c r="L255" t="str">
        <x:v>Argentina</x:v>
      </x:c>
      <x:c r="M255" t="str">
        <x:v>Suplementario</x:v>
      </x:c>
      <x:c r="N255" t="str">
        <x:v>Finalizado</x:v>
      </x:c>
      <x:c r="O255" t="str">
        <x:f>IF($H255="Sin envio","Sin envio",IF($I255="90 minutos",IF($F255&gt;$G255,"A",IF($G255&gt;$F255,"B","E")),"E"))</x:f>
        <x:v>E</x:v>
      </x:c>
      <x:c r="P255" t="str">
        <x:f>IF($M255="90 minutos",IF($J255&gt;$K255,"A",IF($K255&gt;$J255,"B","E")),"E")</x:f>
        <x:v>E</x:v>
      </x:c>
      <x:c r="Q255" t="str">
        <x:f>IF($H255="Sin envio","No",IF($H255=$L255,"Si","No"))</x:f>
        <x:v>Si</x:v>
      </x:c>
      <x:c r="R255" t="str">
        <x:f>IF(AND($I255=$M255,NOT(AND($I255="Penales",$F255&lt;&gt;$G255))),"Si","No")</x:f>
        <x:v>No</x:v>
      </x:c>
      <x:c r="S255" t="n">
        <x:f>IF(OR($N255&lt;&gt;"Finalizado",$Q255&lt;&gt;"Si"),0,IF($O255=$P255,Reglas!$B$2,0))</x:f>
        <x:v>5</x:v>
      </x:c>
      <x:c r="T255" t="n">
        <x:f>IF(OR($N255&lt;&gt;"Finalizado",$Q255&lt;&gt;"Si"),0,Reglas!$B$3)</x:f>
        <x:v>3</x:v>
      </x:c>
      <x:c r="U255" t="n">
        <x:f>IF(OR($N255&lt;&gt;"Finalizado",$Q255&lt;&gt;"Si"),0,IF($I255=$M255,Reglas!$B$4,0))</x:f>
        <x:v>0</x:v>
      </x:c>
      <x:c r="V255" t="n">
        <x:f>IF(OR($N255&lt;&gt;"Finalizado",$Q255&lt;&gt;"Si",$R255&lt;&gt;"Si"),0,IF(AND($F255=$J255,$G255=$K255),Reglas!$B$5,0))</x:f>
        <x:v>0</x:v>
      </x:c>
      <x:c r="W255" t="n">
        <x:f>IF(OR($N255&lt;&gt;"Finalizado",$Q255&lt;&gt;"Si",$R255&lt;&gt;"Si"),0,IF($F255-$G255=$J255-$K255,Reglas!$B$6,0))</x:f>
        <x:v>0</x:v>
      </x:c>
      <x:c r="X255" t="n">
        <x:f>IF(OR($N255&lt;&gt;"Finalizado",$Q255&lt;&gt;"Si",$R255&lt;&gt;"Si"),0,IF($F255=$J255,Reglas!$B$7,0))</x:f>
        <x:v>0</x:v>
      </x:c>
      <x:c r="Y255" t="n">
        <x:f>IF(OR($N255&lt;&gt;"Finalizado",$Q255&lt;&gt;"Si",$R255&lt;&gt;"Si"),0,IF($G255=$K255,Reglas!$B$8,0))</x:f>
        <x:v>0</x:v>
      </x:c>
      <x:c r="Z255" t="n">
        <x:f>SUM($S255:$Y255)</x:f>
        <x:v>8</x:v>
      </x:c>
      <x:c r="AA255" t="str">
        <x:f>IF($N255&lt;&gt;"Finalizado","Resultado pendiente",IF($H255="Sin envio","Sin respuesta",IF($Q255&lt;&gt;"Si","No acerto clasificado","OK")))</x:f>
        <x:v>OK</x:v>
      </x:c>
      <x:c r="AB255" t="str">
        <x:v>Google Forms cuartos + ESPN</x:v>
      </x:c>
      <x:c r="AC255" t="n">
        <x:v>8</x:v>
      </x:c>
      <x:c r="AD255" t="n">
        <x:f>$Z255-$AC255</x:f>
        <x:v>0</x:v>
      </x:c>
    </x:row>
    <x:row r="256" ht="15" hidden="0" customHeight="1">
      <x:c r="A256" t="str">
        <x:v>4tos</x:v>
      </x:c>
      <x:c r="B256" t="str">
        <x:v>QF4</x:v>
      </x:c>
      <x:c r="C256" t="str">
        <x:v>Arthur</x:v>
      </x:c>
      <x:c r="D256" t="str">
        <x:v>Argentina</x:v>
      </x:c>
      <x:c r="E256" t="str">
        <x:v>Suiza</x:v>
      </x:c>
      <x:c r="F256" t="n">
        <x:v>2</x:v>
      </x:c>
      <x:c r="G256" t="n">
        <x:v>0</x:v>
      </x:c>
      <x:c r="H256" t="str">
        <x:v>Argentina</x:v>
      </x:c>
      <x:c r="I256" t="str">
        <x:v>90 minutos</x:v>
      </x:c>
      <x:c r="J256" t="n">
        <x:v>3</x:v>
      </x:c>
      <x:c r="K256" t="n">
        <x:v>1</x:v>
      </x:c>
      <x:c r="L256" t="str">
        <x:v>Argentina</x:v>
      </x:c>
      <x:c r="M256" t="str">
        <x:v>Suplementario</x:v>
      </x:c>
      <x:c r="N256" t="str">
        <x:v>Finalizado</x:v>
      </x:c>
      <x:c r="O256" t="str">
        <x:f>IF($H256="Sin envio","Sin envio",IF($I256="90 minutos",IF($F256&gt;$G256,"A",IF($G256&gt;$F256,"B","E")),"E"))</x:f>
        <x:v>A</x:v>
      </x:c>
      <x:c r="P256" t="str">
        <x:f>IF($M256="90 minutos",IF($J256&gt;$K256,"A",IF($K256&gt;$J256,"B","E")),"E")</x:f>
        <x:v>E</x:v>
      </x:c>
      <x:c r="Q256" t="str">
        <x:f>IF($H256="Sin envio","No",IF($H256=$L256,"Si","No"))</x:f>
        <x:v>Si</x:v>
      </x:c>
      <x:c r="R256" t="str">
        <x:f>IF(AND($I256=$M256,NOT(AND($I256="Penales",$F256&lt;&gt;$G256))),"Si","No")</x:f>
        <x:v>No</x:v>
      </x:c>
      <x:c r="S256" t="n">
        <x:f>IF(OR($N256&lt;&gt;"Finalizado",$Q256&lt;&gt;"Si"),0,IF($O256=$P256,Reglas!$B$2,0))</x:f>
        <x:v>0</x:v>
      </x:c>
      <x:c r="T256" t="n">
        <x:f>IF(OR($N256&lt;&gt;"Finalizado",$Q256&lt;&gt;"Si"),0,Reglas!$B$3)</x:f>
        <x:v>3</x:v>
      </x:c>
      <x:c r="U256" t="n">
        <x:f>IF(OR($N256&lt;&gt;"Finalizado",$Q256&lt;&gt;"Si"),0,IF($I256=$M256,Reglas!$B$4,0))</x:f>
        <x:v>0</x:v>
      </x:c>
      <x:c r="V256" t="n">
        <x:f>IF(OR($N256&lt;&gt;"Finalizado",$Q256&lt;&gt;"Si",$R256&lt;&gt;"Si"),0,IF(AND($F256=$J256,$G256=$K256),Reglas!$B$5,0))</x:f>
        <x:v>0</x:v>
      </x:c>
      <x:c r="W256" t="n">
        <x:f>IF(OR($N256&lt;&gt;"Finalizado",$Q256&lt;&gt;"Si",$R256&lt;&gt;"Si"),0,IF($F256-$G256=$J256-$K256,Reglas!$B$6,0))</x:f>
        <x:v>0</x:v>
      </x:c>
      <x:c r="X256" t="n">
        <x:f>IF(OR($N256&lt;&gt;"Finalizado",$Q256&lt;&gt;"Si",$R256&lt;&gt;"Si"),0,IF($F256=$J256,Reglas!$B$7,0))</x:f>
        <x:v>0</x:v>
      </x:c>
      <x:c r="Y256" t="n">
        <x:f>IF(OR($N256&lt;&gt;"Finalizado",$Q256&lt;&gt;"Si",$R256&lt;&gt;"Si"),0,IF($G256=$K256,Reglas!$B$8,0))</x:f>
        <x:v>0</x:v>
      </x:c>
      <x:c r="Z256" t="n">
        <x:f>SUM($S256:$Y256)</x:f>
        <x:v>3</x:v>
      </x:c>
      <x:c r="AA256" t="str">
        <x:f>IF($N256&lt;&gt;"Finalizado","Resultado pendiente",IF($H256="Sin envio","Sin respuesta",IF($Q256&lt;&gt;"Si","No acerto clasificado","OK")))</x:f>
        <x:v>OK</x:v>
      </x:c>
      <x:c r="AB256" t="str">
        <x:v>Google Forms cuartos + ESPN</x:v>
      </x:c>
      <x:c r="AC256" t="n">
        <x:v>3</x:v>
      </x:c>
      <x:c r="AD256" t="n">
        <x:f>$Z256-$AC256</x:f>
        <x:v>0</x:v>
      </x:c>
    </x:row>
    <x:row r="257" ht="15" hidden="0" customHeight="1">
      <x:c r="A257" t="str">
        <x:v>4tos</x:v>
      </x:c>
      <x:c r="B257" t="str">
        <x:v>QF4</x:v>
      </x:c>
      <x:c r="C257" t="str">
        <x:v>José Luis</x:v>
      </x:c>
      <x:c r="D257" t="str">
        <x:v>Argentina</x:v>
      </x:c>
      <x:c r="E257" t="str">
        <x:v>Suiza</x:v>
      </x:c>
      <x:c r="F257"/>
      <x:c r="G257"/>
      <x:c r="H257" t="str">
        <x:v>Sin envio</x:v>
      </x:c>
      <x:c r="I257" t="str">
        <x:v>Sin envio</x:v>
      </x:c>
      <x:c r="J257" t="n">
        <x:v>3</x:v>
      </x:c>
      <x:c r="K257" t="n">
        <x:v>1</x:v>
      </x:c>
      <x:c r="L257" t="str">
        <x:v>Argentina</x:v>
      </x:c>
      <x:c r="M257" t="str">
        <x:v>Suplementario</x:v>
      </x:c>
      <x:c r="N257" t="str">
        <x:v>Finalizado</x:v>
      </x:c>
      <x:c r="O257" t="str">
        <x:f>IF($H257="Sin envio","Sin envio",IF($I257="90 minutos",IF($F257&gt;$G257,"A",IF($G257&gt;$F257,"B","E")),"E"))</x:f>
        <x:v>Sin envio</x:v>
      </x:c>
      <x:c r="P257" t="str">
        <x:f>IF($M257="90 minutos",IF($J257&gt;$K257,"A",IF($K257&gt;$J257,"B","E")),"E")</x:f>
        <x:v>E</x:v>
      </x:c>
      <x:c r="Q257" t="str">
        <x:f>IF($H257="Sin envio","No",IF($H257=$L257,"Si","No"))</x:f>
        <x:v>No</x:v>
      </x:c>
      <x:c r="R257" t="str">
        <x:f>IF(AND($I257=$M257,NOT(AND($I257="Penales",$F257&lt;&gt;$G257))),"Si","No")</x:f>
        <x:v>No</x:v>
      </x:c>
      <x:c r="S257" t="n">
        <x:f>IF(OR($N257&lt;&gt;"Finalizado",$Q257&lt;&gt;"Si"),0,IF($O257=$P257,Reglas!$B$2,0))</x:f>
        <x:v>0</x:v>
      </x:c>
      <x:c r="T257" t="n">
        <x:f>IF(OR($N257&lt;&gt;"Finalizado",$Q257&lt;&gt;"Si"),0,Reglas!$B$3)</x:f>
        <x:v>0</x:v>
      </x:c>
      <x:c r="U257" t="n">
        <x:f>IF(OR($N257&lt;&gt;"Finalizado",$Q257&lt;&gt;"Si"),0,IF($I257=$M257,Reglas!$B$4,0))</x:f>
        <x:v>0</x:v>
      </x:c>
      <x:c r="V257" t="n">
        <x:f>IF(OR($N257&lt;&gt;"Finalizado",$Q257&lt;&gt;"Si",$R257&lt;&gt;"Si"),0,IF(AND($F257=$J257,$G257=$K257),Reglas!$B$5,0))</x:f>
        <x:v>0</x:v>
      </x:c>
      <x:c r="W257" t="n">
        <x:f>IF(OR($N257&lt;&gt;"Finalizado",$Q257&lt;&gt;"Si",$R257&lt;&gt;"Si"),0,IF($F257-$G257=$J257-$K257,Reglas!$B$6,0))</x:f>
        <x:v>0</x:v>
      </x:c>
      <x:c r="X257" t="n">
        <x:f>IF(OR($N257&lt;&gt;"Finalizado",$Q257&lt;&gt;"Si",$R257&lt;&gt;"Si"),0,IF($F257=$J257,Reglas!$B$7,0))</x:f>
        <x:v>0</x:v>
      </x:c>
      <x:c r="Y257" t="n">
        <x:f>IF(OR($N257&lt;&gt;"Finalizado",$Q257&lt;&gt;"Si",$R257&lt;&gt;"Si"),0,IF($G257=$K257,Reglas!$B$8,0))</x:f>
        <x:v>0</x:v>
      </x:c>
      <x:c r="Z257" t="n">
        <x:f>SUM($S257:$Y257)</x:f>
        <x:v>0</x:v>
      </x:c>
      <x:c r="AA257" t="str">
        <x:f>IF($N257&lt;&gt;"Finalizado","Resultado pendiente",IF($H257="Sin envio","Sin respuesta",IF($Q257&lt;&gt;"Si","No acerto clasificado","OK")))</x:f>
        <x:v>Sin respuesta</x:v>
      </x:c>
      <x:c r="AB257" t="str">
        <x:v>Google Forms cuartos + ESPN</x:v>
      </x:c>
      <x:c r="AC257" t="n">
        <x:v>0</x:v>
      </x:c>
      <x:c r="AD257" t="n">
        <x:f>$Z257-$AC257</x:f>
        <x:v>0</x:v>
      </x:c>
    </x:row>
    <x:row r="258" ht="15" hidden="0" customHeight="1">
      <x:c r="A258" t="str">
        <x:v>4tos</x:v>
      </x:c>
      <x:c r="B258" t="str">
        <x:v>QF4</x:v>
      </x:c>
      <x:c r="C258" t="str">
        <x:v>Marcelo</x:v>
      </x:c>
      <x:c r="D258" t="str">
        <x:v>Argentina</x:v>
      </x:c>
      <x:c r="E258" t="str">
        <x:v>Suiza</x:v>
      </x:c>
      <x:c r="F258"/>
      <x:c r="G258"/>
      <x:c r="H258" t="str">
        <x:v>Sin envio</x:v>
      </x:c>
      <x:c r="I258" t="str">
        <x:v>Sin envio</x:v>
      </x:c>
      <x:c r="J258" t="n">
        <x:v>3</x:v>
      </x:c>
      <x:c r="K258" t="n">
        <x:v>1</x:v>
      </x:c>
      <x:c r="L258" t="str">
        <x:v>Argentina</x:v>
      </x:c>
      <x:c r="M258" t="str">
        <x:v>Suplementario</x:v>
      </x:c>
      <x:c r="N258" t="str">
        <x:v>Finalizado</x:v>
      </x:c>
      <x:c r="O258" t="str">
        <x:f>IF($H258="Sin envio","Sin envio",IF($I258="90 minutos",IF($F258&gt;$G258,"A",IF($G258&gt;$F258,"B","E")),"E"))</x:f>
        <x:v>Sin envio</x:v>
      </x:c>
      <x:c r="P258" t="str">
        <x:f>IF($M258="90 minutos",IF($J258&gt;$K258,"A",IF($K258&gt;$J258,"B","E")),"E")</x:f>
        <x:v>E</x:v>
      </x:c>
      <x:c r="Q258" t="str">
        <x:f>IF($H258="Sin envio","No",IF($H258=$L258,"Si","No"))</x:f>
        <x:v>No</x:v>
      </x:c>
      <x:c r="R258" t="str">
        <x:f>IF(AND($I258=$M258,NOT(AND($I258="Penales",$F258&lt;&gt;$G258))),"Si","No")</x:f>
        <x:v>No</x:v>
      </x:c>
      <x:c r="S258" t="n">
        <x:f>IF(OR($N258&lt;&gt;"Finalizado",$Q258&lt;&gt;"Si"),0,IF($O258=$P258,Reglas!$B$2,0))</x:f>
        <x:v>0</x:v>
      </x:c>
      <x:c r="T258" t="n">
        <x:f>IF(OR($N258&lt;&gt;"Finalizado",$Q258&lt;&gt;"Si"),0,Reglas!$B$3)</x:f>
        <x:v>0</x:v>
      </x:c>
      <x:c r="U258" t="n">
        <x:f>IF(OR($N258&lt;&gt;"Finalizado",$Q258&lt;&gt;"Si"),0,IF($I258=$M258,Reglas!$B$4,0))</x:f>
        <x:v>0</x:v>
      </x:c>
      <x:c r="V258" t="n">
        <x:f>IF(OR($N258&lt;&gt;"Finalizado",$Q258&lt;&gt;"Si",$R258&lt;&gt;"Si"),0,IF(AND($F258=$J258,$G258=$K258),Reglas!$B$5,0))</x:f>
        <x:v>0</x:v>
      </x:c>
      <x:c r="W258" t="n">
        <x:f>IF(OR($N258&lt;&gt;"Finalizado",$Q258&lt;&gt;"Si",$R258&lt;&gt;"Si"),0,IF($F258-$G258=$J258-$K258,Reglas!$B$6,0))</x:f>
        <x:v>0</x:v>
      </x:c>
      <x:c r="X258" t="n">
        <x:f>IF(OR($N258&lt;&gt;"Finalizado",$Q258&lt;&gt;"Si",$R258&lt;&gt;"Si"),0,IF($F258=$J258,Reglas!$B$7,0))</x:f>
        <x:v>0</x:v>
      </x:c>
      <x:c r="Y258" t="n">
        <x:f>IF(OR($N258&lt;&gt;"Finalizado",$Q258&lt;&gt;"Si",$R258&lt;&gt;"Si"),0,IF($G258=$K258,Reglas!$B$8,0))</x:f>
        <x:v>0</x:v>
      </x:c>
      <x:c r="Z258" t="n">
        <x:f>SUM($S258:$Y258)</x:f>
        <x:v>0</x:v>
      </x:c>
      <x:c r="AA258" t="str">
        <x:f>IF($N258&lt;&gt;"Finalizado","Resultado pendiente",IF($H258="Sin envio","Sin respuesta",IF($Q258&lt;&gt;"Si","No acerto clasificado","OK")))</x:f>
        <x:v>Sin respuesta</x:v>
      </x:c>
      <x:c r="AB258" t="str">
        <x:v>Google Forms cuartos + ESPN</x:v>
      </x:c>
      <x:c r="AC258" t="n">
        <x:v>0</x:v>
      </x:c>
      <x:c r="AD258" t="n">
        <x:f>$Z258-$AC258</x:f>
        <x:v>0</x:v>
      </x:c>
    </x:row>
    <x:row r="259" ht="15" hidden="0" customHeight="1">
      <x:c r="A259" t="str">
        <x:v>4tos</x:v>
      </x:c>
      <x:c r="B259" t="str">
        <x:v>QF4</x:v>
      </x:c>
      <x:c r="C259" t="str">
        <x:v>Anny</x:v>
      </x:c>
      <x:c r="D259" t="str">
        <x:v>Argentina</x:v>
      </x:c>
      <x:c r="E259" t="str">
        <x:v>Suiza</x:v>
      </x:c>
      <x:c r="F259" t="n">
        <x:v>2</x:v>
      </x:c>
      <x:c r="G259" t="n">
        <x:v>1</x:v>
      </x:c>
      <x:c r="H259" t="str">
        <x:v>Argentina</x:v>
      </x:c>
      <x:c r="I259" t="str">
        <x:v>90 minutos</x:v>
      </x:c>
      <x:c r="J259" t="n">
        <x:v>3</x:v>
      </x:c>
      <x:c r="K259" t="n">
        <x:v>1</x:v>
      </x:c>
      <x:c r="L259" t="str">
        <x:v>Argentina</x:v>
      </x:c>
      <x:c r="M259" t="str">
        <x:v>Suplementario</x:v>
      </x:c>
      <x:c r="N259" t="str">
        <x:v>Finalizado</x:v>
      </x:c>
      <x:c r="O259" t="str">
        <x:f>IF($H259="Sin envio","Sin envio",IF($I259="90 minutos",IF($F259&gt;$G259,"A",IF($G259&gt;$F259,"B","E")),"E"))</x:f>
        <x:v>A</x:v>
      </x:c>
      <x:c r="P259" t="str">
        <x:f>IF($M259="90 minutos",IF($J259&gt;$K259,"A",IF($K259&gt;$J259,"B","E")),"E")</x:f>
        <x:v>E</x:v>
      </x:c>
      <x:c r="Q259" t="str">
        <x:f>IF($H259="Sin envio","No",IF($H259=$L259,"Si","No"))</x:f>
        <x:v>Si</x:v>
      </x:c>
      <x:c r="R259" t="str">
        <x:f>IF(AND($I259=$M259,NOT(AND($I259="Penales",$F259&lt;&gt;$G259))),"Si","No")</x:f>
        <x:v>No</x:v>
      </x:c>
      <x:c r="S259" t="n">
        <x:f>IF(OR($N259&lt;&gt;"Finalizado",$Q259&lt;&gt;"Si"),0,IF($O259=$P259,Reglas!$B$2,0))</x:f>
        <x:v>0</x:v>
      </x:c>
      <x:c r="T259" t="n">
        <x:f>IF(OR($N259&lt;&gt;"Finalizado",$Q259&lt;&gt;"Si"),0,Reglas!$B$3)</x:f>
        <x:v>3</x:v>
      </x:c>
      <x:c r="U259" t="n">
        <x:f>IF(OR($N259&lt;&gt;"Finalizado",$Q259&lt;&gt;"Si"),0,IF($I259=$M259,Reglas!$B$4,0))</x:f>
        <x:v>0</x:v>
      </x:c>
      <x:c r="V259" t="n">
        <x:f>IF(OR($N259&lt;&gt;"Finalizado",$Q259&lt;&gt;"Si",$R259&lt;&gt;"Si"),0,IF(AND($F259=$J259,$G259=$K259),Reglas!$B$5,0))</x:f>
        <x:v>0</x:v>
      </x:c>
      <x:c r="W259" t="n">
        <x:f>IF(OR($N259&lt;&gt;"Finalizado",$Q259&lt;&gt;"Si",$R259&lt;&gt;"Si"),0,IF($F259-$G259=$J259-$K259,Reglas!$B$6,0))</x:f>
        <x:v>0</x:v>
      </x:c>
      <x:c r="X259" t="n">
        <x:f>IF(OR($N259&lt;&gt;"Finalizado",$Q259&lt;&gt;"Si",$R259&lt;&gt;"Si"),0,IF($F259=$J259,Reglas!$B$7,0))</x:f>
        <x:v>0</x:v>
      </x:c>
      <x:c r="Y259" t="n">
        <x:f>IF(OR($N259&lt;&gt;"Finalizado",$Q259&lt;&gt;"Si",$R259&lt;&gt;"Si"),0,IF($G259=$K259,Reglas!$B$8,0))</x:f>
        <x:v>0</x:v>
      </x:c>
      <x:c r="Z259" t="n">
        <x:f>SUM($S259:$Y259)</x:f>
        <x:v>3</x:v>
      </x:c>
      <x:c r="AA259" t="str">
        <x:f>IF($N259&lt;&gt;"Finalizado","Resultado pendiente",IF($H259="Sin envio","Sin respuesta",IF($Q259&lt;&gt;"Si","No acerto clasificado","OK")))</x:f>
        <x:v>OK</x:v>
      </x:c>
      <x:c r="AB259" t="str">
        <x:v>Google Forms cuartos + ESPN</x:v>
      </x:c>
      <x:c r="AC259" t="n">
        <x:v>3</x:v>
      </x:c>
      <x:c r="AD259" t="n">
        <x:f>$Z259-$AC259</x:f>
        <x:v>0</x:v>
      </x:c>
    </x:row>
    <x:row r="260" ht="15" hidden="0" customHeight="1">
      <x:c r="A260" t="str">
        <x:v>4tos</x:v>
      </x:c>
      <x:c r="B260" t="str">
        <x:v>QF4</x:v>
      </x:c>
      <x:c r="C260" t="str">
        <x:v>Moisés</x:v>
      </x:c>
      <x:c r="D260" t="str">
        <x:v>Argentina</x:v>
      </x:c>
      <x:c r="E260" t="str">
        <x:v>Suiza</x:v>
      </x:c>
      <x:c r="F260" t="n">
        <x:v>3</x:v>
      </x:c>
      <x:c r="G260" t="n">
        <x:v>1</x:v>
      </x:c>
      <x:c r="H260" t="str">
        <x:v>Argentina</x:v>
      </x:c>
      <x:c r="I260" t="str">
        <x:v>Suplementario</x:v>
      </x:c>
      <x:c r="J260" t="n">
        <x:v>3</x:v>
      </x:c>
      <x:c r="K260" t="n">
        <x:v>1</x:v>
      </x:c>
      <x:c r="L260" t="str">
        <x:v>Argentina</x:v>
      </x:c>
      <x:c r="M260" t="str">
        <x:v>Suplementario</x:v>
      </x:c>
      <x:c r="N260" t="str">
        <x:v>Finalizado</x:v>
      </x:c>
      <x:c r="O260" t="str">
        <x:f>IF($H260="Sin envio","Sin envio",IF($I260="90 minutos",IF($F260&gt;$G260,"A",IF($G260&gt;$F260,"B","E")),"E"))</x:f>
        <x:v>E</x:v>
      </x:c>
      <x:c r="P260" t="str">
        <x:f>IF($M260="90 minutos",IF($J260&gt;$K260,"A",IF($K260&gt;$J260,"B","E")),"E")</x:f>
        <x:v>E</x:v>
      </x:c>
      <x:c r="Q260" t="str">
        <x:f>IF($H260="Sin envio","No",IF($H260=$L260,"Si","No"))</x:f>
        <x:v>Si</x:v>
      </x:c>
      <x:c r="R260" t="str">
        <x:f>IF(AND($I260=$M260,NOT(AND($I260="Penales",$F260&lt;&gt;$G260))),"Si","No")</x:f>
        <x:v>Si</x:v>
      </x:c>
      <x:c r="S260" t="n">
        <x:f>IF(OR($N260&lt;&gt;"Finalizado",$Q260&lt;&gt;"Si"),0,IF($O260=$P260,Reglas!$B$2,0))</x:f>
        <x:v>5</x:v>
      </x:c>
      <x:c r="T260" t="n">
        <x:f>IF(OR($N260&lt;&gt;"Finalizado",$Q260&lt;&gt;"Si"),0,Reglas!$B$3)</x:f>
        <x:v>3</x:v>
      </x:c>
      <x:c r="U260" t="n">
        <x:f>IF(OR($N260&lt;&gt;"Finalizado",$Q260&lt;&gt;"Si"),0,IF($I260=$M260,Reglas!$B$4,0))</x:f>
        <x:v>2</x:v>
      </x:c>
      <x:c r="V260" t="n">
        <x:f>IF(OR($N260&lt;&gt;"Finalizado",$Q260&lt;&gt;"Si",$R260&lt;&gt;"Si"),0,IF(AND($F260=$J260,$G260=$K260),Reglas!$B$5,0))</x:f>
        <x:v>4</x:v>
      </x:c>
      <x:c r="W260" t="n">
        <x:f>IF(OR($N260&lt;&gt;"Finalizado",$Q260&lt;&gt;"Si",$R260&lt;&gt;"Si"),0,IF($F260-$G260=$J260-$K260,Reglas!$B$6,0))</x:f>
        <x:v>2</x:v>
      </x:c>
      <x:c r="X260" t="n">
        <x:f>IF(OR($N260&lt;&gt;"Finalizado",$Q260&lt;&gt;"Si",$R260&lt;&gt;"Si"),0,IF($F260=$J260,Reglas!$B$7,0))</x:f>
        <x:v>1</x:v>
      </x:c>
      <x:c r="Y260" t="n">
        <x:f>IF(OR($N260&lt;&gt;"Finalizado",$Q260&lt;&gt;"Si",$R260&lt;&gt;"Si"),0,IF($G260=$K260,Reglas!$B$8,0))</x:f>
        <x:v>1</x:v>
      </x:c>
      <x:c r="Z260" t="n">
        <x:f>SUM($S260:$Y260)</x:f>
        <x:v>18</x:v>
      </x:c>
      <x:c r="AA260" t="str">
        <x:f>IF($N260&lt;&gt;"Finalizado","Resultado pendiente",IF($H260="Sin envio","Sin respuesta",IF($Q260&lt;&gt;"Si","No acerto clasificado","OK")))</x:f>
        <x:v>OK</x:v>
      </x:c>
      <x:c r="AB260" t="str">
        <x:v>Google Forms cuartos + ESPN</x:v>
      </x:c>
      <x:c r="AC260" t="n">
        <x:v>18</x:v>
      </x:c>
      <x:c r="AD260" t="n">
        <x:f>$Z260-$AC260</x:f>
        <x:v>0</x:v>
      </x:c>
    </x:row>
    <x:row r="261" ht="15" hidden="0" customHeight="1">
      <x:c r="A261" t="str">
        <x:v>4tos</x:v>
      </x:c>
      <x:c r="B261" t="str">
        <x:v>QF4</x:v>
      </x:c>
      <x:c r="C261" t="str">
        <x:v>Alex</x:v>
      </x:c>
      <x:c r="D261" t="str">
        <x:v>Argentina</x:v>
      </x:c>
      <x:c r="E261" t="str">
        <x:v>Suiza</x:v>
      </x:c>
      <x:c r="F261" t="n">
        <x:v>3</x:v>
      </x:c>
      <x:c r="G261" t="n">
        <x:v>1</x:v>
      </x:c>
      <x:c r="H261" t="str">
        <x:v>Argentina</x:v>
      </x:c>
      <x:c r="I261" t="str">
        <x:v>90 minutos</x:v>
      </x:c>
      <x:c r="J261" t="n">
        <x:v>3</x:v>
      </x:c>
      <x:c r="K261" t="n">
        <x:v>1</x:v>
      </x:c>
      <x:c r="L261" t="str">
        <x:v>Argentina</x:v>
      </x:c>
      <x:c r="M261" t="str">
        <x:v>Suplementario</x:v>
      </x:c>
      <x:c r="N261" t="str">
        <x:v>Finalizado</x:v>
      </x:c>
      <x:c r="O261" t="str">
        <x:f>IF($H261="Sin envio","Sin envio",IF($I261="90 minutos",IF($F261&gt;$G261,"A",IF($G261&gt;$F261,"B","E")),"E"))</x:f>
        <x:v>A</x:v>
      </x:c>
      <x:c r="P261" t="str">
        <x:f>IF($M261="90 minutos",IF($J261&gt;$K261,"A",IF($K261&gt;$J261,"B","E")),"E")</x:f>
        <x:v>E</x:v>
      </x:c>
      <x:c r="Q261" t="str">
        <x:f>IF($H261="Sin envio","No",IF($H261=$L261,"Si","No"))</x:f>
        <x:v>Si</x:v>
      </x:c>
      <x:c r="R261" t="str">
        <x:f>IF(AND($I261=$M261,NOT(AND($I261="Penales",$F261&lt;&gt;$G261))),"Si","No")</x:f>
        <x:v>No</x:v>
      </x:c>
      <x:c r="S261" t="n">
        <x:f>IF(OR($N261&lt;&gt;"Finalizado",$Q261&lt;&gt;"Si"),0,IF($O261=$P261,Reglas!$B$2,0))</x:f>
        <x:v>0</x:v>
      </x:c>
      <x:c r="T261" t="n">
        <x:f>IF(OR($N261&lt;&gt;"Finalizado",$Q261&lt;&gt;"Si"),0,Reglas!$B$3)</x:f>
        <x:v>3</x:v>
      </x:c>
      <x:c r="U261" t="n">
        <x:f>IF(OR($N261&lt;&gt;"Finalizado",$Q261&lt;&gt;"Si"),0,IF($I261=$M261,Reglas!$B$4,0))</x:f>
        <x:v>0</x:v>
      </x:c>
      <x:c r="V261" t="n">
        <x:f>IF(OR($N261&lt;&gt;"Finalizado",$Q261&lt;&gt;"Si",$R261&lt;&gt;"Si"),0,IF(AND($F261=$J261,$G261=$K261),Reglas!$B$5,0))</x:f>
        <x:v>0</x:v>
      </x:c>
      <x:c r="W261" t="n">
        <x:f>IF(OR($N261&lt;&gt;"Finalizado",$Q261&lt;&gt;"Si",$R261&lt;&gt;"Si"),0,IF($F261-$G261=$J261-$K261,Reglas!$B$6,0))</x:f>
        <x:v>0</x:v>
      </x:c>
      <x:c r="X261" t="n">
        <x:f>IF(OR($N261&lt;&gt;"Finalizado",$Q261&lt;&gt;"Si",$R261&lt;&gt;"Si"),0,IF($F261=$J261,Reglas!$B$7,0))</x:f>
        <x:v>0</x:v>
      </x:c>
      <x:c r="Y261" t="n">
        <x:f>IF(OR($N261&lt;&gt;"Finalizado",$Q261&lt;&gt;"Si",$R261&lt;&gt;"Si"),0,IF($G261=$K261,Reglas!$B$8,0))</x:f>
        <x:v>0</x:v>
      </x:c>
      <x:c r="Z261" t="n">
        <x:f>SUM($S261:$Y261)</x:f>
        <x:v>3</x:v>
      </x:c>
      <x:c r="AA261" t="str">
        <x:f>IF($N261&lt;&gt;"Finalizado","Resultado pendiente",IF($H261="Sin envio","Sin respuesta",IF($Q261&lt;&gt;"Si","No acerto clasificado","OK")))</x:f>
        <x:v>OK</x:v>
      </x:c>
      <x:c r="AB261" t="str">
        <x:v>Google Forms cuartos + ESPN</x:v>
      </x:c>
      <x:c r="AC261" t="n">
        <x:v>3</x:v>
      </x:c>
      <x:c r="AD261" t="n">
        <x:f>$Z261-$AC261</x:f>
        <x:v>0</x:v>
      </x:c>
    </x:row>
    <x:row r="262" ht="15" hidden="0" customHeight="1">
      <x:c r="A262" t="str">
        <x:v>4tos</x:v>
      </x:c>
      <x:c r="B262" t="str">
        <x:v>QF4</x:v>
      </x:c>
      <x:c r="C262" t="str">
        <x:v>Omar</x:v>
      </x:c>
      <x:c r="D262" t="str">
        <x:v>Argentina</x:v>
      </x:c>
      <x:c r="E262" t="str">
        <x:v>Suiza</x:v>
      </x:c>
      <x:c r="F262"/>
      <x:c r="G262"/>
      <x:c r="H262" t="str">
        <x:v>Sin envio</x:v>
      </x:c>
      <x:c r="I262" t="str">
        <x:v>Sin envio</x:v>
      </x:c>
      <x:c r="J262" t="n">
        <x:v>3</x:v>
      </x:c>
      <x:c r="K262" t="n">
        <x:v>1</x:v>
      </x:c>
      <x:c r="L262" t="str">
        <x:v>Argentina</x:v>
      </x:c>
      <x:c r="M262" t="str">
        <x:v>Suplementario</x:v>
      </x:c>
      <x:c r="N262" t="str">
        <x:v>Finalizado</x:v>
      </x:c>
      <x:c r="O262" t="str">
        <x:f>IF($H262="Sin envio","Sin envio",IF($I262="90 minutos",IF($F262&gt;$G262,"A",IF($G262&gt;$F262,"B","E")),"E"))</x:f>
        <x:v>Sin envio</x:v>
      </x:c>
      <x:c r="P262" t="str">
        <x:f>IF($M262="90 minutos",IF($J262&gt;$K262,"A",IF($K262&gt;$J262,"B","E")),"E")</x:f>
        <x:v>E</x:v>
      </x:c>
      <x:c r="Q262" t="str">
        <x:f>IF($H262="Sin envio","No",IF($H262=$L262,"Si","No"))</x:f>
        <x:v>No</x:v>
      </x:c>
      <x:c r="R262" t="str">
        <x:f>IF(AND($I262=$M262,NOT(AND($I262="Penales",$F262&lt;&gt;$G262))),"Si","No")</x:f>
        <x:v>No</x:v>
      </x:c>
      <x:c r="S262" t="n">
        <x:f>IF(OR($N262&lt;&gt;"Finalizado",$Q262&lt;&gt;"Si"),0,IF($O262=$P262,Reglas!$B$2,0))</x:f>
        <x:v>0</x:v>
      </x:c>
      <x:c r="T262" t="n">
        <x:f>IF(OR($N262&lt;&gt;"Finalizado",$Q262&lt;&gt;"Si"),0,Reglas!$B$3)</x:f>
        <x:v>0</x:v>
      </x:c>
      <x:c r="U262" t="n">
        <x:f>IF(OR($N262&lt;&gt;"Finalizado",$Q262&lt;&gt;"Si"),0,IF($I262=$M262,Reglas!$B$4,0))</x:f>
        <x:v>0</x:v>
      </x:c>
      <x:c r="V262" t="n">
        <x:f>IF(OR($N262&lt;&gt;"Finalizado",$Q262&lt;&gt;"Si",$R262&lt;&gt;"Si"),0,IF(AND($F262=$J262,$G262=$K262),Reglas!$B$5,0))</x:f>
        <x:v>0</x:v>
      </x:c>
      <x:c r="W262" t="n">
        <x:f>IF(OR($N262&lt;&gt;"Finalizado",$Q262&lt;&gt;"Si",$R262&lt;&gt;"Si"),0,IF($F262-$G262=$J262-$K262,Reglas!$B$6,0))</x:f>
        <x:v>0</x:v>
      </x:c>
      <x:c r="X262" t="n">
        <x:f>IF(OR($N262&lt;&gt;"Finalizado",$Q262&lt;&gt;"Si",$R262&lt;&gt;"Si"),0,IF($F262=$J262,Reglas!$B$7,0))</x:f>
        <x:v>0</x:v>
      </x:c>
      <x:c r="Y262" t="n">
        <x:f>IF(OR($N262&lt;&gt;"Finalizado",$Q262&lt;&gt;"Si",$R262&lt;&gt;"Si"),0,IF($G262=$K262,Reglas!$B$8,0))</x:f>
        <x:v>0</x:v>
      </x:c>
      <x:c r="Z262" t="n">
        <x:f>SUM($S262:$Y262)</x:f>
        <x:v>0</x:v>
      </x:c>
      <x:c r="AA262" t="str">
        <x:f>IF($N262&lt;&gt;"Finalizado","Resultado pendiente",IF($H262="Sin envio","Sin respuesta",IF($Q262&lt;&gt;"Si","No acerto clasificado","OK")))</x:f>
        <x:v>Sin respuesta</x:v>
      </x:c>
      <x:c r="AB262" t="str">
        <x:v>Google Forms cuartos + ESPN</x:v>
      </x:c>
      <x:c r="AC262" t="n">
        <x:v>0</x:v>
      </x:c>
      <x:c r="AD262" t="n">
        <x:f>$Z262-$AC262</x:f>
        <x:v>0</x:v>
      </x:c>
    </x:row>
    <x:row r="263" ht="15" hidden="0" customHeight="1">
      <x:c r="A263" t="str">
        <x:v>4tos</x:v>
      </x:c>
      <x:c r="B263" t="str">
        <x:v>QF4</x:v>
      </x:c>
      <x:c r="C263" t="str">
        <x:v>Fernando</x:v>
      </x:c>
      <x:c r="D263" t="str">
        <x:v>Argentina</x:v>
      </x:c>
      <x:c r="E263" t="str">
        <x:v>Suiza</x:v>
      </x:c>
      <x:c r="F263" t="n">
        <x:v>1</x:v>
      </x:c>
      <x:c r="G263" t="n">
        <x:v>0</x:v>
      </x:c>
      <x:c r="H263" t="str">
        <x:v>Argentina</x:v>
      </x:c>
      <x:c r="I263" t="str">
        <x:v>90 minutos</x:v>
      </x:c>
      <x:c r="J263" t="n">
        <x:v>3</x:v>
      </x:c>
      <x:c r="K263" t="n">
        <x:v>1</x:v>
      </x:c>
      <x:c r="L263" t="str">
        <x:v>Argentina</x:v>
      </x:c>
      <x:c r="M263" t="str">
        <x:v>Suplementario</x:v>
      </x:c>
      <x:c r="N263" t="str">
        <x:v>Finalizado</x:v>
      </x:c>
      <x:c r="O263" t="str">
        <x:f>IF($H263="Sin envio","Sin envio",IF($I263="90 minutos",IF($F263&gt;$G263,"A",IF($G263&gt;$F263,"B","E")),"E"))</x:f>
        <x:v>A</x:v>
      </x:c>
      <x:c r="P263" t="str">
        <x:f>IF($M263="90 minutos",IF($J263&gt;$K263,"A",IF($K263&gt;$J263,"B","E")),"E")</x:f>
        <x:v>E</x:v>
      </x:c>
      <x:c r="Q263" t="str">
        <x:f>IF($H263="Sin envio","No",IF($H263=$L263,"Si","No"))</x:f>
        <x:v>Si</x:v>
      </x:c>
      <x:c r="R263" t="str">
        <x:f>IF(AND($I263=$M263,NOT(AND($I263="Penales",$F263&lt;&gt;$G263))),"Si","No")</x:f>
        <x:v>No</x:v>
      </x:c>
      <x:c r="S263" t="n">
        <x:f>IF(OR($N263&lt;&gt;"Finalizado",$Q263&lt;&gt;"Si"),0,IF($O263=$P263,Reglas!$B$2,0))</x:f>
        <x:v>0</x:v>
      </x:c>
      <x:c r="T263" t="n">
        <x:f>IF(OR($N263&lt;&gt;"Finalizado",$Q263&lt;&gt;"Si"),0,Reglas!$B$3)</x:f>
        <x:v>3</x:v>
      </x:c>
      <x:c r="U263" t="n">
        <x:f>IF(OR($N263&lt;&gt;"Finalizado",$Q263&lt;&gt;"Si"),0,IF($I263=$M263,Reglas!$B$4,0))</x:f>
        <x:v>0</x:v>
      </x:c>
      <x:c r="V263" t="n">
        <x:f>IF(OR($N263&lt;&gt;"Finalizado",$Q263&lt;&gt;"Si",$R263&lt;&gt;"Si"),0,IF(AND($F263=$J263,$G263=$K263),Reglas!$B$5,0))</x:f>
        <x:v>0</x:v>
      </x:c>
      <x:c r="W263" t="n">
        <x:f>IF(OR($N263&lt;&gt;"Finalizado",$Q263&lt;&gt;"Si",$R263&lt;&gt;"Si"),0,IF($F263-$G263=$J263-$K263,Reglas!$B$6,0))</x:f>
        <x:v>0</x:v>
      </x:c>
      <x:c r="X263" t="n">
        <x:f>IF(OR($N263&lt;&gt;"Finalizado",$Q263&lt;&gt;"Si",$R263&lt;&gt;"Si"),0,IF($F263=$J263,Reglas!$B$7,0))</x:f>
        <x:v>0</x:v>
      </x:c>
      <x:c r="Y263" t="n">
        <x:f>IF(OR($N263&lt;&gt;"Finalizado",$Q263&lt;&gt;"Si",$R263&lt;&gt;"Si"),0,IF($G263=$K263,Reglas!$B$8,0))</x:f>
        <x:v>0</x:v>
      </x:c>
      <x:c r="Z263" t="n">
        <x:f>SUM($S263:$Y263)</x:f>
        <x:v>3</x:v>
      </x:c>
      <x:c r="AA263" t="str">
        <x:f>IF($N263&lt;&gt;"Finalizado","Resultado pendiente",IF($H263="Sin envio","Sin respuesta",IF($Q263&lt;&gt;"Si","No acerto clasificado","OK")))</x:f>
        <x:v>OK</x:v>
      </x:c>
      <x:c r="AB263" t="str">
        <x:v>Google Forms cuartos + ESPN</x:v>
      </x:c>
      <x:c r="AC263" t="n">
        <x:v>3</x:v>
      </x:c>
      <x:c r="AD263" t="n">
        <x:f>$Z263-$AC263</x:f>
        <x:v>0</x:v>
      </x:c>
    </x:row>
    <x:row r="264" ht="15" hidden="0" customHeight="1">
      <x:c r="A264" t="str">
        <x:v>4tos</x:v>
      </x:c>
      <x:c r="B264" t="str">
        <x:v>QF4</x:v>
      </x:c>
      <x:c r="C264" t="str">
        <x:v>Diana</x:v>
      </x:c>
      <x:c r="D264" t="str">
        <x:v>Argentina</x:v>
      </x:c>
      <x:c r="E264" t="str">
        <x:v>Suiza</x:v>
      </x:c>
      <x:c r="F264"/>
      <x:c r="G264"/>
      <x:c r="H264" t="str">
        <x:v>Sin envio</x:v>
      </x:c>
      <x:c r="I264" t="str">
        <x:v>Sin envio</x:v>
      </x:c>
      <x:c r="J264" t="n">
        <x:v>3</x:v>
      </x:c>
      <x:c r="K264" t="n">
        <x:v>1</x:v>
      </x:c>
      <x:c r="L264" t="str">
        <x:v>Argentina</x:v>
      </x:c>
      <x:c r="M264" t="str">
        <x:v>Suplementario</x:v>
      </x:c>
      <x:c r="N264" t="str">
        <x:v>Finalizado</x:v>
      </x:c>
      <x:c r="O264" t="str">
        <x:f>IF($H264="Sin envio","Sin envio",IF($I264="90 minutos",IF($F264&gt;$G264,"A",IF($G264&gt;$F264,"B","E")),"E"))</x:f>
        <x:v>Sin envio</x:v>
      </x:c>
      <x:c r="P264" t="str">
        <x:f>IF($M264="90 minutos",IF($J264&gt;$K264,"A",IF($K264&gt;$J264,"B","E")),"E")</x:f>
        <x:v>E</x:v>
      </x:c>
      <x:c r="Q264" t="str">
        <x:f>IF($H264="Sin envio","No",IF($H264=$L264,"Si","No"))</x:f>
        <x:v>No</x:v>
      </x:c>
      <x:c r="R264" t="str">
        <x:f>IF(AND($I264=$M264,NOT(AND($I264="Penales",$F264&lt;&gt;$G264))),"Si","No")</x:f>
        <x:v>No</x:v>
      </x:c>
      <x:c r="S264" t="n">
        <x:f>IF(OR($N264&lt;&gt;"Finalizado",$Q264&lt;&gt;"Si"),0,IF($O264=$P264,Reglas!$B$2,0))</x:f>
        <x:v>0</x:v>
      </x:c>
      <x:c r="T264" t="n">
        <x:f>IF(OR($N264&lt;&gt;"Finalizado",$Q264&lt;&gt;"Si"),0,Reglas!$B$3)</x:f>
        <x:v>0</x:v>
      </x:c>
      <x:c r="U264" t="n">
        <x:f>IF(OR($N264&lt;&gt;"Finalizado",$Q264&lt;&gt;"Si"),0,IF($I264=$M264,Reglas!$B$4,0))</x:f>
        <x:v>0</x:v>
      </x:c>
      <x:c r="V264" t="n">
        <x:f>IF(OR($N264&lt;&gt;"Finalizado",$Q264&lt;&gt;"Si",$R264&lt;&gt;"Si"),0,IF(AND($F264=$J264,$G264=$K264),Reglas!$B$5,0))</x:f>
        <x:v>0</x:v>
      </x:c>
      <x:c r="W264" t="n">
        <x:f>IF(OR($N264&lt;&gt;"Finalizado",$Q264&lt;&gt;"Si",$R264&lt;&gt;"Si"),0,IF($F264-$G264=$J264-$K264,Reglas!$B$6,0))</x:f>
        <x:v>0</x:v>
      </x:c>
      <x:c r="X264" t="n">
        <x:f>IF(OR($N264&lt;&gt;"Finalizado",$Q264&lt;&gt;"Si",$R264&lt;&gt;"Si"),0,IF($F264=$J264,Reglas!$B$7,0))</x:f>
        <x:v>0</x:v>
      </x:c>
      <x:c r="Y264" t="n">
        <x:f>IF(OR($N264&lt;&gt;"Finalizado",$Q264&lt;&gt;"Si",$R264&lt;&gt;"Si"),0,IF($G264=$K264,Reglas!$B$8,0))</x:f>
        <x:v>0</x:v>
      </x:c>
      <x:c r="Z264" t="n">
        <x:f>SUM($S264:$Y264)</x:f>
        <x:v>0</x:v>
      </x:c>
      <x:c r="AA264" t="str">
        <x:f>IF($N264&lt;&gt;"Finalizado","Resultado pendiente",IF($H264="Sin envio","Sin respuesta",IF($Q264&lt;&gt;"Si","No acerto clasificado","OK")))</x:f>
        <x:v>Sin respuesta</x:v>
      </x:c>
      <x:c r="AB264" t="str">
        <x:v>Google Forms cuartos + ESPN</x:v>
      </x:c>
      <x:c r="AC264" t="n">
        <x:v>0</x:v>
      </x:c>
      <x:c r="AD264" t="n">
        <x:f>$Z264-$AC264</x:f>
        <x:v>0</x:v>
      </x:c>
    </x:row>
    <x:row r="265" ht="15" hidden="0" customHeight="1">
      <x:c r="A265" t="str">
        <x:v>4tos</x:v>
      </x:c>
      <x:c r="B265" t="str">
        <x:v>QF4</x:v>
      </x:c>
      <x:c r="C265" t="str">
        <x:v>Óscar</x:v>
      </x:c>
      <x:c r="D265" t="str">
        <x:v>Argentina</x:v>
      </x:c>
      <x:c r="E265" t="str">
        <x:v>Suiza</x:v>
      </x:c>
      <x:c r="F265" t="n">
        <x:v>2</x:v>
      </x:c>
      <x:c r="G265" t="n">
        <x:v>2</x:v>
      </x:c>
      <x:c r="H265" t="str">
        <x:v>Argentina</x:v>
      </x:c>
      <x:c r="I265" t="str">
        <x:v>Penales</x:v>
      </x:c>
      <x:c r="J265" t="n">
        <x:v>3</x:v>
      </x:c>
      <x:c r="K265" t="n">
        <x:v>1</x:v>
      </x:c>
      <x:c r="L265" t="str">
        <x:v>Argentina</x:v>
      </x:c>
      <x:c r="M265" t="str">
        <x:v>Suplementario</x:v>
      </x:c>
      <x:c r="N265" t="str">
        <x:v>Finalizado</x:v>
      </x:c>
      <x:c r="O265" t="str">
        <x:f>IF($H265="Sin envio","Sin envio",IF($I265="90 minutos",IF($F265&gt;$G265,"A",IF($G265&gt;$F265,"B","E")),"E"))</x:f>
        <x:v>E</x:v>
      </x:c>
      <x:c r="P265" t="str">
        <x:f>IF($M265="90 minutos",IF($J265&gt;$K265,"A",IF($K265&gt;$J265,"B","E")),"E")</x:f>
        <x:v>E</x:v>
      </x:c>
      <x:c r="Q265" t="str">
        <x:f>IF($H265="Sin envio","No",IF($H265=$L265,"Si","No"))</x:f>
        <x:v>Si</x:v>
      </x:c>
      <x:c r="R265" t="str">
        <x:f>IF(AND($I265=$M265,NOT(AND($I265="Penales",$F265&lt;&gt;$G265))),"Si","No")</x:f>
        <x:v>No</x:v>
      </x:c>
      <x:c r="S265" t="n">
        <x:f>IF(OR($N265&lt;&gt;"Finalizado",$Q265&lt;&gt;"Si"),0,IF($O265=$P265,Reglas!$B$2,0))</x:f>
        <x:v>5</x:v>
      </x:c>
      <x:c r="T265" t="n">
        <x:f>IF(OR($N265&lt;&gt;"Finalizado",$Q265&lt;&gt;"Si"),0,Reglas!$B$3)</x:f>
        <x:v>3</x:v>
      </x:c>
      <x:c r="U265" t="n">
        <x:f>IF(OR($N265&lt;&gt;"Finalizado",$Q265&lt;&gt;"Si"),0,IF($I265=$M265,Reglas!$B$4,0))</x:f>
        <x:v>0</x:v>
      </x:c>
      <x:c r="V265" t="n">
        <x:f>IF(OR($N265&lt;&gt;"Finalizado",$Q265&lt;&gt;"Si",$R265&lt;&gt;"Si"),0,IF(AND($F265=$J265,$G265=$K265),Reglas!$B$5,0))</x:f>
        <x:v>0</x:v>
      </x:c>
      <x:c r="W265" t="n">
        <x:f>IF(OR($N265&lt;&gt;"Finalizado",$Q265&lt;&gt;"Si",$R265&lt;&gt;"Si"),0,IF($F265-$G265=$J265-$K265,Reglas!$B$6,0))</x:f>
        <x:v>0</x:v>
      </x:c>
      <x:c r="X265" t="n">
        <x:f>IF(OR($N265&lt;&gt;"Finalizado",$Q265&lt;&gt;"Si",$R265&lt;&gt;"Si"),0,IF($F265=$J265,Reglas!$B$7,0))</x:f>
        <x:v>0</x:v>
      </x:c>
      <x:c r="Y265" t="n">
        <x:f>IF(OR($N265&lt;&gt;"Finalizado",$Q265&lt;&gt;"Si",$R265&lt;&gt;"Si"),0,IF($G265=$K265,Reglas!$B$8,0))</x:f>
        <x:v>0</x:v>
      </x:c>
      <x:c r="Z265" t="n">
        <x:f>SUM($S265:$Y265)</x:f>
        <x:v>8</x:v>
      </x:c>
      <x:c r="AA265" t="str">
        <x:f>IF($N265&lt;&gt;"Finalizado","Resultado pendiente",IF($H265="Sin envio","Sin respuesta",IF($Q265&lt;&gt;"Si","No acerto clasificado","OK")))</x:f>
        <x:v>OK</x:v>
      </x:c>
      <x:c r="AB265" t="str">
        <x:v>Google Forms cuartos + ESPN</x:v>
      </x:c>
      <x:c r="AC265" t="n">
        <x:v>8</x:v>
      </x:c>
      <x:c r="AD265" t="n">
        <x:f>$Z265-$AC265</x:f>
        <x:v>0</x:v>
      </x:c>
    </x:row>
    <x:row r="266" ht="15" hidden="0" customHeight="1">
      <x:c r="A266" t="str">
        <x:v>Semifinal</x:v>
      </x:c>
      <x:c r="B266" t="str">
        <x:v>SF1</x:v>
      </x:c>
      <x:c r="C266" t="str">
        <x:v>Freddy</x:v>
      </x:c>
      <x:c r="D266" t="str">
        <x:v>Francia</x:v>
      </x:c>
      <x:c r="E266" t="str">
        <x:v>Espana</x:v>
      </x:c>
      <x:c r="F266" t="n">
        <x:v>2</x:v>
      </x:c>
      <x:c r="G266" t="n">
        <x:v>1</x:v>
      </x:c>
      <x:c r="H266" t="str">
        <x:v>Francia</x:v>
      </x:c>
      <x:c r="I266" t="str">
        <x:v>90 minutos</x:v>
      </x:c>
      <x:c r="J266" t="n">
        <x:v>0</x:v>
      </x:c>
      <x:c r="K266" t="n">
        <x:v>2</x:v>
      </x:c>
      <x:c r="L266" t="str">
        <x:v>Espana</x:v>
      </x:c>
      <x:c r="M266" t="str">
        <x:v>90 minutos</x:v>
      </x:c>
      <x:c r="N266" t="str">
        <x:v>Finalizado</x:v>
      </x:c>
      <x:c r="O266" t="str">
        <x:f>IF($H266="Sin envio","Sin envio",IF($I266="90 minutos",IF($F266&gt;$G266,"A",IF($G266&gt;$F266,"B","E")),"E"))</x:f>
        <x:v>A</x:v>
      </x:c>
      <x:c r="P266" t="str">
        <x:f>IF($M266="90 minutos",IF($J266&gt;$K266,"A",IF($K266&gt;$J266,"B","E")),"E")</x:f>
        <x:v>B</x:v>
      </x:c>
      <x:c r="Q266" t="str">
        <x:f>IF($H266="Sin envio","No",IF($H266=$L266,"Si","No"))</x:f>
        <x:v>No</x:v>
      </x:c>
      <x:c r="R266" t="str">
        <x:f>IF(AND($I266=$M266,NOT(AND($I266="Penales",$F266&lt;&gt;$G266))),"Si","No")</x:f>
        <x:v>Si</x:v>
      </x:c>
      <x:c r="S266" t="n">
        <x:f>IF(OR($N266&lt;&gt;"Finalizado",$Q266&lt;&gt;"Si"),0,IF($O266=$P266,Reglas!$B$2,0))</x:f>
        <x:v>0</x:v>
      </x:c>
      <x:c r="T266" t="n">
        <x:f>IF(OR($N266&lt;&gt;"Finalizado",$Q266&lt;&gt;"Si"),0,Reglas!$B$3)</x:f>
        <x:v>0</x:v>
      </x:c>
      <x:c r="U266" t="n">
        <x:f>IF(OR($N266&lt;&gt;"Finalizado",$Q266&lt;&gt;"Si"),0,IF($I266=$M266,Reglas!$B$4,0))</x:f>
        <x:v>0</x:v>
      </x:c>
      <x:c r="V266" t="n">
        <x:f>IF(OR($N266&lt;&gt;"Finalizado",$Q266&lt;&gt;"Si",$R266&lt;&gt;"Si"),0,IF(AND($F266=$J266,$G266=$K266),Reglas!$B$5,0))</x:f>
        <x:v>0</x:v>
      </x:c>
      <x:c r="W266" t="n">
        <x:f>IF(OR($N266&lt;&gt;"Finalizado",$Q266&lt;&gt;"Si",$R266&lt;&gt;"Si"),0,IF($F266-$G266=$J266-$K266,Reglas!$B$6,0))</x:f>
        <x:v>0</x:v>
      </x:c>
      <x:c r="X266" t="n">
        <x:f>IF(OR($N266&lt;&gt;"Finalizado",$Q266&lt;&gt;"Si",$R266&lt;&gt;"Si"),0,IF($F266=$J266,Reglas!$B$7,0))</x:f>
        <x:v>0</x:v>
      </x:c>
      <x:c r="Y266" t="n">
        <x:f>IF(OR($N266&lt;&gt;"Finalizado",$Q266&lt;&gt;"Si",$R266&lt;&gt;"Si"),0,IF($G266=$K266,Reglas!$B$8,0))</x:f>
        <x:v>0</x:v>
      </x:c>
      <x:c r="Z266" t="n">
        <x:f>SUM($S266:$Y266)</x:f>
        <x:v>0</x:v>
      </x:c>
      <x:c r="AA266" t="str">
        <x:f>IF($N266&lt;&gt;"Finalizado","Resultado pendiente",IF($H266="Sin envio","Sin respuesta",IF($Q266&lt;&gt;"Si","No acerto clasificado","OK")))</x:f>
        <x:v>No acerto clasificado</x:v>
      </x:c>
      <x:c r="AB266" t="str">
        <x:v>Google Forms semifinal + ESPN</x:v>
      </x:c>
      <x:c r="AC266" t="n">
        <x:v>0</x:v>
      </x:c>
      <x:c r="AD266" t="n">
        <x:f>$Z266-$AC266</x:f>
        <x:v>0</x:v>
      </x:c>
    </x:row>
    <x:row r="267" ht="15" hidden="0" customHeight="1">
      <x:c r="A267" t="str">
        <x:v>Semifinal</x:v>
      </x:c>
      <x:c r="B267" t="str">
        <x:v>SF1</x:v>
      </x:c>
      <x:c r="C267" t="str">
        <x:v>Gabriela</x:v>
      </x:c>
      <x:c r="D267" t="str">
        <x:v>Francia</x:v>
      </x:c>
      <x:c r="E267" t="str">
        <x:v>Espana</x:v>
      </x:c>
      <x:c r="F267" t="n">
        <x:v>2</x:v>
      </x:c>
      <x:c r="G267" t="n">
        <x:v>2</x:v>
      </x:c>
      <x:c r="H267" t="str">
        <x:v>Francia</x:v>
      </x:c>
      <x:c r="I267" t="str">
        <x:v>Penales</x:v>
      </x:c>
      <x:c r="J267" t="n">
        <x:v>0</x:v>
      </x:c>
      <x:c r="K267" t="n">
        <x:v>2</x:v>
      </x:c>
      <x:c r="L267" t="str">
        <x:v>Espana</x:v>
      </x:c>
      <x:c r="M267" t="str">
        <x:v>90 minutos</x:v>
      </x:c>
      <x:c r="N267" t="str">
        <x:v>Finalizado</x:v>
      </x:c>
      <x:c r="O267" t="str">
        <x:f>IF($H267="Sin envio","Sin envio",IF($I267="90 minutos",IF($F267&gt;$G267,"A",IF($G267&gt;$F267,"B","E")),"E"))</x:f>
        <x:v>E</x:v>
      </x:c>
      <x:c r="P267" t="str">
        <x:f>IF($M267="90 minutos",IF($J267&gt;$K267,"A",IF($K267&gt;$J267,"B","E")),"E")</x:f>
        <x:v>B</x:v>
      </x:c>
      <x:c r="Q267" t="str">
        <x:f>IF($H267="Sin envio","No",IF($H267=$L267,"Si","No"))</x:f>
        <x:v>No</x:v>
      </x:c>
      <x:c r="R267" t="str">
        <x:f>IF(AND($I267=$M267,NOT(AND($I267="Penales",$F267&lt;&gt;$G267))),"Si","No")</x:f>
        <x:v>No</x:v>
      </x:c>
      <x:c r="S267" t="n">
        <x:f>IF(OR($N267&lt;&gt;"Finalizado",$Q267&lt;&gt;"Si"),0,IF($O267=$P267,Reglas!$B$2,0))</x:f>
        <x:v>0</x:v>
      </x:c>
      <x:c r="T267" t="n">
        <x:f>IF(OR($N267&lt;&gt;"Finalizado",$Q267&lt;&gt;"Si"),0,Reglas!$B$3)</x:f>
        <x:v>0</x:v>
      </x:c>
      <x:c r="U267" t="n">
        <x:f>IF(OR($N267&lt;&gt;"Finalizado",$Q267&lt;&gt;"Si"),0,IF($I267=$M267,Reglas!$B$4,0))</x:f>
        <x:v>0</x:v>
      </x:c>
      <x:c r="V267" t="n">
        <x:f>IF(OR($N267&lt;&gt;"Finalizado",$Q267&lt;&gt;"Si",$R267&lt;&gt;"Si"),0,IF(AND($F267=$J267,$G267=$K267),Reglas!$B$5,0))</x:f>
        <x:v>0</x:v>
      </x:c>
      <x:c r="W267" t="n">
        <x:f>IF(OR($N267&lt;&gt;"Finalizado",$Q267&lt;&gt;"Si",$R267&lt;&gt;"Si"),0,IF($F267-$G267=$J267-$K267,Reglas!$B$6,0))</x:f>
        <x:v>0</x:v>
      </x:c>
      <x:c r="X267" t="n">
        <x:f>IF(OR($N267&lt;&gt;"Finalizado",$Q267&lt;&gt;"Si",$R267&lt;&gt;"Si"),0,IF($F267=$J267,Reglas!$B$7,0))</x:f>
        <x:v>0</x:v>
      </x:c>
      <x:c r="Y267" t="n">
        <x:f>IF(OR($N267&lt;&gt;"Finalizado",$Q267&lt;&gt;"Si",$R267&lt;&gt;"Si"),0,IF($G267=$K267,Reglas!$B$8,0))</x:f>
        <x:v>0</x:v>
      </x:c>
      <x:c r="Z267" t="n">
        <x:f>SUM($S267:$Y267)</x:f>
        <x:v>0</x:v>
      </x:c>
      <x:c r="AA267" t="str">
        <x:f>IF($N267&lt;&gt;"Finalizado","Resultado pendiente",IF($H267="Sin envio","Sin respuesta",IF($Q267&lt;&gt;"Si","No acerto clasificado","OK")))</x:f>
        <x:v>No acerto clasificado</x:v>
      </x:c>
      <x:c r="AB267" t="str">
        <x:v>Google Forms semifinal + ESPN</x:v>
      </x:c>
      <x:c r="AC267" t="n">
        <x:v>0</x:v>
      </x:c>
      <x:c r="AD267" t="n">
        <x:f>$Z267-$AC267</x:f>
        <x:v>0</x:v>
      </x:c>
    </x:row>
    <x:row r="268" ht="15" hidden="0" customHeight="1">
      <x:c r="A268" t="str">
        <x:v>Semifinal</x:v>
      </x:c>
      <x:c r="B268" t="str">
        <x:v>SF1</x:v>
      </x:c>
      <x:c r="C268" t="str">
        <x:v>Jean</x:v>
      </x:c>
      <x:c r="D268" t="str">
        <x:v>Francia</x:v>
      </x:c>
      <x:c r="E268" t="str">
        <x:v>Espana</x:v>
      </x:c>
      <x:c r="F268" t="n">
        <x:v>2</x:v>
      </x:c>
      <x:c r="G268" t="n">
        <x:v>1</x:v>
      </x:c>
      <x:c r="H268" t="str">
        <x:v>Francia</x:v>
      </x:c>
      <x:c r="I268" t="str">
        <x:v>90 minutos</x:v>
      </x:c>
      <x:c r="J268" t="n">
        <x:v>0</x:v>
      </x:c>
      <x:c r="K268" t="n">
        <x:v>2</x:v>
      </x:c>
      <x:c r="L268" t="str">
        <x:v>Espana</x:v>
      </x:c>
      <x:c r="M268" t="str">
        <x:v>90 minutos</x:v>
      </x:c>
      <x:c r="N268" t="str">
        <x:v>Finalizado</x:v>
      </x:c>
      <x:c r="O268" t="str">
        <x:f>IF($H268="Sin envio","Sin envio",IF($I268="90 minutos",IF($F268&gt;$G268,"A",IF($G268&gt;$F268,"B","E")),"E"))</x:f>
        <x:v>A</x:v>
      </x:c>
      <x:c r="P268" t="str">
        <x:f>IF($M268="90 minutos",IF($J268&gt;$K268,"A",IF($K268&gt;$J268,"B","E")),"E")</x:f>
        <x:v>B</x:v>
      </x:c>
      <x:c r="Q268" t="str">
        <x:f>IF($H268="Sin envio","No",IF($H268=$L268,"Si","No"))</x:f>
        <x:v>No</x:v>
      </x:c>
      <x:c r="R268" t="str">
        <x:f>IF(AND($I268=$M268,NOT(AND($I268="Penales",$F268&lt;&gt;$G268))),"Si","No")</x:f>
        <x:v>Si</x:v>
      </x:c>
      <x:c r="S268" t="n">
        <x:f>IF(OR($N268&lt;&gt;"Finalizado",$Q268&lt;&gt;"Si"),0,IF($O268=$P268,Reglas!$B$2,0))</x:f>
        <x:v>0</x:v>
      </x:c>
      <x:c r="T268" t="n">
        <x:f>IF(OR($N268&lt;&gt;"Finalizado",$Q268&lt;&gt;"Si"),0,Reglas!$B$3)</x:f>
        <x:v>0</x:v>
      </x:c>
      <x:c r="U268" t="n">
        <x:f>IF(OR($N268&lt;&gt;"Finalizado",$Q268&lt;&gt;"Si"),0,IF($I268=$M268,Reglas!$B$4,0))</x:f>
        <x:v>0</x:v>
      </x:c>
      <x:c r="V268" t="n">
        <x:f>IF(OR($N268&lt;&gt;"Finalizado",$Q268&lt;&gt;"Si",$R268&lt;&gt;"Si"),0,IF(AND($F268=$J268,$G268=$K268),Reglas!$B$5,0))</x:f>
        <x:v>0</x:v>
      </x:c>
      <x:c r="W268" t="n">
        <x:f>IF(OR($N268&lt;&gt;"Finalizado",$Q268&lt;&gt;"Si",$R268&lt;&gt;"Si"),0,IF($F268-$G268=$J268-$K268,Reglas!$B$6,0))</x:f>
        <x:v>0</x:v>
      </x:c>
      <x:c r="X268" t="n">
        <x:f>IF(OR($N268&lt;&gt;"Finalizado",$Q268&lt;&gt;"Si",$R268&lt;&gt;"Si"),0,IF($F268=$J268,Reglas!$B$7,0))</x:f>
        <x:v>0</x:v>
      </x:c>
      <x:c r="Y268" t="n">
        <x:f>IF(OR($N268&lt;&gt;"Finalizado",$Q268&lt;&gt;"Si",$R268&lt;&gt;"Si"),0,IF($G268=$K268,Reglas!$B$8,0))</x:f>
        <x:v>0</x:v>
      </x:c>
      <x:c r="Z268" t="n">
        <x:f>SUM($S268:$Y268)</x:f>
        <x:v>0</x:v>
      </x:c>
      <x:c r="AA268" t="str">
        <x:f>IF($N268&lt;&gt;"Finalizado","Resultado pendiente",IF($H268="Sin envio","Sin respuesta",IF($Q268&lt;&gt;"Si","No acerto clasificado","OK")))</x:f>
        <x:v>No acerto clasificado</x:v>
      </x:c>
      <x:c r="AB268" t="str">
        <x:v>Google Forms semifinal + ESPN</x:v>
      </x:c>
      <x:c r="AC268" t="n">
        <x:v>0</x:v>
      </x:c>
      <x:c r="AD268" t="n">
        <x:f>$Z268-$AC268</x:f>
        <x:v>0</x:v>
      </x:c>
    </x:row>
    <x:row r="269" ht="15" hidden="0" customHeight="1">
      <x:c r="A269" t="str">
        <x:v>Semifinal</x:v>
      </x:c>
      <x:c r="B269" t="str">
        <x:v>SF1</x:v>
      </x:c>
      <x:c r="C269" t="str">
        <x:v>Juan</x:v>
      </x:c>
      <x:c r="D269" t="str">
        <x:v>Francia</x:v>
      </x:c>
      <x:c r="E269" t="str">
        <x:v>Espana</x:v>
      </x:c>
      <x:c r="F269" t="n">
        <x:v>1</x:v>
      </x:c>
      <x:c r="G269" t="n">
        <x:v>2</x:v>
      </x:c>
      <x:c r="H269" t="str">
        <x:v>Espana</x:v>
      </x:c>
      <x:c r="I269" t="str">
        <x:v>Suplementario</x:v>
      </x:c>
      <x:c r="J269" t="n">
        <x:v>0</x:v>
      </x:c>
      <x:c r="K269" t="n">
        <x:v>2</x:v>
      </x:c>
      <x:c r="L269" t="str">
        <x:v>Espana</x:v>
      </x:c>
      <x:c r="M269" t="str">
        <x:v>90 minutos</x:v>
      </x:c>
      <x:c r="N269" t="str">
        <x:v>Finalizado</x:v>
      </x:c>
      <x:c r="O269" t="str">
        <x:f>IF($H269="Sin envio","Sin envio",IF($I269="90 minutos",IF($F269&gt;$G269,"A",IF($G269&gt;$F269,"B","E")),"E"))</x:f>
        <x:v>E</x:v>
      </x:c>
      <x:c r="P269" t="str">
        <x:f>IF($M269="90 minutos",IF($J269&gt;$K269,"A",IF($K269&gt;$J269,"B","E")),"E")</x:f>
        <x:v>B</x:v>
      </x:c>
      <x:c r="Q269" t="str">
        <x:f>IF($H269="Sin envio","No",IF($H269=$L269,"Si","No"))</x:f>
        <x:v>Si</x:v>
      </x:c>
      <x:c r="R269" t="str">
        <x:f>IF(AND($I269=$M269,NOT(AND($I269="Penales",$F269&lt;&gt;$G269))),"Si","No")</x:f>
        <x:v>No</x:v>
      </x:c>
      <x:c r="S269" t="n">
        <x:f>IF(OR($N269&lt;&gt;"Finalizado",$Q269&lt;&gt;"Si"),0,IF($O269=$P269,Reglas!$B$2,0))</x:f>
        <x:v>0</x:v>
      </x:c>
      <x:c r="T269" t="n">
        <x:f>IF(OR($N269&lt;&gt;"Finalizado",$Q269&lt;&gt;"Si"),0,Reglas!$B$3)</x:f>
        <x:v>3</x:v>
      </x:c>
      <x:c r="U269" t="n">
        <x:f>IF(OR($N269&lt;&gt;"Finalizado",$Q269&lt;&gt;"Si"),0,IF($I269=$M269,Reglas!$B$4,0))</x:f>
        <x:v>0</x:v>
      </x:c>
      <x:c r="V269" t="n">
        <x:f>IF(OR($N269&lt;&gt;"Finalizado",$Q269&lt;&gt;"Si",$R269&lt;&gt;"Si"),0,IF(AND($F269=$J269,$G269=$K269),Reglas!$B$5,0))</x:f>
        <x:v>0</x:v>
      </x:c>
      <x:c r="W269" t="n">
        <x:f>IF(OR($N269&lt;&gt;"Finalizado",$Q269&lt;&gt;"Si",$R269&lt;&gt;"Si"),0,IF($F269-$G269=$J269-$K269,Reglas!$B$6,0))</x:f>
        <x:v>0</x:v>
      </x:c>
      <x:c r="X269" t="n">
        <x:f>IF(OR($N269&lt;&gt;"Finalizado",$Q269&lt;&gt;"Si",$R269&lt;&gt;"Si"),0,IF($F269=$J269,Reglas!$B$7,0))</x:f>
        <x:v>0</x:v>
      </x:c>
      <x:c r="Y269" t="n">
        <x:f>IF(OR($N269&lt;&gt;"Finalizado",$Q269&lt;&gt;"Si",$R269&lt;&gt;"Si"),0,IF($G269=$K269,Reglas!$B$8,0))</x:f>
        <x:v>0</x:v>
      </x:c>
      <x:c r="Z269" t="n">
        <x:f>SUM($S269:$Y269)</x:f>
        <x:v>3</x:v>
      </x:c>
      <x:c r="AA269" t="str">
        <x:f>IF($N269&lt;&gt;"Finalizado","Resultado pendiente",IF($H269="Sin envio","Sin respuesta",IF($Q269&lt;&gt;"Si","No acerto clasificado","OK")))</x:f>
        <x:v>OK</x:v>
      </x:c>
      <x:c r="AB269" t="str">
        <x:v>Google Forms semifinal + ESPN</x:v>
      </x:c>
      <x:c r="AC269" t="n">
        <x:v>3</x:v>
      </x:c>
      <x:c r="AD269" t="n">
        <x:f>$Z269-$AC269</x:f>
        <x:v>0</x:v>
      </x:c>
    </x:row>
    <x:row r="270" ht="15" hidden="0" customHeight="1">
      <x:c r="A270" t="str">
        <x:v>Semifinal</x:v>
      </x:c>
      <x:c r="B270" t="str">
        <x:v>SF1</x:v>
      </x:c>
      <x:c r="C270" t="str">
        <x:v>Jesús</x:v>
      </x:c>
      <x:c r="D270" t="str">
        <x:v>Francia</x:v>
      </x:c>
      <x:c r="E270" t="str">
        <x:v>Espana</x:v>
      </x:c>
      <x:c r="F270" t="n">
        <x:v>2</x:v>
      </x:c>
      <x:c r="G270" t="n">
        <x:v>1</x:v>
      </x:c>
      <x:c r="H270" t="str">
        <x:v>Francia</x:v>
      </x:c>
      <x:c r="I270" t="str">
        <x:v>90 minutos</x:v>
      </x:c>
      <x:c r="J270" t="n">
        <x:v>0</x:v>
      </x:c>
      <x:c r="K270" t="n">
        <x:v>2</x:v>
      </x:c>
      <x:c r="L270" t="str">
        <x:v>Espana</x:v>
      </x:c>
      <x:c r="M270" t="str">
        <x:v>90 minutos</x:v>
      </x:c>
      <x:c r="N270" t="str">
        <x:v>Finalizado</x:v>
      </x:c>
      <x:c r="O270" t="str">
        <x:f>IF($H270="Sin envio","Sin envio",IF($I270="90 minutos",IF($F270&gt;$G270,"A",IF($G270&gt;$F270,"B","E")),"E"))</x:f>
        <x:v>A</x:v>
      </x:c>
      <x:c r="P270" t="str">
        <x:f>IF($M270="90 minutos",IF($J270&gt;$K270,"A",IF($K270&gt;$J270,"B","E")),"E")</x:f>
        <x:v>B</x:v>
      </x:c>
      <x:c r="Q270" t="str">
        <x:f>IF($H270="Sin envio","No",IF($H270=$L270,"Si","No"))</x:f>
        <x:v>No</x:v>
      </x:c>
      <x:c r="R270" t="str">
        <x:f>IF(AND($I270=$M270,NOT(AND($I270="Penales",$F270&lt;&gt;$G270))),"Si","No")</x:f>
        <x:v>Si</x:v>
      </x:c>
      <x:c r="S270" t="n">
        <x:f>IF(OR($N270&lt;&gt;"Finalizado",$Q270&lt;&gt;"Si"),0,IF($O270=$P270,Reglas!$B$2,0))</x:f>
        <x:v>0</x:v>
      </x:c>
      <x:c r="T270" t="n">
        <x:f>IF(OR($N270&lt;&gt;"Finalizado",$Q270&lt;&gt;"Si"),0,Reglas!$B$3)</x:f>
        <x:v>0</x:v>
      </x:c>
      <x:c r="U270" t="n">
        <x:f>IF(OR($N270&lt;&gt;"Finalizado",$Q270&lt;&gt;"Si"),0,IF($I270=$M270,Reglas!$B$4,0))</x:f>
        <x:v>0</x:v>
      </x:c>
      <x:c r="V270" t="n">
        <x:f>IF(OR($N270&lt;&gt;"Finalizado",$Q270&lt;&gt;"Si",$R270&lt;&gt;"Si"),0,IF(AND($F270=$J270,$G270=$K270),Reglas!$B$5,0))</x:f>
        <x:v>0</x:v>
      </x:c>
      <x:c r="W270" t="n">
        <x:f>IF(OR($N270&lt;&gt;"Finalizado",$Q270&lt;&gt;"Si",$R270&lt;&gt;"Si"),0,IF($F270-$G270=$J270-$K270,Reglas!$B$6,0))</x:f>
        <x:v>0</x:v>
      </x:c>
      <x:c r="X270" t="n">
        <x:f>IF(OR($N270&lt;&gt;"Finalizado",$Q270&lt;&gt;"Si",$R270&lt;&gt;"Si"),0,IF($F270=$J270,Reglas!$B$7,0))</x:f>
        <x:v>0</x:v>
      </x:c>
      <x:c r="Y270" t="n">
        <x:f>IF(OR($N270&lt;&gt;"Finalizado",$Q270&lt;&gt;"Si",$R270&lt;&gt;"Si"),0,IF($G270=$K270,Reglas!$B$8,0))</x:f>
        <x:v>0</x:v>
      </x:c>
      <x:c r="Z270" t="n">
        <x:f>SUM($S270:$Y270)</x:f>
        <x:v>0</x:v>
      </x:c>
      <x:c r="AA270" t="str">
        <x:f>IF($N270&lt;&gt;"Finalizado","Resultado pendiente",IF($H270="Sin envio","Sin respuesta",IF($Q270&lt;&gt;"Si","No acerto clasificado","OK")))</x:f>
        <x:v>No acerto clasificado</x:v>
      </x:c>
      <x:c r="AB270" t="str">
        <x:v>Google Forms semifinal + ESPN</x:v>
      </x:c>
      <x:c r="AC270" t="n">
        <x:v>0</x:v>
      </x:c>
      <x:c r="AD270" t="n">
        <x:f>$Z270-$AC270</x:f>
        <x:v>0</x:v>
      </x:c>
    </x:row>
    <x:row r="271" ht="15" hidden="0" customHeight="1">
      <x:c r="A271" t="str">
        <x:v>Semifinal</x:v>
      </x:c>
      <x:c r="B271" t="str">
        <x:v>SF1</x:v>
      </x:c>
      <x:c r="C271" t="str">
        <x:v>Diego</x:v>
      </x:c>
      <x:c r="D271" t="str">
        <x:v>Francia</x:v>
      </x:c>
      <x:c r="E271" t="str">
        <x:v>Espana</x:v>
      </x:c>
      <x:c r="F271" t="n">
        <x:v>2</x:v>
      </x:c>
      <x:c r="G271" t="n">
        <x:v>1</x:v>
      </x:c>
      <x:c r="H271" t="str">
        <x:v>Francia</x:v>
      </x:c>
      <x:c r="I271" t="str">
        <x:v>Suplementario</x:v>
      </x:c>
      <x:c r="J271" t="n">
        <x:v>0</x:v>
      </x:c>
      <x:c r="K271" t="n">
        <x:v>2</x:v>
      </x:c>
      <x:c r="L271" t="str">
        <x:v>Espana</x:v>
      </x:c>
      <x:c r="M271" t="str">
        <x:v>90 minutos</x:v>
      </x:c>
      <x:c r="N271" t="str">
        <x:v>Finalizado</x:v>
      </x:c>
      <x:c r="O271" t="str">
        <x:f>IF($H271="Sin envio","Sin envio",IF($I271="90 minutos",IF($F271&gt;$G271,"A",IF($G271&gt;$F271,"B","E")),"E"))</x:f>
        <x:v>E</x:v>
      </x:c>
      <x:c r="P271" t="str">
        <x:f>IF($M271="90 minutos",IF($J271&gt;$K271,"A",IF($K271&gt;$J271,"B","E")),"E")</x:f>
        <x:v>B</x:v>
      </x:c>
      <x:c r="Q271" t="str">
        <x:f>IF($H271="Sin envio","No",IF($H271=$L271,"Si","No"))</x:f>
        <x:v>No</x:v>
      </x:c>
      <x:c r="R271" t="str">
        <x:f>IF(AND($I271=$M271,NOT(AND($I271="Penales",$F271&lt;&gt;$G271))),"Si","No")</x:f>
        <x:v>No</x:v>
      </x:c>
      <x:c r="S271" t="n">
        <x:f>IF(OR($N271&lt;&gt;"Finalizado",$Q271&lt;&gt;"Si"),0,IF($O271=$P271,Reglas!$B$2,0))</x:f>
        <x:v>0</x:v>
      </x:c>
      <x:c r="T271" t="n">
        <x:f>IF(OR($N271&lt;&gt;"Finalizado",$Q271&lt;&gt;"Si"),0,Reglas!$B$3)</x:f>
        <x:v>0</x:v>
      </x:c>
      <x:c r="U271" t="n">
        <x:f>IF(OR($N271&lt;&gt;"Finalizado",$Q271&lt;&gt;"Si"),0,IF($I271=$M271,Reglas!$B$4,0))</x:f>
        <x:v>0</x:v>
      </x:c>
      <x:c r="V271" t="n">
        <x:f>IF(OR($N271&lt;&gt;"Finalizado",$Q271&lt;&gt;"Si",$R271&lt;&gt;"Si"),0,IF(AND($F271=$J271,$G271=$K271),Reglas!$B$5,0))</x:f>
        <x:v>0</x:v>
      </x:c>
      <x:c r="W271" t="n">
        <x:f>IF(OR($N271&lt;&gt;"Finalizado",$Q271&lt;&gt;"Si",$R271&lt;&gt;"Si"),0,IF($F271-$G271=$J271-$K271,Reglas!$B$6,0))</x:f>
        <x:v>0</x:v>
      </x:c>
      <x:c r="X271" t="n">
        <x:f>IF(OR($N271&lt;&gt;"Finalizado",$Q271&lt;&gt;"Si",$R271&lt;&gt;"Si"),0,IF($F271=$J271,Reglas!$B$7,0))</x:f>
        <x:v>0</x:v>
      </x:c>
      <x:c r="Y271" t="n">
        <x:f>IF(OR($N271&lt;&gt;"Finalizado",$Q271&lt;&gt;"Si",$R271&lt;&gt;"Si"),0,IF($G271=$K271,Reglas!$B$8,0))</x:f>
        <x:v>0</x:v>
      </x:c>
      <x:c r="Z271" t="n">
        <x:f>SUM($S271:$Y271)</x:f>
        <x:v>0</x:v>
      </x:c>
      <x:c r="AA271" t="str">
        <x:f>IF($N271&lt;&gt;"Finalizado","Resultado pendiente",IF($H271="Sin envio","Sin respuesta",IF($Q271&lt;&gt;"Si","No acerto clasificado","OK")))</x:f>
        <x:v>No acerto clasificado</x:v>
      </x:c>
      <x:c r="AB271" t="str">
        <x:v>Google Forms semifinal + ESPN</x:v>
      </x:c>
      <x:c r="AC271" t="n">
        <x:v>0</x:v>
      </x:c>
      <x:c r="AD271" t="n">
        <x:f>$Z271-$AC271</x:f>
        <x:v>0</x:v>
      </x:c>
    </x:row>
    <x:row r="272" ht="15" hidden="0" customHeight="1">
      <x:c r="A272" t="str">
        <x:v>Semifinal</x:v>
      </x:c>
      <x:c r="B272" t="str">
        <x:v>SF1</x:v>
      </x:c>
      <x:c r="C272" t="str">
        <x:v>Aldo</x:v>
      </x:c>
      <x:c r="D272" t="str">
        <x:v>Francia</x:v>
      </x:c>
      <x:c r="E272" t="str">
        <x:v>Espana</x:v>
      </x:c>
      <x:c r="F272" t="n">
        <x:v>0</x:v>
      </x:c>
      <x:c r="G272" t="n">
        <x:v>1</x:v>
      </x:c>
      <x:c r="H272" t="str">
        <x:v>Espana</x:v>
      </x:c>
      <x:c r="I272" t="str">
        <x:v>Suplementario</x:v>
      </x:c>
      <x:c r="J272" t="n">
        <x:v>0</x:v>
      </x:c>
      <x:c r="K272" t="n">
        <x:v>2</x:v>
      </x:c>
      <x:c r="L272" t="str">
        <x:v>Espana</x:v>
      </x:c>
      <x:c r="M272" t="str">
        <x:v>90 minutos</x:v>
      </x:c>
      <x:c r="N272" t="str">
        <x:v>Finalizado</x:v>
      </x:c>
      <x:c r="O272" t="str">
        <x:f>IF($H272="Sin envio","Sin envio",IF($I272="90 minutos",IF($F272&gt;$G272,"A",IF($G272&gt;$F272,"B","E")),"E"))</x:f>
        <x:v>E</x:v>
      </x:c>
      <x:c r="P272" t="str">
        <x:f>IF($M272="90 minutos",IF($J272&gt;$K272,"A",IF($K272&gt;$J272,"B","E")),"E")</x:f>
        <x:v>B</x:v>
      </x:c>
      <x:c r="Q272" t="str">
        <x:f>IF($H272="Sin envio","No",IF($H272=$L272,"Si","No"))</x:f>
        <x:v>Si</x:v>
      </x:c>
      <x:c r="R272" t="str">
        <x:f>IF(AND($I272=$M272,NOT(AND($I272="Penales",$F272&lt;&gt;$G272))),"Si","No")</x:f>
        <x:v>No</x:v>
      </x:c>
      <x:c r="S272" t="n">
        <x:f>IF(OR($N272&lt;&gt;"Finalizado",$Q272&lt;&gt;"Si"),0,IF($O272=$P272,Reglas!$B$2,0))</x:f>
        <x:v>0</x:v>
      </x:c>
      <x:c r="T272" t="n">
        <x:f>IF(OR($N272&lt;&gt;"Finalizado",$Q272&lt;&gt;"Si"),0,Reglas!$B$3)</x:f>
        <x:v>3</x:v>
      </x:c>
      <x:c r="U272" t="n">
        <x:f>IF(OR($N272&lt;&gt;"Finalizado",$Q272&lt;&gt;"Si"),0,IF($I272=$M272,Reglas!$B$4,0))</x:f>
        <x:v>0</x:v>
      </x:c>
      <x:c r="V272" t="n">
        <x:f>IF(OR($N272&lt;&gt;"Finalizado",$Q272&lt;&gt;"Si",$R272&lt;&gt;"Si"),0,IF(AND($F272=$J272,$G272=$K272),Reglas!$B$5,0))</x:f>
        <x:v>0</x:v>
      </x:c>
      <x:c r="W272" t="n">
        <x:f>IF(OR($N272&lt;&gt;"Finalizado",$Q272&lt;&gt;"Si",$R272&lt;&gt;"Si"),0,IF($F272-$G272=$J272-$K272,Reglas!$B$6,0))</x:f>
        <x:v>0</x:v>
      </x:c>
      <x:c r="X272" t="n">
        <x:f>IF(OR($N272&lt;&gt;"Finalizado",$Q272&lt;&gt;"Si",$R272&lt;&gt;"Si"),0,IF($F272=$J272,Reglas!$B$7,0))</x:f>
        <x:v>0</x:v>
      </x:c>
      <x:c r="Y272" t="n">
        <x:f>IF(OR($N272&lt;&gt;"Finalizado",$Q272&lt;&gt;"Si",$R272&lt;&gt;"Si"),0,IF($G272=$K272,Reglas!$B$8,0))</x:f>
        <x:v>0</x:v>
      </x:c>
      <x:c r="Z272" t="n">
        <x:f>SUM($S272:$Y272)</x:f>
        <x:v>3</x:v>
      </x:c>
      <x:c r="AA272" t="str">
        <x:f>IF($N272&lt;&gt;"Finalizado","Resultado pendiente",IF($H272="Sin envio","Sin respuesta",IF($Q272&lt;&gt;"Si","No acerto clasificado","OK")))</x:f>
        <x:v>OK</x:v>
      </x:c>
      <x:c r="AB272" t="str">
        <x:v>Google Forms semifinal + ESPN</x:v>
      </x:c>
      <x:c r="AC272" t="n">
        <x:v>3</x:v>
      </x:c>
      <x:c r="AD272" t="n">
        <x:f>$Z272-$AC272</x:f>
        <x:v>0</x:v>
      </x:c>
    </x:row>
    <x:row r="273" ht="15" hidden="0" customHeight="1">
      <x:c r="A273" t="str">
        <x:v>Semifinal</x:v>
      </x:c>
      <x:c r="B273" t="str">
        <x:v>SF1</x:v>
      </x:c>
      <x:c r="C273" t="str">
        <x:v>Javier</x:v>
      </x:c>
      <x:c r="D273" t="str">
        <x:v>Francia</x:v>
      </x:c>
      <x:c r="E273" t="str">
        <x:v>Espana</x:v>
      </x:c>
      <x:c r="F273"/>
      <x:c r="G273"/>
      <x:c r="H273" t="str">
        <x:v>Sin envio</x:v>
      </x:c>
      <x:c r="I273" t="str">
        <x:v>Sin envio</x:v>
      </x:c>
      <x:c r="J273" t="n">
        <x:v>0</x:v>
      </x:c>
      <x:c r="K273" t="n">
        <x:v>2</x:v>
      </x:c>
      <x:c r="L273" t="str">
        <x:v>Espana</x:v>
      </x:c>
      <x:c r="M273" t="str">
        <x:v>90 minutos</x:v>
      </x:c>
      <x:c r="N273" t="str">
        <x:v>Finalizado</x:v>
      </x:c>
      <x:c r="O273" t="str">
        <x:f>IF($H273="Sin envio","Sin envio",IF($I273="90 minutos",IF($F273&gt;$G273,"A",IF($G273&gt;$F273,"B","E")),"E"))</x:f>
        <x:v>Sin envio</x:v>
      </x:c>
      <x:c r="P273" t="str">
        <x:f>IF($M273="90 minutos",IF($J273&gt;$K273,"A",IF($K273&gt;$J273,"B","E")),"E")</x:f>
        <x:v>B</x:v>
      </x:c>
      <x:c r="Q273" t="str">
        <x:f>IF($H273="Sin envio","No",IF($H273=$L273,"Si","No"))</x:f>
        <x:v>No</x:v>
      </x:c>
      <x:c r="R273" t="str">
        <x:f>IF(AND($I273=$M273,NOT(AND($I273="Penales",$F273&lt;&gt;$G273))),"Si","No")</x:f>
        <x:v>No</x:v>
      </x:c>
      <x:c r="S273" t="n">
        <x:f>IF(OR($N273&lt;&gt;"Finalizado",$Q273&lt;&gt;"Si"),0,IF($O273=$P273,Reglas!$B$2,0))</x:f>
        <x:v>0</x:v>
      </x:c>
      <x:c r="T273" t="n">
        <x:f>IF(OR($N273&lt;&gt;"Finalizado",$Q273&lt;&gt;"Si"),0,Reglas!$B$3)</x:f>
        <x:v>0</x:v>
      </x:c>
      <x:c r="U273" t="n">
        <x:f>IF(OR($N273&lt;&gt;"Finalizado",$Q273&lt;&gt;"Si"),0,IF($I273=$M273,Reglas!$B$4,0))</x:f>
        <x:v>0</x:v>
      </x:c>
      <x:c r="V273" t="n">
        <x:f>IF(OR($N273&lt;&gt;"Finalizado",$Q273&lt;&gt;"Si",$R273&lt;&gt;"Si"),0,IF(AND($F273=$J273,$G273=$K273),Reglas!$B$5,0))</x:f>
        <x:v>0</x:v>
      </x:c>
      <x:c r="W273" t="n">
        <x:f>IF(OR($N273&lt;&gt;"Finalizado",$Q273&lt;&gt;"Si",$R273&lt;&gt;"Si"),0,IF($F273-$G273=$J273-$K273,Reglas!$B$6,0))</x:f>
        <x:v>0</x:v>
      </x:c>
      <x:c r="X273" t="n">
        <x:f>IF(OR($N273&lt;&gt;"Finalizado",$Q273&lt;&gt;"Si",$R273&lt;&gt;"Si"),0,IF($F273=$J273,Reglas!$B$7,0))</x:f>
        <x:v>0</x:v>
      </x:c>
      <x:c r="Y273" t="n">
        <x:f>IF(OR($N273&lt;&gt;"Finalizado",$Q273&lt;&gt;"Si",$R273&lt;&gt;"Si"),0,IF($G273=$K273,Reglas!$B$8,0))</x:f>
        <x:v>0</x:v>
      </x:c>
      <x:c r="Z273" t="n">
        <x:f>SUM($S273:$Y273)</x:f>
        <x:v>0</x:v>
      </x:c>
      <x:c r="AA273" t="str">
        <x:f>IF($N273&lt;&gt;"Finalizado","Resultado pendiente",IF($H273="Sin envio","Sin respuesta",IF($Q273&lt;&gt;"Si","No acerto clasificado","OK")))</x:f>
        <x:v>Sin respuesta</x:v>
      </x:c>
      <x:c r="AB273" t="str">
        <x:v>Google Forms semifinal + ESPN</x:v>
      </x:c>
      <x:c r="AC273" t="n">
        <x:v>0</x:v>
      </x:c>
      <x:c r="AD273" t="n">
        <x:f>$Z273-$AC273</x:f>
        <x:v>0</x:v>
      </x:c>
    </x:row>
    <x:row r="274" ht="15" hidden="0" customHeight="1">
      <x:c r="A274" t="str">
        <x:v>Semifinal</x:v>
      </x:c>
      <x:c r="B274" t="str">
        <x:v>SF1</x:v>
      </x:c>
      <x:c r="C274" t="str">
        <x:v>Gino</x:v>
      </x:c>
      <x:c r="D274" t="str">
        <x:v>Francia</x:v>
      </x:c>
      <x:c r="E274" t="str">
        <x:v>Espana</x:v>
      </x:c>
      <x:c r="F274" t="n">
        <x:v>3</x:v>
      </x:c>
      <x:c r="G274" t="n">
        <x:v>1</x:v>
      </x:c>
      <x:c r="H274" t="str">
        <x:v>Francia</x:v>
      </x:c>
      <x:c r="I274" t="str">
        <x:v>Suplementario</x:v>
      </x:c>
      <x:c r="J274" t="n">
        <x:v>0</x:v>
      </x:c>
      <x:c r="K274" t="n">
        <x:v>2</x:v>
      </x:c>
      <x:c r="L274" t="str">
        <x:v>Espana</x:v>
      </x:c>
      <x:c r="M274" t="str">
        <x:v>90 minutos</x:v>
      </x:c>
      <x:c r="N274" t="str">
        <x:v>Finalizado</x:v>
      </x:c>
      <x:c r="O274" t="str">
        <x:f>IF($H274="Sin envio","Sin envio",IF($I274="90 minutos",IF($F274&gt;$G274,"A",IF($G274&gt;$F274,"B","E")),"E"))</x:f>
        <x:v>E</x:v>
      </x:c>
      <x:c r="P274" t="str">
        <x:f>IF($M274="90 minutos",IF($J274&gt;$K274,"A",IF($K274&gt;$J274,"B","E")),"E")</x:f>
        <x:v>B</x:v>
      </x:c>
      <x:c r="Q274" t="str">
        <x:f>IF($H274="Sin envio","No",IF($H274=$L274,"Si","No"))</x:f>
        <x:v>No</x:v>
      </x:c>
      <x:c r="R274" t="str">
        <x:f>IF(AND($I274=$M274,NOT(AND($I274="Penales",$F274&lt;&gt;$G274))),"Si","No")</x:f>
        <x:v>No</x:v>
      </x:c>
      <x:c r="S274" t="n">
        <x:f>IF(OR($N274&lt;&gt;"Finalizado",$Q274&lt;&gt;"Si"),0,IF($O274=$P274,Reglas!$B$2,0))</x:f>
        <x:v>0</x:v>
      </x:c>
      <x:c r="T274" t="n">
        <x:f>IF(OR($N274&lt;&gt;"Finalizado",$Q274&lt;&gt;"Si"),0,Reglas!$B$3)</x:f>
        <x:v>0</x:v>
      </x:c>
      <x:c r="U274" t="n">
        <x:f>IF(OR($N274&lt;&gt;"Finalizado",$Q274&lt;&gt;"Si"),0,IF($I274=$M274,Reglas!$B$4,0))</x:f>
        <x:v>0</x:v>
      </x:c>
      <x:c r="V274" t="n">
        <x:f>IF(OR($N274&lt;&gt;"Finalizado",$Q274&lt;&gt;"Si",$R274&lt;&gt;"Si"),0,IF(AND($F274=$J274,$G274=$K274),Reglas!$B$5,0))</x:f>
        <x:v>0</x:v>
      </x:c>
      <x:c r="W274" t="n">
        <x:f>IF(OR($N274&lt;&gt;"Finalizado",$Q274&lt;&gt;"Si",$R274&lt;&gt;"Si"),0,IF($F274-$G274=$J274-$K274,Reglas!$B$6,0))</x:f>
        <x:v>0</x:v>
      </x:c>
      <x:c r="X274" t="n">
        <x:f>IF(OR($N274&lt;&gt;"Finalizado",$Q274&lt;&gt;"Si",$R274&lt;&gt;"Si"),0,IF($F274=$J274,Reglas!$B$7,0))</x:f>
        <x:v>0</x:v>
      </x:c>
      <x:c r="Y274" t="n">
        <x:f>IF(OR($N274&lt;&gt;"Finalizado",$Q274&lt;&gt;"Si",$R274&lt;&gt;"Si"),0,IF($G274=$K274,Reglas!$B$8,0))</x:f>
        <x:v>0</x:v>
      </x:c>
      <x:c r="Z274" t="n">
        <x:f>SUM($S274:$Y274)</x:f>
        <x:v>0</x:v>
      </x:c>
      <x:c r="AA274" t="str">
        <x:f>IF($N274&lt;&gt;"Finalizado","Resultado pendiente",IF($H274="Sin envio","Sin respuesta",IF($Q274&lt;&gt;"Si","No acerto clasificado","OK")))</x:f>
        <x:v>No acerto clasificado</x:v>
      </x:c>
      <x:c r="AB274" t="str">
        <x:v>Google Forms semifinal + ESPN</x:v>
      </x:c>
      <x:c r="AC274" t="n">
        <x:v>0</x:v>
      </x:c>
      <x:c r="AD274" t="n">
        <x:f>$Z274-$AC274</x:f>
        <x:v>0</x:v>
      </x:c>
    </x:row>
    <x:row r="275" ht="15" hidden="0" customHeight="1">
      <x:c r="A275" t="str">
        <x:v>Semifinal</x:v>
      </x:c>
      <x:c r="B275" t="str">
        <x:v>SF1</x:v>
      </x:c>
      <x:c r="C275" t="str">
        <x:v>Manuel</x:v>
      </x:c>
      <x:c r="D275" t="str">
        <x:v>Francia</x:v>
      </x:c>
      <x:c r="E275" t="str">
        <x:v>Espana</x:v>
      </x:c>
      <x:c r="F275" t="n">
        <x:v>2</x:v>
      </x:c>
      <x:c r="G275" t="n">
        <x:v>0</x:v>
      </x:c>
      <x:c r="H275" t="str">
        <x:v>Francia</x:v>
      </x:c>
      <x:c r="I275" t="str">
        <x:v>90 minutos</x:v>
      </x:c>
      <x:c r="J275" t="n">
        <x:v>0</x:v>
      </x:c>
      <x:c r="K275" t="n">
        <x:v>2</x:v>
      </x:c>
      <x:c r="L275" t="str">
        <x:v>Espana</x:v>
      </x:c>
      <x:c r="M275" t="str">
        <x:v>90 minutos</x:v>
      </x:c>
      <x:c r="N275" t="str">
        <x:v>Finalizado</x:v>
      </x:c>
      <x:c r="O275" t="str">
        <x:f>IF($H275="Sin envio","Sin envio",IF($I275="90 minutos",IF($F275&gt;$G275,"A",IF($G275&gt;$F275,"B","E")),"E"))</x:f>
        <x:v>A</x:v>
      </x:c>
      <x:c r="P275" t="str">
        <x:f>IF($M275="90 minutos",IF($J275&gt;$K275,"A",IF($K275&gt;$J275,"B","E")),"E")</x:f>
        <x:v>B</x:v>
      </x:c>
      <x:c r="Q275" t="str">
        <x:f>IF($H275="Sin envio","No",IF($H275=$L275,"Si","No"))</x:f>
        <x:v>No</x:v>
      </x:c>
      <x:c r="R275" t="str">
        <x:f>IF(AND($I275=$M275,NOT(AND($I275="Penales",$F275&lt;&gt;$G275))),"Si","No")</x:f>
        <x:v>Si</x:v>
      </x:c>
      <x:c r="S275" t="n">
        <x:f>IF(OR($N275&lt;&gt;"Finalizado",$Q275&lt;&gt;"Si"),0,IF($O275=$P275,Reglas!$B$2,0))</x:f>
        <x:v>0</x:v>
      </x:c>
      <x:c r="T275" t="n">
        <x:f>IF(OR($N275&lt;&gt;"Finalizado",$Q275&lt;&gt;"Si"),0,Reglas!$B$3)</x:f>
        <x:v>0</x:v>
      </x:c>
      <x:c r="U275" t="n">
        <x:f>IF(OR($N275&lt;&gt;"Finalizado",$Q275&lt;&gt;"Si"),0,IF($I275=$M275,Reglas!$B$4,0))</x:f>
        <x:v>0</x:v>
      </x:c>
      <x:c r="V275" t="n">
        <x:f>IF(OR($N275&lt;&gt;"Finalizado",$Q275&lt;&gt;"Si",$R275&lt;&gt;"Si"),0,IF(AND($F275=$J275,$G275=$K275),Reglas!$B$5,0))</x:f>
        <x:v>0</x:v>
      </x:c>
      <x:c r="W275" t="n">
        <x:f>IF(OR($N275&lt;&gt;"Finalizado",$Q275&lt;&gt;"Si",$R275&lt;&gt;"Si"),0,IF($F275-$G275=$J275-$K275,Reglas!$B$6,0))</x:f>
        <x:v>0</x:v>
      </x:c>
      <x:c r="X275" t="n">
        <x:f>IF(OR($N275&lt;&gt;"Finalizado",$Q275&lt;&gt;"Si",$R275&lt;&gt;"Si"),0,IF($F275=$J275,Reglas!$B$7,0))</x:f>
        <x:v>0</x:v>
      </x:c>
      <x:c r="Y275" t="n">
        <x:f>IF(OR($N275&lt;&gt;"Finalizado",$Q275&lt;&gt;"Si",$R275&lt;&gt;"Si"),0,IF($G275=$K275,Reglas!$B$8,0))</x:f>
        <x:v>0</x:v>
      </x:c>
      <x:c r="Z275" t="n">
        <x:f>SUM($S275:$Y275)</x:f>
        <x:v>0</x:v>
      </x:c>
      <x:c r="AA275" t="str">
        <x:f>IF($N275&lt;&gt;"Finalizado","Resultado pendiente",IF($H275="Sin envio","Sin respuesta",IF($Q275&lt;&gt;"Si","No acerto clasificado","OK")))</x:f>
        <x:v>No acerto clasificado</x:v>
      </x:c>
      <x:c r="AB275" t="str">
        <x:v>Google Forms semifinal + ESPN</x:v>
      </x:c>
      <x:c r="AC275" t="n">
        <x:v>0</x:v>
      </x:c>
      <x:c r="AD275" t="n">
        <x:f>$Z275-$AC275</x:f>
        <x:v>0</x:v>
      </x:c>
    </x:row>
    <x:row r="276" ht="15" hidden="0" customHeight="1">
      <x:c r="A276" t="str">
        <x:v>Semifinal</x:v>
      </x:c>
      <x:c r="B276" t="str">
        <x:v>SF1</x:v>
      </x:c>
      <x:c r="C276" t="str">
        <x:v>Jorge</x:v>
      </x:c>
      <x:c r="D276" t="str">
        <x:v>Francia</x:v>
      </x:c>
      <x:c r="E276" t="str">
        <x:v>Espana</x:v>
      </x:c>
      <x:c r="F276" t="n">
        <x:v>2</x:v>
      </x:c>
      <x:c r="G276" t="n">
        <x:v>3</x:v>
      </x:c>
      <x:c r="H276" t="str">
        <x:v>Espana</x:v>
      </x:c>
      <x:c r="I276" t="str">
        <x:v>Suplementario</x:v>
      </x:c>
      <x:c r="J276" t="n">
        <x:v>0</x:v>
      </x:c>
      <x:c r="K276" t="n">
        <x:v>2</x:v>
      </x:c>
      <x:c r="L276" t="str">
        <x:v>Espana</x:v>
      </x:c>
      <x:c r="M276" t="str">
        <x:v>90 minutos</x:v>
      </x:c>
      <x:c r="N276" t="str">
        <x:v>Finalizado</x:v>
      </x:c>
      <x:c r="O276" t="str">
        <x:f>IF($H276="Sin envio","Sin envio",IF($I276="90 minutos",IF($F276&gt;$G276,"A",IF($G276&gt;$F276,"B","E")),"E"))</x:f>
        <x:v>E</x:v>
      </x:c>
      <x:c r="P276" t="str">
        <x:f>IF($M276="90 minutos",IF($J276&gt;$K276,"A",IF($K276&gt;$J276,"B","E")),"E")</x:f>
        <x:v>B</x:v>
      </x:c>
      <x:c r="Q276" t="str">
        <x:f>IF($H276="Sin envio","No",IF($H276=$L276,"Si","No"))</x:f>
        <x:v>Si</x:v>
      </x:c>
      <x:c r="R276" t="str">
        <x:f>IF(AND($I276=$M276,NOT(AND($I276="Penales",$F276&lt;&gt;$G276))),"Si","No")</x:f>
        <x:v>No</x:v>
      </x:c>
      <x:c r="S276" t="n">
        <x:f>IF(OR($N276&lt;&gt;"Finalizado",$Q276&lt;&gt;"Si"),0,IF($O276=$P276,Reglas!$B$2,0))</x:f>
        <x:v>0</x:v>
      </x:c>
      <x:c r="T276" t="n">
        <x:f>IF(OR($N276&lt;&gt;"Finalizado",$Q276&lt;&gt;"Si"),0,Reglas!$B$3)</x:f>
        <x:v>3</x:v>
      </x:c>
      <x:c r="U276" t="n">
        <x:f>IF(OR($N276&lt;&gt;"Finalizado",$Q276&lt;&gt;"Si"),0,IF($I276=$M276,Reglas!$B$4,0))</x:f>
        <x:v>0</x:v>
      </x:c>
      <x:c r="V276" t="n">
        <x:f>IF(OR($N276&lt;&gt;"Finalizado",$Q276&lt;&gt;"Si",$R276&lt;&gt;"Si"),0,IF(AND($F276=$J276,$G276=$K276),Reglas!$B$5,0))</x:f>
        <x:v>0</x:v>
      </x:c>
      <x:c r="W276" t="n">
        <x:f>IF(OR($N276&lt;&gt;"Finalizado",$Q276&lt;&gt;"Si",$R276&lt;&gt;"Si"),0,IF($F276-$G276=$J276-$K276,Reglas!$B$6,0))</x:f>
        <x:v>0</x:v>
      </x:c>
      <x:c r="X276" t="n">
        <x:f>IF(OR($N276&lt;&gt;"Finalizado",$Q276&lt;&gt;"Si",$R276&lt;&gt;"Si"),0,IF($F276=$J276,Reglas!$B$7,0))</x:f>
        <x:v>0</x:v>
      </x:c>
      <x:c r="Y276" t="n">
        <x:f>IF(OR($N276&lt;&gt;"Finalizado",$Q276&lt;&gt;"Si",$R276&lt;&gt;"Si"),0,IF($G276=$K276,Reglas!$B$8,0))</x:f>
        <x:v>0</x:v>
      </x:c>
      <x:c r="Z276" t="n">
        <x:f>SUM($S276:$Y276)</x:f>
        <x:v>3</x:v>
      </x:c>
      <x:c r="AA276" t="str">
        <x:f>IF($N276&lt;&gt;"Finalizado","Resultado pendiente",IF($H276="Sin envio","Sin respuesta",IF($Q276&lt;&gt;"Si","No acerto clasificado","OK")))</x:f>
        <x:v>OK</x:v>
      </x:c>
      <x:c r="AB276" t="str">
        <x:v>Google Forms semifinal + ESPN</x:v>
      </x:c>
      <x:c r="AC276" t="n">
        <x:v>3</x:v>
      </x:c>
      <x:c r="AD276" t="n">
        <x:f>$Z276-$AC276</x:f>
        <x:v>0</x:v>
      </x:c>
    </x:row>
    <x:row r="277" ht="15" hidden="0" customHeight="1">
      <x:c r="A277" t="str">
        <x:v>Semifinal</x:v>
      </x:c>
      <x:c r="B277" t="str">
        <x:v>SF1</x:v>
      </x:c>
      <x:c r="C277" t="str">
        <x:v>Daniel</x:v>
      </x:c>
      <x:c r="D277" t="str">
        <x:v>Francia</x:v>
      </x:c>
      <x:c r="E277" t="str">
        <x:v>Espana</x:v>
      </x:c>
      <x:c r="F277"/>
      <x:c r="G277"/>
      <x:c r="H277" t="str">
        <x:v>Sin envio</x:v>
      </x:c>
      <x:c r="I277" t="str">
        <x:v>Sin envio</x:v>
      </x:c>
      <x:c r="J277" t="n">
        <x:v>0</x:v>
      </x:c>
      <x:c r="K277" t="n">
        <x:v>2</x:v>
      </x:c>
      <x:c r="L277" t="str">
        <x:v>Espana</x:v>
      </x:c>
      <x:c r="M277" t="str">
        <x:v>90 minutos</x:v>
      </x:c>
      <x:c r="N277" t="str">
        <x:v>Finalizado</x:v>
      </x:c>
      <x:c r="O277" t="str">
        <x:f>IF($H277="Sin envio","Sin envio",IF($I277="90 minutos",IF($F277&gt;$G277,"A",IF($G277&gt;$F277,"B","E")),"E"))</x:f>
        <x:v>Sin envio</x:v>
      </x:c>
      <x:c r="P277" t="str">
        <x:f>IF($M277="90 minutos",IF($J277&gt;$K277,"A",IF($K277&gt;$J277,"B","E")),"E")</x:f>
        <x:v>B</x:v>
      </x:c>
      <x:c r="Q277" t="str">
        <x:f>IF($H277="Sin envio","No",IF($H277=$L277,"Si","No"))</x:f>
        <x:v>No</x:v>
      </x:c>
      <x:c r="R277" t="str">
        <x:f>IF(AND($I277=$M277,NOT(AND($I277="Penales",$F277&lt;&gt;$G277))),"Si","No")</x:f>
        <x:v>No</x:v>
      </x:c>
      <x:c r="S277" t="n">
        <x:f>IF(OR($N277&lt;&gt;"Finalizado",$Q277&lt;&gt;"Si"),0,IF($O277=$P277,Reglas!$B$2,0))</x:f>
        <x:v>0</x:v>
      </x:c>
      <x:c r="T277" t="n">
        <x:f>IF(OR($N277&lt;&gt;"Finalizado",$Q277&lt;&gt;"Si"),0,Reglas!$B$3)</x:f>
        <x:v>0</x:v>
      </x:c>
      <x:c r="U277" t="n">
        <x:f>IF(OR($N277&lt;&gt;"Finalizado",$Q277&lt;&gt;"Si"),0,IF($I277=$M277,Reglas!$B$4,0))</x:f>
        <x:v>0</x:v>
      </x:c>
      <x:c r="V277" t="n">
        <x:f>IF(OR($N277&lt;&gt;"Finalizado",$Q277&lt;&gt;"Si",$R277&lt;&gt;"Si"),0,IF(AND($F277=$J277,$G277=$K277),Reglas!$B$5,0))</x:f>
        <x:v>0</x:v>
      </x:c>
      <x:c r="W277" t="n">
        <x:f>IF(OR($N277&lt;&gt;"Finalizado",$Q277&lt;&gt;"Si",$R277&lt;&gt;"Si"),0,IF($F277-$G277=$J277-$K277,Reglas!$B$6,0))</x:f>
        <x:v>0</x:v>
      </x:c>
      <x:c r="X277" t="n">
        <x:f>IF(OR($N277&lt;&gt;"Finalizado",$Q277&lt;&gt;"Si",$R277&lt;&gt;"Si"),0,IF($F277=$J277,Reglas!$B$7,0))</x:f>
        <x:v>0</x:v>
      </x:c>
      <x:c r="Y277" t="n">
        <x:f>IF(OR($N277&lt;&gt;"Finalizado",$Q277&lt;&gt;"Si",$R277&lt;&gt;"Si"),0,IF($G277=$K277,Reglas!$B$8,0))</x:f>
        <x:v>0</x:v>
      </x:c>
      <x:c r="Z277" t="n">
        <x:f>SUM($S277:$Y277)</x:f>
        <x:v>0</x:v>
      </x:c>
      <x:c r="AA277" t="str">
        <x:f>IF($N277&lt;&gt;"Finalizado","Resultado pendiente",IF($H277="Sin envio","Sin respuesta",IF($Q277&lt;&gt;"Si","No acerto clasificado","OK")))</x:f>
        <x:v>Sin respuesta</x:v>
      </x:c>
      <x:c r="AB277" t="str">
        <x:v>Google Forms semifinal + ESPN</x:v>
      </x:c>
      <x:c r="AC277" t="n">
        <x:v>0</x:v>
      </x:c>
      <x:c r="AD277" t="n">
        <x:f>$Z277-$AC277</x:f>
        <x:v>0</x:v>
      </x:c>
    </x:row>
    <x:row r="278" ht="15" hidden="0" customHeight="1">
      <x:c r="A278" t="str">
        <x:v>Semifinal</x:v>
      </x:c>
      <x:c r="B278" t="str">
        <x:v>SF1</x:v>
      </x:c>
      <x:c r="C278" t="str">
        <x:v>Arthur</x:v>
      </x:c>
      <x:c r="D278" t="str">
        <x:v>Francia</x:v>
      </x:c>
      <x:c r="E278" t="str">
        <x:v>Espana</x:v>
      </x:c>
      <x:c r="F278" t="n">
        <x:v>3</x:v>
      </x:c>
      <x:c r="G278" t="n">
        <x:v>2</x:v>
      </x:c>
      <x:c r="H278" t="str">
        <x:v>Francia</x:v>
      </x:c>
      <x:c r="I278" t="str">
        <x:v>Suplementario</x:v>
      </x:c>
      <x:c r="J278" t="n">
        <x:v>0</x:v>
      </x:c>
      <x:c r="K278" t="n">
        <x:v>2</x:v>
      </x:c>
      <x:c r="L278" t="str">
        <x:v>Espana</x:v>
      </x:c>
      <x:c r="M278" t="str">
        <x:v>90 minutos</x:v>
      </x:c>
      <x:c r="N278" t="str">
        <x:v>Finalizado</x:v>
      </x:c>
      <x:c r="O278" t="str">
        <x:f>IF($H278="Sin envio","Sin envio",IF($I278="90 minutos",IF($F278&gt;$G278,"A",IF($G278&gt;$F278,"B","E")),"E"))</x:f>
        <x:v>E</x:v>
      </x:c>
      <x:c r="P278" t="str">
        <x:f>IF($M278="90 minutos",IF($J278&gt;$K278,"A",IF($K278&gt;$J278,"B","E")),"E")</x:f>
        <x:v>B</x:v>
      </x:c>
      <x:c r="Q278" t="str">
        <x:f>IF($H278="Sin envio","No",IF($H278=$L278,"Si","No"))</x:f>
        <x:v>No</x:v>
      </x:c>
      <x:c r="R278" t="str">
        <x:f>IF(AND($I278=$M278,NOT(AND($I278="Penales",$F278&lt;&gt;$G278))),"Si","No")</x:f>
        <x:v>No</x:v>
      </x:c>
      <x:c r="S278" t="n">
        <x:f>IF(OR($N278&lt;&gt;"Finalizado",$Q278&lt;&gt;"Si"),0,IF($O278=$P278,Reglas!$B$2,0))</x:f>
        <x:v>0</x:v>
      </x:c>
      <x:c r="T278" t="n">
        <x:f>IF(OR($N278&lt;&gt;"Finalizado",$Q278&lt;&gt;"Si"),0,Reglas!$B$3)</x:f>
        <x:v>0</x:v>
      </x:c>
      <x:c r="U278" t="n">
        <x:f>IF(OR($N278&lt;&gt;"Finalizado",$Q278&lt;&gt;"Si"),0,IF($I278=$M278,Reglas!$B$4,0))</x:f>
        <x:v>0</x:v>
      </x:c>
      <x:c r="V278" t="n">
        <x:f>IF(OR($N278&lt;&gt;"Finalizado",$Q278&lt;&gt;"Si",$R278&lt;&gt;"Si"),0,IF(AND($F278=$J278,$G278=$K278),Reglas!$B$5,0))</x:f>
        <x:v>0</x:v>
      </x:c>
      <x:c r="W278" t="n">
        <x:f>IF(OR($N278&lt;&gt;"Finalizado",$Q278&lt;&gt;"Si",$R278&lt;&gt;"Si"),0,IF($F278-$G278=$J278-$K278,Reglas!$B$6,0))</x:f>
        <x:v>0</x:v>
      </x:c>
      <x:c r="X278" t="n">
        <x:f>IF(OR($N278&lt;&gt;"Finalizado",$Q278&lt;&gt;"Si",$R278&lt;&gt;"Si"),0,IF($F278=$J278,Reglas!$B$7,0))</x:f>
        <x:v>0</x:v>
      </x:c>
      <x:c r="Y278" t="n">
        <x:f>IF(OR($N278&lt;&gt;"Finalizado",$Q278&lt;&gt;"Si",$R278&lt;&gt;"Si"),0,IF($G278=$K278,Reglas!$B$8,0))</x:f>
        <x:v>0</x:v>
      </x:c>
      <x:c r="Z278" t="n">
        <x:f>SUM($S278:$Y278)</x:f>
        <x:v>0</x:v>
      </x:c>
      <x:c r="AA278" t="str">
        <x:f>IF($N278&lt;&gt;"Finalizado","Resultado pendiente",IF($H278="Sin envio","Sin respuesta",IF($Q278&lt;&gt;"Si","No acerto clasificado","OK")))</x:f>
        <x:v>No acerto clasificado</x:v>
      </x:c>
      <x:c r="AB278" t="str">
        <x:v>Google Forms semifinal + ESPN</x:v>
      </x:c>
      <x:c r="AC278" t="n">
        <x:v>0</x:v>
      </x:c>
      <x:c r="AD278" t="n">
        <x:f>$Z278-$AC278</x:f>
        <x:v>0</x:v>
      </x:c>
    </x:row>
    <x:row r="279" ht="15" hidden="0" customHeight="1">
      <x:c r="A279" t="str">
        <x:v>Semifinal</x:v>
      </x:c>
      <x:c r="B279" t="str">
        <x:v>SF1</x:v>
      </x:c>
      <x:c r="C279" t="str">
        <x:v>José Luis</x:v>
      </x:c>
      <x:c r="D279" t="str">
        <x:v>Francia</x:v>
      </x:c>
      <x:c r="E279" t="str">
        <x:v>Espana</x:v>
      </x:c>
      <x:c r="F279"/>
      <x:c r="G279"/>
      <x:c r="H279" t="str">
        <x:v>Sin envio</x:v>
      </x:c>
      <x:c r="I279" t="str">
        <x:v>Sin envio</x:v>
      </x:c>
      <x:c r="J279" t="n">
        <x:v>0</x:v>
      </x:c>
      <x:c r="K279" t="n">
        <x:v>2</x:v>
      </x:c>
      <x:c r="L279" t="str">
        <x:v>Espana</x:v>
      </x:c>
      <x:c r="M279" t="str">
        <x:v>90 minutos</x:v>
      </x:c>
      <x:c r="N279" t="str">
        <x:v>Finalizado</x:v>
      </x:c>
      <x:c r="O279" t="str">
        <x:f>IF($H279="Sin envio","Sin envio",IF($I279="90 minutos",IF($F279&gt;$G279,"A",IF($G279&gt;$F279,"B","E")),"E"))</x:f>
        <x:v>Sin envio</x:v>
      </x:c>
      <x:c r="P279" t="str">
        <x:f>IF($M279="90 minutos",IF($J279&gt;$K279,"A",IF($K279&gt;$J279,"B","E")),"E")</x:f>
        <x:v>B</x:v>
      </x:c>
      <x:c r="Q279" t="str">
        <x:f>IF($H279="Sin envio","No",IF($H279=$L279,"Si","No"))</x:f>
        <x:v>No</x:v>
      </x:c>
      <x:c r="R279" t="str">
        <x:f>IF(AND($I279=$M279,NOT(AND($I279="Penales",$F279&lt;&gt;$G279))),"Si","No")</x:f>
        <x:v>No</x:v>
      </x:c>
      <x:c r="S279" t="n">
        <x:f>IF(OR($N279&lt;&gt;"Finalizado",$Q279&lt;&gt;"Si"),0,IF($O279=$P279,Reglas!$B$2,0))</x:f>
        <x:v>0</x:v>
      </x:c>
      <x:c r="T279" t="n">
        <x:f>IF(OR($N279&lt;&gt;"Finalizado",$Q279&lt;&gt;"Si"),0,Reglas!$B$3)</x:f>
        <x:v>0</x:v>
      </x:c>
      <x:c r="U279" t="n">
        <x:f>IF(OR($N279&lt;&gt;"Finalizado",$Q279&lt;&gt;"Si"),0,IF($I279=$M279,Reglas!$B$4,0))</x:f>
        <x:v>0</x:v>
      </x:c>
      <x:c r="V279" t="n">
        <x:f>IF(OR($N279&lt;&gt;"Finalizado",$Q279&lt;&gt;"Si",$R279&lt;&gt;"Si"),0,IF(AND($F279=$J279,$G279=$K279),Reglas!$B$5,0))</x:f>
        <x:v>0</x:v>
      </x:c>
      <x:c r="W279" t="n">
        <x:f>IF(OR($N279&lt;&gt;"Finalizado",$Q279&lt;&gt;"Si",$R279&lt;&gt;"Si"),0,IF($F279-$G279=$J279-$K279,Reglas!$B$6,0))</x:f>
        <x:v>0</x:v>
      </x:c>
      <x:c r="X279" t="n">
        <x:f>IF(OR($N279&lt;&gt;"Finalizado",$Q279&lt;&gt;"Si",$R279&lt;&gt;"Si"),0,IF($F279=$J279,Reglas!$B$7,0))</x:f>
        <x:v>0</x:v>
      </x:c>
      <x:c r="Y279" t="n">
        <x:f>IF(OR($N279&lt;&gt;"Finalizado",$Q279&lt;&gt;"Si",$R279&lt;&gt;"Si"),0,IF($G279=$K279,Reglas!$B$8,0))</x:f>
        <x:v>0</x:v>
      </x:c>
      <x:c r="Z279" t="n">
        <x:f>SUM($S279:$Y279)</x:f>
        <x:v>0</x:v>
      </x:c>
      <x:c r="AA279" t="str">
        <x:f>IF($N279&lt;&gt;"Finalizado","Resultado pendiente",IF($H279="Sin envio","Sin respuesta",IF($Q279&lt;&gt;"Si","No acerto clasificado","OK")))</x:f>
        <x:v>Sin respuesta</x:v>
      </x:c>
      <x:c r="AB279" t="str">
        <x:v>Google Forms semifinal + ESPN</x:v>
      </x:c>
      <x:c r="AC279" t="n">
        <x:v>0</x:v>
      </x:c>
      <x:c r="AD279" t="n">
        <x:f>$Z279-$AC279</x:f>
        <x:v>0</x:v>
      </x:c>
    </x:row>
    <x:row r="280" ht="15" hidden="0" customHeight="1">
      <x:c r="A280" t="str">
        <x:v>Semifinal</x:v>
      </x:c>
      <x:c r="B280" t="str">
        <x:v>SF1</x:v>
      </x:c>
      <x:c r="C280" t="str">
        <x:v>Marcelo</x:v>
      </x:c>
      <x:c r="D280" t="str">
        <x:v>Francia</x:v>
      </x:c>
      <x:c r="E280" t="str">
        <x:v>Espana</x:v>
      </x:c>
      <x:c r="F280"/>
      <x:c r="G280"/>
      <x:c r="H280" t="str">
        <x:v>Sin envio</x:v>
      </x:c>
      <x:c r="I280" t="str">
        <x:v>Sin envio</x:v>
      </x:c>
      <x:c r="J280" t="n">
        <x:v>0</x:v>
      </x:c>
      <x:c r="K280" t="n">
        <x:v>2</x:v>
      </x:c>
      <x:c r="L280" t="str">
        <x:v>Espana</x:v>
      </x:c>
      <x:c r="M280" t="str">
        <x:v>90 minutos</x:v>
      </x:c>
      <x:c r="N280" t="str">
        <x:v>Finalizado</x:v>
      </x:c>
      <x:c r="O280" t="str">
        <x:f>IF($H280="Sin envio","Sin envio",IF($I280="90 minutos",IF($F280&gt;$G280,"A",IF($G280&gt;$F280,"B","E")),"E"))</x:f>
        <x:v>Sin envio</x:v>
      </x:c>
      <x:c r="P280" t="str">
        <x:f>IF($M280="90 minutos",IF($J280&gt;$K280,"A",IF($K280&gt;$J280,"B","E")),"E")</x:f>
        <x:v>B</x:v>
      </x:c>
      <x:c r="Q280" t="str">
        <x:f>IF($H280="Sin envio","No",IF($H280=$L280,"Si","No"))</x:f>
        <x:v>No</x:v>
      </x:c>
      <x:c r="R280" t="str">
        <x:f>IF(AND($I280=$M280,NOT(AND($I280="Penales",$F280&lt;&gt;$G280))),"Si","No")</x:f>
        <x:v>No</x:v>
      </x:c>
      <x:c r="S280" t="n">
        <x:f>IF(OR($N280&lt;&gt;"Finalizado",$Q280&lt;&gt;"Si"),0,IF($O280=$P280,Reglas!$B$2,0))</x:f>
        <x:v>0</x:v>
      </x:c>
      <x:c r="T280" t="n">
        <x:f>IF(OR($N280&lt;&gt;"Finalizado",$Q280&lt;&gt;"Si"),0,Reglas!$B$3)</x:f>
        <x:v>0</x:v>
      </x:c>
      <x:c r="U280" t="n">
        <x:f>IF(OR($N280&lt;&gt;"Finalizado",$Q280&lt;&gt;"Si"),0,IF($I280=$M280,Reglas!$B$4,0))</x:f>
        <x:v>0</x:v>
      </x:c>
      <x:c r="V280" t="n">
        <x:f>IF(OR($N280&lt;&gt;"Finalizado",$Q280&lt;&gt;"Si",$R280&lt;&gt;"Si"),0,IF(AND($F280=$J280,$G280=$K280),Reglas!$B$5,0))</x:f>
        <x:v>0</x:v>
      </x:c>
      <x:c r="W280" t="n">
        <x:f>IF(OR($N280&lt;&gt;"Finalizado",$Q280&lt;&gt;"Si",$R280&lt;&gt;"Si"),0,IF($F280-$G280=$J280-$K280,Reglas!$B$6,0))</x:f>
        <x:v>0</x:v>
      </x:c>
      <x:c r="X280" t="n">
        <x:f>IF(OR($N280&lt;&gt;"Finalizado",$Q280&lt;&gt;"Si",$R280&lt;&gt;"Si"),0,IF($F280=$J280,Reglas!$B$7,0))</x:f>
        <x:v>0</x:v>
      </x:c>
      <x:c r="Y280" t="n">
        <x:f>IF(OR($N280&lt;&gt;"Finalizado",$Q280&lt;&gt;"Si",$R280&lt;&gt;"Si"),0,IF($G280=$K280,Reglas!$B$8,0))</x:f>
        <x:v>0</x:v>
      </x:c>
      <x:c r="Z280" t="n">
        <x:f>SUM($S280:$Y280)</x:f>
        <x:v>0</x:v>
      </x:c>
      <x:c r="AA280" t="str">
        <x:f>IF($N280&lt;&gt;"Finalizado","Resultado pendiente",IF($H280="Sin envio","Sin respuesta",IF($Q280&lt;&gt;"Si","No acerto clasificado","OK")))</x:f>
        <x:v>Sin respuesta</x:v>
      </x:c>
      <x:c r="AB280" t="str">
        <x:v>Google Forms semifinal + ESPN</x:v>
      </x:c>
      <x:c r="AC280" t="n">
        <x:v>0</x:v>
      </x:c>
      <x:c r="AD280" t="n">
        <x:f>$Z280-$AC280</x:f>
        <x:v>0</x:v>
      </x:c>
    </x:row>
    <x:row r="281" ht="15" hidden="0" customHeight="1">
      <x:c r="A281" t="str">
        <x:v>Semifinal</x:v>
      </x:c>
      <x:c r="B281" t="str">
        <x:v>SF1</x:v>
      </x:c>
      <x:c r="C281" t="str">
        <x:v>Anny</x:v>
      </x:c>
      <x:c r="D281" t="str">
        <x:v>Francia</x:v>
      </x:c>
      <x:c r="E281" t="str">
        <x:v>Espana</x:v>
      </x:c>
      <x:c r="F281" t="n">
        <x:v>3</x:v>
      </x:c>
      <x:c r="G281" t="n">
        <x:v>2</x:v>
      </x:c>
      <x:c r="H281" t="str">
        <x:v>Francia</x:v>
      </x:c>
      <x:c r="I281" t="str">
        <x:v>90 minutos</x:v>
      </x:c>
      <x:c r="J281" t="n">
        <x:v>0</x:v>
      </x:c>
      <x:c r="K281" t="n">
        <x:v>2</x:v>
      </x:c>
      <x:c r="L281" t="str">
        <x:v>Espana</x:v>
      </x:c>
      <x:c r="M281" t="str">
        <x:v>90 minutos</x:v>
      </x:c>
      <x:c r="N281" t="str">
        <x:v>Finalizado</x:v>
      </x:c>
      <x:c r="O281" t="str">
        <x:f>IF($H281="Sin envio","Sin envio",IF($I281="90 minutos",IF($F281&gt;$G281,"A",IF($G281&gt;$F281,"B","E")),"E"))</x:f>
        <x:v>A</x:v>
      </x:c>
      <x:c r="P281" t="str">
        <x:f>IF($M281="90 minutos",IF($J281&gt;$K281,"A",IF($K281&gt;$J281,"B","E")),"E")</x:f>
        <x:v>B</x:v>
      </x:c>
      <x:c r="Q281" t="str">
        <x:f>IF($H281="Sin envio","No",IF($H281=$L281,"Si","No"))</x:f>
        <x:v>No</x:v>
      </x:c>
      <x:c r="R281" t="str">
        <x:f>IF(AND($I281=$M281,NOT(AND($I281="Penales",$F281&lt;&gt;$G281))),"Si","No")</x:f>
        <x:v>Si</x:v>
      </x:c>
      <x:c r="S281" t="n">
        <x:f>IF(OR($N281&lt;&gt;"Finalizado",$Q281&lt;&gt;"Si"),0,IF($O281=$P281,Reglas!$B$2,0))</x:f>
        <x:v>0</x:v>
      </x:c>
      <x:c r="T281" t="n">
        <x:f>IF(OR($N281&lt;&gt;"Finalizado",$Q281&lt;&gt;"Si"),0,Reglas!$B$3)</x:f>
        <x:v>0</x:v>
      </x:c>
      <x:c r="U281" t="n">
        <x:f>IF(OR($N281&lt;&gt;"Finalizado",$Q281&lt;&gt;"Si"),0,IF($I281=$M281,Reglas!$B$4,0))</x:f>
        <x:v>0</x:v>
      </x:c>
      <x:c r="V281" t="n">
        <x:f>IF(OR($N281&lt;&gt;"Finalizado",$Q281&lt;&gt;"Si",$R281&lt;&gt;"Si"),0,IF(AND($F281=$J281,$G281=$K281),Reglas!$B$5,0))</x:f>
        <x:v>0</x:v>
      </x:c>
      <x:c r="W281" t="n">
        <x:f>IF(OR($N281&lt;&gt;"Finalizado",$Q281&lt;&gt;"Si",$R281&lt;&gt;"Si"),0,IF($F281-$G281=$J281-$K281,Reglas!$B$6,0))</x:f>
        <x:v>0</x:v>
      </x:c>
      <x:c r="X281" t="n">
        <x:f>IF(OR($N281&lt;&gt;"Finalizado",$Q281&lt;&gt;"Si",$R281&lt;&gt;"Si"),0,IF($F281=$J281,Reglas!$B$7,0))</x:f>
        <x:v>0</x:v>
      </x:c>
      <x:c r="Y281" t="n">
        <x:f>IF(OR($N281&lt;&gt;"Finalizado",$Q281&lt;&gt;"Si",$R281&lt;&gt;"Si"),0,IF($G281=$K281,Reglas!$B$8,0))</x:f>
        <x:v>0</x:v>
      </x:c>
      <x:c r="Z281" t="n">
        <x:f>SUM($S281:$Y281)</x:f>
        <x:v>0</x:v>
      </x:c>
      <x:c r="AA281" t="str">
        <x:f>IF($N281&lt;&gt;"Finalizado","Resultado pendiente",IF($H281="Sin envio","Sin respuesta",IF($Q281&lt;&gt;"Si","No acerto clasificado","OK")))</x:f>
        <x:v>No acerto clasificado</x:v>
      </x:c>
      <x:c r="AB281" t="str">
        <x:v>Google Forms semifinal + ESPN</x:v>
      </x:c>
      <x:c r="AC281" t="n">
        <x:v>0</x:v>
      </x:c>
      <x:c r="AD281" t="n">
        <x:f>$Z281-$AC281</x:f>
        <x:v>0</x:v>
      </x:c>
    </x:row>
    <x:row r="282" ht="15" hidden="0" customHeight="1">
      <x:c r="A282" t="str">
        <x:v>Semifinal</x:v>
      </x:c>
      <x:c r="B282" t="str">
        <x:v>SF1</x:v>
      </x:c>
      <x:c r="C282" t="str">
        <x:v>Moisés</x:v>
      </x:c>
      <x:c r="D282" t="str">
        <x:v>Francia</x:v>
      </x:c>
      <x:c r="E282" t="str">
        <x:v>Espana</x:v>
      </x:c>
      <x:c r="F282" t="n">
        <x:v>2</x:v>
      </x:c>
      <x:c r="G282" t="n">
        <x:v>1</x:v>
      </x:c>
      <x:c r="H282" t="str">
        <x:v>Francia</x:v>
      </x:c>
      <x:c r="I282" t="str">
        <x:v>Penales</x:v>
      </x:c>
      <x:c r="J282" t="n">
        <x:v>0</x:v>
      </x:c>
      <x:c r="K282" t="n">
        <x:v>2</x:v>
      </x:c>
      <x:c r="L282" t="str">
        <x:v>Espana</x:v>
      </x:c>
      <x:c r="M282" t="str">
        <x:v>90 minutos</x:v>
      </x:c>
      <x:c r="N282" t="str">
        <x:v>Finalizado</x:v>
      </x:c>
      <x:c r="O282" t="str">
        <x:f>IF($H282="Sin envio","Sin envio",IF($I282="90 minutos",IF($F282&gt;$G282,"A",IF($G282&gt;$F282,"B","E")),"E"))</x:f>
        <x:v>E</x:v>
      </x:c>
      <x:c r="P282" t="str">
        <x:f>IF($M282="90 minutos",IF($J282&gt;$K282,"A",IF($K282&gt;$J282,"B","E")),"E")</x:f>
        <x:v>B</x:v>
      </x:c>
      <x:c r="Q282" t="str">
        <x:f>IF($H282="Sin envio","No",IF($H282=$L282,"Si","No"))</x:f>
        <x:v>No</x:v>
      </x:c>
      <x:c r="R282" t="str">
        <x:f>IF(AND($I282=$M282,NOT(AND($I282="Penales",$F282&lt;&gt;$G282))),"Si","No")</x:f>
        <x:v>No</x:v>
      </x:c>
      <x:c r="S282" t="n">
        <x:f>IF(OR($N282&lt;&gt;"Finalizado",$Q282&lt;&gt;"Si"),0,IF($O282=$P282,Reglas!$B$2,0))</x:f>
        <x:v>0</x:v>
      </x:c>
      <x:c r="T282" t="n">
        <x:f>IF(OR($N282&lt;&gt;"Finalizado",$Q282&lt;&gt;"Si"),0,Reglas!$B$3)</x:f>
        <x:v>0</x:v>
      </x:c>
      <x:c r="U282" t="n">
        <x:f>IF(OR($N282&lt;&gt;"Finalizado",$Q282&lt;&gt;"Si"),0,IF($I282=$M282,Reglas!$B$4,0))</x:f>
        <x:v>0</x:v>
      </x:c>
      <x:c r="V282" t="n">
        <x:f>IF(OR($N282&lt;&gt;"Finalizado",$Q282&lt;&gt;"Si",$R282&lt;&gt;"Si"),0,IF(AND($F282=$J282,$G282=$K282),Reglas!$B$5,0))</x:f>
        <x:v>0</x:v>
      </x:c>
      <x:c r="W282" t="n">
        <x:f>IF(OR($N282&lt;&gt;"Finalizado",$Q282&lt;&gt;"Si",$R282&lt;&gt;"Si"),0,IF($F282-$G282=$J282-$K282,Reglas!$B$6,0))</x:f>
        <x:v>0</x:v>
      </x:c>
      <x:c r="X282" t="n">
        <x:f>IF(OR($N282&lt;&gt;"Finalizado",$Q282&lt;&gt;"Si",$R282&lt;&gt;"Si"),0,IF($F282=$J282,Reglas!$B$7,0))</x:f>
        <x:v>0</x:v>
      </x:c>
      <x:c r="Y282" t="n">
        <x:f>IF(OR($N282&lt;&gt;"Finalizado",$Q282&lt;&gt;"Si",$R282&lt;&gt;"Si"),0,IF($G282=$K282,Reglas!$B$8,0))</x:f>
        <x:v>0</x:v>
      </x:c>
      <x:c r="Z282" t="n">
        <x:f>SUM($S282:$Y282)</x:f>
        <x:v>0</x:v>
      </x:c>
      <x:c r="AA282" t="str">
        <x:f>IF($N282&lt;&gt;"Finalizado","Resultado pendiente",IF($H282="Sin envio","Sin respuesta",IF($Q282&lt;&gt;"Si","No acerto clasificado","OK")))</x:f>
        <x:v>No acerto clasificado</x:v>
      </x:c>
      <x:c r="AB282" t="str">
        <x:v>Google Forms semifinal + ESPN</x:v>
      </x:c>
      <x:c r="AC282" t="n">
        <x:v>0</x:v>
      </x:c>
      <x:c r="AD282" t="n">
        <x:f>$Z282-$AC282</x:f>
        <x:v>0</x:v>
      </x:c>
    </x:row>
    <x:row r="283" ht="15" hidden="0" customHeight="1">
      <x:c r="A283" t="str">
        <x:v>Semifinal</x:v>
      </x:c>
      <x:c r="B283" t="str">
        <x:v>SF1</x:v>
      </x:c>
      <x:c r="C283" t="str">
        <x:v>Alex</x:v>
      </x:c>
      <x:c r="D283" t="str">
        <x:v>Francia</x:v>
      </x:c>
      <x:c r="E283" t="str">
        <x:v>Espana</x:v>
      </x:c>
      <x:c r="F283" t="n">
        <x:v>3</x:v>
      </x:c>
      <x:c r="G283" t="n">
        <x:v>2</x:v>
      </x:c>
      <x:c r="H283" t="str">
        <x:v>Francia</x:v>
      </x:c>
      <x:c r="I283" t="str">
        <x:v>Suplementario</x:v>
      </x:c>
      <x:c r="J283" t="n">
        <x:v>0</x:v>
      </x:c>
      <x:c r="K283" t="n">
        <x:v>2</x:v>
      </x:c>
      <x:c r="L283" t="str">
        <x:v>Espana</x:v>
      </x:c>
      <x:c r="M283" t="str">
        <x:v>90 minutos</x:v>
      </x:c>
      <x:c r="N283" t="str">
        <x:v>Finalizado</x:v>
      </x:c>
      <x:c r="O283" t="str">
        <x:f>IF($H283="Sin envio","Sin envio",IF($I283="90 minutos",IF($F283&gt;$G283,"A",IF($G283&gt;$F283,"B","E")),"E"))</x:f>
        <x:v>E</x:v>
      </x:c>
      <x:c r="P283" t="str">
        <x:f>IF($M283="90 minutos",IF($J283&gt;$K283,"A",IF($K283&gt;$J283,"B","E")),"E")</x:f>
        <x:v>B</x:v>
      </x:c>
      <x:c r="Q283" t="str">
        <x:f>IF($H283="Sin envio","No",IF($H283=$L283,"Si","No"))</x:f>
        <x:v>No</x:v>
      </x:c>
      <x:c r="R283" t="str">
        <x:f>IF(AND($I283=$M283,NOT(AND($I283="Penales",$F283&lt;&gt;$G283))),"Si","No")</x:f>
        <x:v>No</x:v>
      </x:c>
      <x:c r="S283" t="n">
        <x:f>IF(OR($N283&lt;&gt;"Finalizado",$Q283&lt;&gt;"Si"),0,IF($O283=$P283,Reglas!$B$2,0))</x:f>
        <x:v>0</x:v>
      </x:c>
      <x:c r="T283" t="n">
        <x:f>IF(OR($N283&lt;&gt;"Finalizado",$Q283&lt;&gt;"Si"),0,Reglas!$B$3)</x:f>
        <x:v>0</x:v>
      </x:c>
      <x:c r="U283" t="n">
        <x:f>IF(OR($N283&lt;&gt;"Finalizado",$Q283&lt;&gt;"Si"),0,IF($I283=$M283,Reglas!$B$4,0))</x:f>
        <x:v>0</x:v>
      </x:c>
      <x:c r="V283" t="n">
        <x:f>IF(OR($N283&lt;&gt;"Finalizado",$Q283&lt;&gt;"Si",$R283&lt;&gt;"Si"),0,IF(AND($F283=$J283,$G283=$K283),Reglas!$B$5,0))</x:f>
        <x:v>0</x:v>
      </x:c>
      <x:c r="W283" t="n">
        <x:f>IF(OR($N283&lt;&gt;"Finalizado",$Q283&lt;&gt;"Si",$R283&lt;&gt;"Si"),0,IF($F283-$G283=$J283-$K283,Reglas!$B$6,0))</x:f>
        <x:v>0</x:v>
      </x:c>
      <x:c r="X283" t="n">
        <x:f>IF(OR($N283&lt;&gt;"Finalizado",$Q283&lt;&gt;"Si",$R283&lt;&gt;"Si"),0,IF($F283=$J283,Reglas!$B$7,0))</x:f>
        <x:v>0</x:v>
      </x:c>
      <x:c r="Y283" t="n">
        <x:f>IF(OR($N283&lt;&gt;"Finalizado",$Q283&lt;&gt;"Si",$R283&lt;&gt;"Si"),0,IF($G283=$K283,Reglas!$B$8,0))</x:f>
        <x:v>0</x:v>
      </x:c>
      <x:c r="Z283" t="n">
        <x:f>SUM($S283:$Y283)</x:f>
        <x:v>0</x:v>
      </x:c>
      <x:c r="AA283" t="str">
        <x:f>IF($N283&lt;&gt;"Finalizado","Resultado pendiente",IF($H283="Sin envio","Sin respuesta",IF($Q283&lt;&gt;"Si","No acerto clasificado","OK")))</x:f>
        <x:v>No acerto clasificado</x:v>
      </x:c>
      <x:c r="AB283" t="str">
        <x:v>Google Forms semifinal + ESPN</x:v>
      </x:c>
      <x:c r="AC283" t="n">
        <x:v>0</x:v>
      </x:c>
      <x:c r="AD283" t="n">
        <x:f>$Z283-$AC283</x:f>
        <x:v>0</x:v>
      </x:c>
    </x:row>
    <x:row r="284" ht="15" hidden="0" customHeight="1">
      <x:c r="A284" t="str">
        <x:v>Semifinal</x:v>
      </x:c>
      <x:c r="B284" t="str">
        <x:v>SF1</x:v>
      </x:c>
      <x:c r="C284" t="str">
        <x:v>Omar</x:v>
      </x:c>
      <x:c r="D284" t="str">
        <x:v>Francia</x:v>
      </x:c>
      <x:c r="E284" t="str">
        <x:v>Espana</x:v>
      </x:c>
      <x:c r="F284"/>
      <x:c r="G284"/>
      <x:c r="H284" t="str">
        <x:v>Sin envio</x:v>
      </x:c>
      <x:c r="I284" t="str">
        <x:v>Sin envio</x:v>
      </x:c>
      <x:c r="J284" t="n">
        <x:v>0</x:v>
      </x:c>
      <x:c r="K284" t="n">
        <x:v>2</x:v>
      </x:c>
      <x:c r="L284" t="str">
        <x:v>Espana</x:v>
      </x:c>
      <x:c r="M284" t="str">
        <x:v>90 minutos</x:v>
      </x:c>
      <x:c r="N284" t="str">
        <x:v>Finalizado</x:v>
      </x:c>
      <x:c r="O284" t="str">
        <x:f>IF($H284="Sin envio","Sin envio",IF($I284="90 minutos",IF($F284&gt;$G284,"A",IF($G284&gt;$F284,"B","E")),"E"))</x:f>
        <x:v>Sin envio</x:v>
      </x:c>
      <x:c r="P284" t="str">
        <x:f>IF($M284="90 minutos",IF($J284&gt;$K284,"A",IF($K284&gt;$J284,"B","E")),"E")</x:f>
        <x:v>B</x:v>
      </x:c>
      <x:c r="Q284" t="str">
        <x:f>IF($H284="Sin envio","No",IF($H284=$L284,"Si","No"))</x:f>
        <x:v>No</x:v>
      </x:c>
      <x:c r="R284" t="str">
        <x:f>IF(AND($I284=$M284,NOT(AND($I284="Penales",$F284&lt;&gt;$G284))),"Si","No")</x:f>
        <x:v>No</x:v>
      </x:c>
      <x:c r="S284" t="n">
        <x:f>IF(OR($N284&lt;&gt;"Finalizado",$Q284&lt;&gt;"Si"),0,IF($O284=$P284,Reglas!$B$2,0))</x:f>
        <x:v>0</x:v>
      </x:c>
      <x:c r="T284" t="n">
        <x:f>IF(OR($N284&lt;&gt;"Finalizado",$Q284&lt;&gt;"Si"),0,Reglas!$B$3)</x:f>
        <x:v>0</x:v>
      </x:c>
      <x:c r="U284" t="n">
        <x:f>IF(OR($N284&lt;&gt;"Finalizado",$Q284&lt;&gt;"Si"),0,IF($I284=$M284,Reglas!$B$4,0))</x:f>
        <x:v>0</x:v>
      </x:c>
      <x:c r="V284" t="n">
        <x:f>IF(OR($N284&lt;&gt;"Finalizado",$Q284&lt;&gt;"Si",$R284&lt;&gt;"Si"),0,IF(AND($F284=$J284,$G284=$K284),Reglas!$B$5,0))</x:f>
        <x:v>0</x:v>
      </x:c>
      <x:c r="W284" t="n">
        <x:f>IF(OR($N284&lt;&gt;"Finalizado",$Q284&lt;&gt;"Si",$R284&lt;&gt;"Si"),0,IF($F284-$G284=$J284-$K284,Reglas!$B$6,0))</x:f>
        <x:v>0</x:v>
      </x:c>
      <x:c r="X284" t="n">
        <x:f>IF(OR($N284&lt;&gt;"Finalizado",$Q284&lt;&gt;"Si",$R284&lt;&gt;"Si"),0,IF($F284=$J284,Reglas!$B$7,0))</x:f>
        <x:v>0</x:v>
      </x:c>
      <x:c r="Y284" t="n">
        <x:f>IF(OR($N284&lt;&gt;"Finalizado",$Q284&lt;&gt;"Si",$R284&lt;&gt;"Si"),0,IF($G284=$K284,Reglas!$B$8,0))</x:f>
        <x:v>0</x:v>
      </x:c>
      <x:c r="Z284" t="n">
        <x:f>SUM($S284:$Y284)</x:f>
        <x:v>0</x:v>
      </x:c>
      <x:c r="AA284" t="str">
        <x:f>IF($N284&lt;&gt;"Finalizado","Resultado pendiente",IF($H284="Sin envio","Sin respuesta",IF($Q284&lt;&gt;"Si","No acerto clasificado","OK")))</x:f>
        <x:v>Sin respuesta</x:v>
      </x:c>
      <x:c r="AB284" t="str">
        <x:v>Google Forms semifinal + ESPN</x:v>
      </x:c>
      <x:c r="AC284" t="n">
        <x:v>0</x:v>
      </x:c>
      <x:c r="AD284" t="n">
        <x:f>$Z284-$AC284</x:f>
        <x:v>0</x:v>
      </x:c>
    </x:row>
    <x:row r="285" ht="15" hidden="0" customHeight="1">
      <x:c r="A285" t="str">
        <x:v>Semifinal</x:v>
      </x:c>
      <x:c r="B285" t="str">
        <x:v>SF1</x:v>
      </x:c>
      <x:c r="C285" t="str">
        <x:v>Fernando</x:v>
      </x:c>
      <x:c r="D285" t="str">
        <x:v>Francia</x:v>
      </x:c>
      <x:c r="E285" t="str">
        <x:v>Espana</x:v>
      </x:c>
      <x:c r="F285" t="n">
        <x:v>2</x:v>
      </x:c>
      <x:c r="G285" t="n">
        <x:v>1</x:v>
      </x:c>
      <x:c r="H285" t="str">
        <x:v>Francia</x:v>
      </x:c>
      <x:c r="I285" t="str">
        <x:v>90 minutos</x:v>
      </x:c>
      <x:c r="J285" t="n">
        <x:v>0</x:v>
      </x:c>
      <x:c r="K285" t="n">
        <x:v>2</x:v>
      </x:c>
      <x:c r="L285" t="str">
        <x:v>Espana</x:v>
      </x:c>
      <x:c r="M285" t="str">
        <x:v>90 minutos</x:v>
      </x:c>
      <x:c r="N285" t="str">
        <x:v>Finalizado</x:v>
      </x:c>
      <x:c r="O285" t="str">
        <x:f>IF($H285="Sin envio","Sin envio",IF($I285="90 minutos",IF($F285&gt;$G285,"A",IF($G285&gt;$F285,"B","E")),"E"))</x:f>
        <x:v>A</x:v>
      </x:c>
      <x:c r="P285" t="str">
        <x:f>IF($M285="90 minutos",IF($J285&gt;$K285,"A",IF($K285&gt;$J285,"B","E")),"E")</x:f>
        <x:v>B</x:v>
      </x:c>
      <x:c r="Q285" t="str">
        <x:f>IF($H285="Sin envio","No",IF($H285=$L285,"Si","No"))</x:f>
        <x:v>No</x:v>
      </x:c>
      <x:c r="R285" t="str">
        <x:f>IF(AND($I285=$M285,NOT(AND($I285="Penales",$F285&lt;&gt;$G285))),"Si","No")</x:f>
        <x:v>Si</x:v>
      </x:c>
      <x:c r="S285" t="n">
        <x:f>IF(OR($N285&lt;&gt;"Finalizado",$Q285&lt;&gt;"Si"),0,IF($O285=$P285,Reglas!$B$2,0))</x:f>
        <x:v>0</x:v>
      </x:c>
      <x:c r="T285" t="n">
        <x:f>IF(OR($N285&lt;&gt;"Finalizado",$Q285&lt;&gt;"Si"),0,Reglas!$B$3)</x:f>
        <x:v>0</x:v>
      </x:c>
      <x:c r="U285" t="n">
        <x:f>IF(OR($N285&lt;&gt;"Finalizado",$Q285&lt;&gt;"Si"),0,IF($I285=$M285,Reglas!$B$4,0))</x:f>
        <x:v>0</x:v>
      </x:c>
      <x:c r="V285" t="n">
        <x:f>IF(OR($N285&lt;&gt;"Finalizado",$Q285&lt;&gt;"Si",$R285&lt;&gt;"Si"),0,IF(AND($F285=$J285,$G285=$K285),Reglas!$B$5,0))</x:f>
        <x:v>0</x:v>
      </x:c>
      <x:c r="W285" t="n">
        <x:f>IF(OR($N285&lt;&gt;"Finalizado",$Q285&lt;&gt;"Si",$R285&lt;&gt;"Si"),0,IF($F285-$G285=$J285-$K285,Reglas!$B$6,0))</x:f>
        <x:v>0</x:v>
      </x:c>
      <x:c r="X285" t="n">
        <x:f>IF(OR($N285&lt;&gt;"Finalizado",$Q285&lt;&gt;"Si",$R285&lt;&gt;"Si"),0,IF($F285=$J285,Reglas!$B$7,0))</x:f>
        <x:v>0</x:v>
      </x:c>
      <x:c r="Y285" t="n">
        <x:f>IF(OR($N285&lt;&gt;"Finalizado",$Q285&lt;&gt;"Si",$R285&lt;&gt;"Si"),0,IF($G285=$K285,Reglas!$B$8,0))</x:f>
        <x:v>0</x:v>
      </x:c>
      <x:c r="Z285" t="n">
        <x:f>SUM($S285:$Y285)</x:f>
        <x:v>0</x:v>
      </x:c>
      <x:c r="AA285" t="str">
        <x:f>IF($N285&lt;&gt;"Finalizado","Resultado pendiente",IF($H285="Sin envio","Sin respuesta",IF($Q285&lt;&gt;"Si","No acerto clasificado","OK")))</x:f>
        <x:v>No acerto clasificado</x:v>
      </x:c>
      <x:c r="AB285" t="str">
        <x:v>Google Forms semifinal + ESPN</x:v>
      </x:c>
      <x:c r="AC285" t="n">
        <x:v>0</x:v>
      </x:c>
      <x:c r="AD285" t="n">
        <x:f>$Z285-$AC285</x:f>
        <x:v>0</x:v>
      </x:c>
    </x:row>
    <x:row r="286" ht="15" hidden="0" customHeight="1">
      <x:c r="A286" t="str">
        <x:v>Semifinal</x:v>
      </x:c>
      <x:c r="B286" t="str">
        <x:v>SF1</x:v>
      </x:c>
      <x:c r="C286" t="str">
        <x:v>Diana</x:v>
      </x:c>
      <x:c r="D286" t="str">
        <x:v>Francia</x:v>
      </x:c>
      <x:c r="E286" t="str">
        <x:v>Espana</x:v>
      </x:c>
      <x:c r="F286"/>
      <x:c r="G286"/>
      <x:c r="H286" t="str">
        <x:v>Sin envio</x:v>
      </x:c>
      <x:c r="I286" t="str">
        <x:v>Sin envio</x:v>
      </x:c>
      <x:c r="J286" t="n">
        <x:v>0</x:v>
      </x:c>
      <x:c r="K286" t="n">
        <x:v>2</x:v>
      </x:c>
      <x:c r="L286" t="str">
        <x:v>Espana</x:v>
      </x:c>
      <x:c r="M286" t="str">
        <x:v>90 minutos</x:v>
      </x:c>
      <x:c r="N286" t="str">
        <x:v>Finalizado</x:v>
      </x:c>
      <x:c r="O286" t="str">
        <x:f>IF($H286="Sin envio","Sin envio",IF($I286="90 minutos",IF($F286&gt;$G286,"A",IF($G286&gt;$F286,"B","E")),"E"))</x:f>
        <x:v>Sin envio</x:v>
      </x:c>
      <x:c r="P286" t="str">
        <x:f>IF($M286="90 minutos",IF($J286&gt;$K286,"A",IF($K286&gt;$J286,"B","E")),"E")</x:f>
        <x:v>B</x:v>
      </x:c>
      <x:c r="Q286" t="str">
        <x:f>IF($H286="Sin envio","No",IF($H286=$L286,"Si","No"))</x:f>
        <x:v>No</x:v>
      </x:c>
      <x:c r="R286" t="str">
        <x:f>IF(AND($I286=$M286,NOT(AND($I286="Penales",$F286&lt;&gt;$G286))),"Si","No")</x:f>
        <x:v>No</x:v>
      </x:c>
      <x:c r="S286" t="n">
        <x:f>IF(OR($N286&lt;&gt;"Finalizado",$Q286&lt;&gt;"Si"),0,IF($O286=$P286,Reglas!$B$2,0))</x:f>
        <x:v>0</x:v>
      </x:c>
      <x:c r="T286" t="n">
        <x:f>IF(OR($N286&lt;&gt;"Finalizado",$Q286&lt;&gt;"Si"),0,Reglas!$B$3)</x:f>
        <x:v>0</x:v>
      </x:c>
      <x:c r="U286" t="n">
        <x:f>IF(OR($N286&lt;&gt;"Finalizado",$Q286&lt;&gt;"Si"),0,IF($I286=$M286,Reglas!$B$4,0))</x:f>
        <x:v>0</x:v>
      </x:c>
      <x:c r="V286" t="n">
        <x:f>IF(OR($N286&lt;&gt;"Finalizado",$Q286&lt;&gt;"Si",$R286&lt;&gt;"Si"),0,IF(AND($F286=$J286,$G286=$K286),Reglas!$B$5,0))</x:f>
        <x:v>0</x:v>
      </x:c>
      <x:c r="W286" t="n">
        <x:f>IF(OR($N286&lt;&gt;"Finalizado",$Q286&lt;&gt;"Si",$R286&lt;&gt;"Si"),0,IF($F286-$G286=$J286-$K286,Reglas!$B$6,0))</x:f>
        <x:v>0</x:v>
      </x:c>
      <x:c r="X286" t="n">
        <x:f>IF(OR($N286&lt;&gt;"Finalizado",$Q286&lt;&gt;"Si",$R286&lt;&gt;"Si"),0,IF($F286=$J286,Reglas!$B$7,0))</x:f>
        <x:v>0</x:v>
      </x:c>
      <x:c r="Y286" t="n">
        <x:f>IF(OR($N286&lt;&gt;"Finalizado",$Q286&lt;&gt;"Si",$R286&lt;&gt;"Si"),0,IF($G286=$K286,Reglas!$B$8,0))</x:f>
        <x:v>0</x:v>
      </x:c>
      <x:c r="Z286" t="n">
        <x:f>SUM($S286:$Y286)</x:f>
        <x:v>0</x:v>
      </x:c>
      <x:c r="AA286" t="str">
        <x:f>IF($N286&lt;&gt;"Finalizado","Resultado pendiente",IF($H286="Sin envio","Sin respuesta",IF($Q286&lt;&gt;"Si","No acerto clasificado","OK")))</x:f>
        <x:v>Sin respuesta</x:v>
      </x:c>
      <x:c r="AB286" t="str">
        <x:v>Google Forms semifinal + ESPN</x:v>
      </x:c>
      <x:c r="AC286" t="n">
        <x:v>0</x:v>
      </x:c>
      <x:c r="AD286" t="n">
        <x:f>$Z286-$AC286</x:f>
        <x:v>0</x:v>
      </x:c>
    </x:row>
    <x:row r="287" ht="15" hidden="0" customHeight="1">
      <x:c r="A287" t="str">
        <x:v>Semifinal</x:v>
      </x:c>
      <x:c r="B287" t="str">
        <x:v>SF1</x:v>
      </x:c>
      <x:c r="C287" t="str">
        <x:v>Óscar</x:v>
      </x:c>
      <x:c r="D287" t="str">
        <x:v>Francia</x:v>
      </x:c>
      <x:c r="E287" t="str">
        <x:v>Espana</x:v>
      </x:c>
      <x:c r="F287" t="n">
        <x:v>2</x:v>
      </x:c>
      <x:c r="G287" t="n">
        <x:v>1</x:v>
      </x:c>
      <x:c r="H287" t="str">
        <x:v>Francia</x:v>
      </x:c>
      <x:c r="I287" t="str">
        <x:v>Suplementario</x:v>
      </x:c>
      <x:c r="J287" t="n">
        <x:v>0</x:v>
      </x:c>
      <x:c r="K287" t="n">
        <x:v>2</x:v>
      </x:c>
      <x:c r="L287" t="str">
        <x:v>Espana</x:v>
      </x:c>
      <x:c r="M287" t="str">
        <x:v>90 minutos</x:v>
      </x:c>
      <x:c r="N287" t="str">
        <x:v>Finalizado</x:v>
      </x:c>
      <x:c r="O287" t="str">
        <x:f>IF($H287="Sin envio","Sin envio",IF($I287="90 minutos",IF($F287&gt;$G287,"A",IF($G287&gt;$F287,"B","E")),"E"))</x:f>
        <x:v>E</x:v>
      </x:c>
      <x:c r="P287" t="str">
        <x:f>IF($M287="90 minutos",IF($J287&gt;$K287,"A",IF($K287&gt;$J287,"B","E")),"E")</x:f>
        <x:v>B</x:v>
      </x:c>
      <x:c r="Q287" t="str">
        <x:f>IF($H287="Sin envio","No",IF($H287=$L287,"Si","No"))</x:f>
        <x:v>No</x:v>
      </x:c>
      <x:c r="R287" t="str">
        <x:f>IF(AND($I287=$M287,NOT(AND($I287="Penales",$F287&lt;&gt;$G287))),"Si","No")</x:f>
        <x:v>No</x:v>
      </x:c>
      <x:c r="S287" t="n">
        <x:f>IF(OR($N287&lt;&gt;"Finalizado",$Q287&lt;&gt;"Si"),0,IF($O287=$P287,Reglas!$B$2,0))</x:f>
        <x:v>0</x:v>
      </x:c>
      <x:c r="T287" t="n">
        <x:f>IF(OR($N287&lt;&gt;"Finalizado",$Q287&lt;&gt;"Si"),0,Reglas!$B$3)</x:f>
        <x:v>0</x:v>
      </x:c>
      <x:c r="U287" t="n">
        <x:f>IF(OR($N287&lt;&gt;"Finalizado",$Q287&lt;&gt;"Si"),0,IF($I287=$M287,Reglas!$B$4,0))</x:f>
        <x:v>0</x:v>
      </x:c>
      <x:c r="V287" t="n">
        <x:f>IF(OR($N287&lt;&gt;"Finalizado",$Q287&lt;&gt;"Si",$R287&lt;&gt;"Si"),0,IF(AND($F287=$J287,$G287=$K287),Reglas!$B$5,0))</x:f>
        <x:v>0</x:v>
      </x:c>
      <x:c r="W287" t="n">
        <x:f>IF(OR($N287&lt;&gt;"Finalizado",$Q287&lt;&gt;"Si",$R287&lt;&gt;"Si"),0,IF($F287-$G287=$J287-$K287,Reglas!$B$6,0))</x:f>
        <x:v>0</x:v>
      </x:c>
      <x:c r="X287" t="n">
        <x:f>IF(OR($N287&lt;&gt;"Finalizado",$Q287&lt;&gt;"Si",$R287&lt;&gt;"Si"),0,IF($F287=$J287,Reglas!$B$7,0))</x:f>
        <x:v>0</x:v>
      </x:c>
      <x:c r="Y287" t="n">
        <x:f>IF(OR($N287&lt;&gt;"Finalizado",$Q287&lt;&gt;"Si",$R287&lt;&gt;"Si"),0,IF($G287=$K287,Reglas!$B$8,0))</x:f>
        <x:v>0</x:v>
      </x:c>
      <x:c r="Z287" t="n">
        <x:f>SUM($S287:$Y287)</x:f>
        <x:v>0</x:v>
      </x:c>
      <x:c r="AA287" t="str">
        <x:f>IF($N287&lt;&gt;"Finalizado","Resultado pendiente",IF($H287="Sin envio","Sin respuesta",IF($Q287&lt;&gt;"Si","No acerto clasificado","OK")))</x:f>
        <x:v>No acerto clasificado</x:v>
      </x:c>
      <x:c r="AB287" t="str">
        <x:v>Google Forms semifinal + ESPN</x:v>
      </x:c>
      <x:c r="AC287" t="n">
        <x:v>0</x:v>
      </x:c>
      <x:c r="AD287" t="n">
        <x:f>$Z287-$AC287</x:f>
        <x:v>0</x:v>
      </x:c>
    </x:row>
    <x:row r="288" ht="15" hidden="0" customHeight="1">
      <x:c r="A288" t="str">
        <x:v>Semifinal</x:v>
      </x:c>
      <x:c r="B288" t="str">
        <x:v>SF2</x:v>
      </x:c>
      <x:c r="C288" t="str">
        <x:v>Freddy</x:v>
      </x:c>
      <x:c r="D288" t="str">
        <x:v>Inglaterra</x:v>
      </x:c>
      <x:c r="E288" t="str">
        <x:v>Argentina</x:v>
      </x:c>
      <x:c r="F288" t="n">
        <x:v>1</x:v>
      </x:c>
      <x:c r="G288" t="n">
        <x:v>2</x:v>
      </x:c>
      <x:c r="H288" t="str">
        <x:v>Argentina</x:v>
      </x:c>
      <x:c r="I288" t="str">
        <x:v>Suplementario</x:v>
      </x:c>
      <x:c r="J288" t="n">
        <x:v>1</x:v>
      </x:c>
      <x:c r="K288" t="n">
        <x:v>2</x:v>
      </x:c>
      <x:c r="L288" t="str">
        <x:v>Argentina</x:v>
      </x:c>
      <x:c r="M288" t="str">
        <x:v>90 minutos</x:v>
      </x:c>
      <x:c r="N288" t="str">
        <x:v>Finalizado</x:v>
      </x:c>
      <x:c r="O288" t="str">
        <x:f>IF($H288="Sin envio","Sin envio",IF($I288="90 minutos",IF($F288&gt;$G288,"A",IF($G288&gt;$F288,"B","E")),"E"))</x:f>
        <x:v>E</x:v>
      </x:c>
      <x:c r="P288" t="str">
        <x:f>IF($M288="90 minutos",IF($J288&gt;$K288,"A",IF($K288&gt;$J288,"B","E")),"E")</x:f>
        <x:v>B</x:v>
      </x:c>
      <x:c r="Q288" t="str">
        <x:f>IF($H288="Sin envio","No",IF($H288=$L288,"Si","No"))</x:f>
        <x:v>Si</x:v>
      </x:c>
      <x:c r="R288" t="str">
        <x:f>IF(AND($I288=$M288,NOT(AND($I288="Penales",$F288&lt;&gt;$G288))),"Si","No")</x:f>
        <x:v>No</x:v>
      </x:c>
      <x:c r="S288" t="n">
        <x:f>IF(OR($N288&lt;&gt;"Finalizado",$Q288&lt;&gt;"Si"),0,IF($O288=$P288,Reglas!$B$2,0))</x:f>
        <x:v>0</x:v>
      </x:c>
      <x:c r="T288" t="n">
        <x:f>IF(OR($N288&lt;&gt;"Finalizado",$Q288&lt;&gt;"Si"),0,Reglas!$B$3)</x:f>
        <x:v>3</x:v>
      </x:c>
      <x:c r="U288" t="n">
        <x:f>IF(OR($N288&lt;&gt;"Finalizado",$Q288&lt;&gt;"Si"),0,IF($I288=$M288,Reglas!$B$4,0))</x:f>
        <x:v>0</x:v>
      </x:c>
      <x:c r="V288" t="n">
        <x:f>IF(OR($N288&lt;&gt;"Finalizado",$Q288&lt;&gt;"Si",$R288&lt;&gt;"Si"),0,IF(AND($F288=$J288,$G288=$K288),Reglas!$B$5,0))</x:f>
        <x:v>0</x:v>
      </x:c>
      <x:c r="W288" t="n">
        <x:f>IF(OR($N288&lt;&gt;"Finalizado",$Q288&lt;&gt;"Si",$R288&lt;&gt;"Si"),0,IF($F288-$G288=$J288-$K288,Reglas!$B$6,0))</x:f>
        <x:v>0</x:v>
      </x:c>
      <x:c r="X288" t="n">
        <x:f>IF(OR($N288&lt;&gt;"Finalizado",$Q288&lt;&gt;"Si",$R288&lt;&gt;"Si"),0,IF($F288=$J288,Reglas!$B$7,0))</x:f>
        <x:v>0</x:v>
      </x:c>
      <x:c r="Y288" t="n">
        <x:f>IF(OR($N288&lt;&gt;"Finalizado",$Q288&lt;&gt;"Si",$R288&lt;&gt;"Si"),0,IF($G288=$K288,Reglas!$B$8,0))</x:f>
        <x:v>0</x:v>
      </x:c>
      <x:c r="Z288" t="n">
        <x:f>SUM($S288:$Y288)</x:f>
        <x:v>3</x:v>
      </x:c>
      <x:c r="AA288" t="str">
        <x:f>IF($N288&lt;&gt;"Finalizado","Resultado pendiente",IF($H288="Sin envio","Sin respuesta",IF($Q288&lt;&gt;"Si","No acerto clasificado","OK")))</x:f>
        <x:v>OK</x:v>
      </x:c>
      <x:c r="AB288" t="str">
        <x:v>Google Forms semifinal + ESPN</x:v>
      </x:c>
      <x:c r="AC288" t="n">
        <x:v>3</x:v>
      </x:c>
      <x:c r="AD288" t="n">
        <x:f>$Z288-$AC288</x:f>
        <x:v>0</x:v>
      </x:c>
    </x:row>
    <x:row r="289" ht="15" hidden="0" customHeight="1">
      <x:c r="A289" t="str">
        <x:v>Semifinal</x:v>
      </x:c>
      <x:c r="B289" t="str">
        <x:v>SF2</x:v>
      </x:c>
      <x:c r="C289" t="str">
        <x:v>Gabriela</x:v>
      </x:c>
      <x:c r="D289" t="str">
        <x:v>Inglaterra</x:v>
      </x:c>
      <x:c r="E289" t="str">
        <x:v>Argentina</x:v>
      </x:c>
      <x:c r="F289" t="n">
        <x:v>3</x:v>
      </x:c>
      <x:c r="G289" t="n">
        <x:v>2</x:v>
      </x:c>
      <x:c r="H289" t="str">
        <x:v>Inglaterra</x:v>
      </x:c>
      <x:c r="I289" t="str">
        <x:v>Suplementario</x:v>
      </x:c>
      <x:c r="J289" t="n">
        <x:v>1</x:v>
      </x:c>
      <x:c r="K289" t="n">
        <x:v>2</x:v>
      </x:c>
      <x:c r="L289" t="str">
        <x:v>Argentina</x:v>
      </x:c>
      <x:c r="M289" t="str">
        <x:v>90 minutos</x:v>
      </x:c>
      <x:c r="N289" t="str">
        <x:v>Finalizado</x:v>
      </x:c>
      <x:c r="O289" t="str">
        <x:f>IF($H289="Sin envio","Sin envio",IF($I289="90 minutos",IF($F289&gt;$G289,"A",IF($G289&gt;$F289,"B","E")),"E"))</x:f>
        <x:v>E</x:v>
      </x:c>
      <x:c r="P289" t="str">
        <x:f>IF($M289="90 minutos",IF($J289&gt;$K289,"A",IF($K289&gt;$J289,"B","E")),"E")</x:f>
        <x:v>B</x:v>
      </x:c>
      <x:c r="Q289" t="str">
        <x:f>IF($H289="Sin envio","No",IF($H289=$L289,"Si","No"))</x:f>
        <x:v>No</x:v>
      </x:c>
      <x:c r="R289" t="str">
        <x:f>IF(AND($I289=$M289,NOT(AND($I289="Penales",$F289&lt;&gt;$G289))),"Si","No")</x:f>
        <x:v>No</x:v>
      </x:c>
      <x:c r="S289" t="n">
        <x:f>IF(OR($N289&lt;&gt;"Finalizado",$Q289&lt;&gt;"Si"),0,IF($O289=$P289,Reglas!$B$2,0))</x:f>
        <x:v>0</x:v>
      </x:c>
      <x:c r="T289" t="n">
        <x:f>IF(OR($N289&lt;&gt;"Finalizado",$Q289&lt;&gt;"Si"),0,Reglas!$B$3)</x:f>
        <x:v>0</x:v>
      </x:c>
      <x:c r="U289" t="n">
        <x:f>IF(OR($N289&lt;&gt;"Finalizado",$Q289&lt;&gt;"Si"),0,IF($I289=$M289,Reglas!$B$4,0))</x:f>
        <x:v>0</x:v>
      </x:c>
      <x:c r="V289" t="n">
        <x:f>IF(OR($N289&lt;&gt;"Finalizado",$Q289&lt;&gt;"Si",$R289&lt;&gt;"Si"),0,IF(AND($F289=$J289,$G289=$K289),Reglas!$B$5,0))</x:f>
        <x:v>0</x:v>
      </x:c>
      <x:c r="W289" t="n">
        <x:f>IF(OR($N289&lt;&gt;"Finalizado",$Q289&lt;&gt;"Si",$R289&lt;&gt;"Si"),0,IF($F289-$G289=$J289-$K289,Reglas!$B$6,0))</x:f>
        <x:v>0</x:v>
      </x:c>
      <x:c r="X289" t="n">
        <x:f>IF(OR($N289&lt;&gt;"Finalizado",$Q289&lt;&gt;"Si",$R289&lt;&gt;"Si"),0,IF($F289=$J289,Reglas!$B$7,0))</x:f>
        <x:v>0</x:v>
      </x:c>
      <x:c r="Y289" t="n">
        <x:f>IF(OR($N289&lt;&gt;"Finalizado",$Q289&lt;&gt;"Si",$R289&lt;&gt;"Si"),0,IF($G289=$K289,Reglas!$B$8,0))</x:f>
        <x:v>0</x:v>
      </x:c>
      <x:c r="Z289" t="n">
        <x:f>SUM($S289:$Y289)</x:f>
        <x:v>0</x:v>
      </x:c>
      <x:c r="AA289" t="str">
        <x:f>IF($N289&lt;&gt;"Finalizado","Resultado pendiente",IF($H289="Sin envio","Sin respuesta",IF($Q289&lt;&gt;"Si","No acerto clasificado","OK")))</x:f>
        <x:v>No acerto clasificado</x:v>
      </x:c>
      <x:c r="AB289" t="str">
        <x:v>Google Forms semifinal + ESPN</x:v>
      </x:c>
      <x:c r="AC289" t="n">
        <x:v>0</x:v>
      </x:c>
      <x:c r="AD289" t="n">
        <x:f>$Z289-$AC289</x:f>
        <x:v>0</x:v>
      </x:c>
    </x:row>
    <x:row r="290" ht="15" hidden="0" customHeight="1">
      <x:c r="A290" t="str">
        <x:v>Semifinal</x:v>
      </x:c>
      <x:c r="B290" t="str">
        <x:v>SF2</x:v>
      </x:c>
      <x:c r="C290" t="str">
        <x:v>Jean</x:v>
      </x:c>
      <x:c r="D290" t="str">
        <x:v>Inglaterra</x:v>
      </x:c>
      <x:c r="E290" t="str">
        <x:v>Argentina</x:v>
      </x:c>
      <x:c r="F290" t="n">
        <x:v>1</x:v>
      </x:c>
      <x:c r="G290" t="n">
        <x:v>2</x:v>
      </x:c>
      <x:c r="H290" t="str">
        <x:v>Argentina</x:v>
      </x:c>
      <x:c r="I290" t="str">
        <x:v>90 minutos</x:v>
      </x:c>
      <x:c r="J290" t="n">
        <x:v>1</x:v>
      </x:c>
      <x:c r="K290" t="n">
        <x:v>2</x:v>
      </x:c>
      <x:c r="L290" t="str">
        <x:v>Argentina</x:v>
      </x:c>
      <x:c r="M290" t="str">
        <x:v>90 minutos</x:v>
      </x:c>
      <x:c r="N290" t="str">
        <x:v>Finalizado</x:v>
      </x:c>
      <x:c r="O290" t="str">
        <x:f>IF($H290="Sin envio","Sin envio",IF($I290="90 minutos",IF($F290&gt;$G290,"A",IF($G290&gt;$F290,"B","E")),"E"))</x:f>
        <x:v>B</x:v>
      </x:c>
      <x:c r="P290" t="str">
        <x:f>IF($M290="90 minutos",IF($J290&gt;$K290,"A",IF($K290&gt;$J290,"B","E")),"E")</x:f>
        <x:v>B</x:v>
      </x:c>
      <x:c r="Q290" t="str">
        <x:f>IF($H290="Sin envio","No",IF($H290=$L290,"Si","No"))</x:f>
        <x:v>Si</x:v>
      </x:c>
      <x:c r="R290" t="str">
        <x:f>IF(AND($I290=$M290,NOT(AND($I290="Penales",$F290&lt;&gt;$G290))),"Si","No")</x:f>
        <x:v>Si</x:v>
      </x:c>
      <x:c r="S290" t="n">
        <x:f>IF(OR($N290&lt;&gt;"Finalizado",$Q290&lt;&gt;"Si"),0,IF($O290=$P290,Reglas!$B$2,0))</x:f>
        <x:v>5</x:v>
      </x:c>
      <x:c r="T290" t="n">
        <x:f>IF(OR($N290&lt;&gt;"Finalizado",$Q290&lt;&gt;"Si"),0,Reglas!$B$3)</x:f>
        <x:v>3</x:v>
      </x:c>
      <x:c r="U290" t="n">
        <x:f>IF(OR($N290&lt;&gt;"Finalizado",$Q290&lt;&gt;"Si"),0,IF($I290=$M290,Reglas!$B$4,0))</x:f>
        <x:v>2</x:v>
      </x:c>
      <x:c r="V290" t="n">
        <x:f>IF(OR($N290&lt;&gt;"Finalizado",$Q290&lt;&gt;"Si",$R290&lt;&gt;"Si"),0,IF(AND($F290=$J290,$G290=$K290),Reglas!$B$5,0))</x:f>
        <x:v>4</x:v>
      </x:c>
      <x:c r="W290" t="n">
        <x:f>IF(OR($N290&lt;&gt;"Finalizado",$Q290&lt;&gt;"Si",$R290&lt;&gt;"Si"),0,IF($F290-$G290=$J290-$K290,Reglas!$B$6,0))</x:f>
        <x:v>2</x:v>
      </x:c>
      <x:c r="X290" t="n">
        <x:f>IF(OR($N290&lt;&gt;"Finalizado",$Q290&lt;&gt;"Si",$R290&lt;&gt;"Si"),0,IF($F290=$J290,Reglas!$B$7,0))</x:f>
        <x:v>1</x:v>
      </x:c>
      <x:c r="Y290" t="n">
        <x:f>IF(OR($N290&lt;&gt;"Finalizado",$Q290&lt;&gt;"Si",$R290&lt;&gt;"Si"),0,IF($G290=$K290,Reglas!$B$8,0))</x:f>
        <x:v>1</x:v>
      </x:c>
      <x:c r="Z290" t="n">
        <x:f>SUM($S290:$Y290)</x:f>
        <x:v>18</x:v>
      </x:c>
      <x:c r="AA290" t="str">
        <x:f>IF($N290&lt;&gt;"Finalizado","Resultado pendiente",IF($H290="Sin envio","Sin respuesta",IF($Q290&lt;&gt;"Si","No acerto clasificado","OK")))</x:f>
        <x:v>OK</x:v>
      </x:c>
      <x:c r="AB290" t="str">
        <x:v>Google Forms semifinal + ESPN</x:v>
      </x:c>
      <x:c r="AC290" t="n">
        <x:v>18</x:v>
      </x:c>
      <x:c r="AD290" t="n">
        <x:f>$Z290-$AC290</x:f>
        <x:v>0</x:v>
      </x:c>
    </x:row>
    <x:row r="291" ht="15" hidden="0" customHeight="1">
      <x:c r="A291" t="str">
        <x:v>Semifinal</x:v>
      </x:c>
      <x:c r="B291" t="str">
        <x:v>SF2</x:v>
      </x:c>
      <x:c r="C291" t="str">
        <x:v>Juan</x:v>
      </x:c>
      <x:c r="D291" t="str">
        <x:v>Inglaterra</x:v>
      </x:c>
      <x:c r="E291" t="str">
        <x:v>Argentina</x:v>
      </x:c>
      <x:c r="F291" t="n">
        <x:v>2</x:v>
      </x:c>
      <x:c r="G291" t="n">
        <x:v>2</x:v>
      </x:c>
      <x:c r="H291" t="str">
        <x:v>Argentina</x:v>
      </x:c>
      <x:c r="I291" t="str">
        <x:v>Penales</x:v>
      </x:c>
      <x:c r="J291" t="n">
        <x:v>1</x:v>
      </x:c>
      <x:c r="K291" t="n">
        <x:v>2</x:v>
      </x:c>
      <x:c r="L291" t="str">
        <x:v>Argentina</x:v>
      </x:c>
      <x:c r="M291" t="str">
        <x:v>90 minutos</x:v>
      </x:c>
      <x:c r="N291" t="str">
        <x:v>Finalizado</x:v>
      </x:c>
      <x:c r="O291" t="str">
        <x:f>IF($H291="Sin envio","Sin envio",IF($I291="90 minutos",IF($F291&gt;$G291,"A",IF($G291&gt;$F291,"B","E")),"E"))</x:f>
        <x:v>E</x:v>
      </x:c>
      <x:c r="P291" t="str">
        <x:f>IF($M291="90 minutos",IF($J291&gt;$K291,"A",IF($K291&gt;$J291,"B","E")),"E")</x:f>
        <x:v>B</x:v>
      </x:c>
      <x:c r="Q291" t="str">
        <x:f>IF($H291="Sin envio","No",IF($H291=$L291,"Si","No"))</x:f>
        <x:v>Si</x:v>
      </x:c>
      <x:c r="R291" t="str">
        <x:f>IF(AND($I291=$M291,NOT(AND($I291="Penales",$F291&lt;&gt;$G291))),"Si","No")</x:f>
        <x:v>No</x:v>
      </x:c>
      <x:c r="S291" t="n">
        <x:f>IF(OR($N291&lt;&gt;"Finalizado",$Q291&lt;&gt;"Si"),0,IF($O291=$P291,Reglas!$B$2,0))</x:f>
        <x:v>0</x:v>
      </x:c>
      <x:c r="T291" t="n">
        <x:f>IF(OR($N291&lt;&gt;"Finalizado",$Q291&lt;&gt;"Si"),0,Reglas!$B$3)</x:f>
        <x:v>3</x:v>
      </x:c>
      <x:c r="U291" t="n">
        <x:f>IF(OR($N291&lt;&gt;"Finalizado",$Q291&lt;&gt;"Si"),0,IF($I291=$M291,Reglas!$B$4,0))</x:f>
        <x:v>0</x:v>
      </x:c>
      <x:c r="V291" t="n">
        <x:f>IF(OR($N291&lt;&gt;"Finalizado",$Q291&lt;&gt;"Si",$R291&lt;&gt;"Si"),0,IF(AND($F291=$J291,$G291=$K291),Reglas!$B$5,0))</x:f>
        <x:v>0</x:v>
      </x:c>
      <x:c r="W291" t="n">
        <x:f>IF(OR($N291&lt;&gt;"Finalizado",$Q291&lt;&gt;"Si",$R291&lt;&gt;"Si"),0,IF($F291-$G291=$J291-$K291,Reglas!$B$6,0))</x:f>
        <x:v>0</x:v>
      </x:c>
      <x:c r="X291" t="n">
        <x:f>IF(OR($N291&lt;&gt;"Finalizado",$Q291&lt;&gt;"Si",$R291&lt;&gt;"Si"),0,IF($F291=$J291,Reglas!$B$7,0))</x:f>
        <x:v>0</x:v>
      </x:c>
      <x:c r="Y291" t="n">
        <x:f>IF(OR($N291&lt;&gt;"Finalizado",$Q291&lt;&gt;"Si",$R291&lt;&gt;"Si"),0,IF($G291=$K291,Reglas!$B$8,0))</x:f>
        <x:v>0</x:v>
      </x:c>
      <x:c r="Z291" t="n">
        <x:f>SUM($S291:$Y291)</x:f>
        <x:v>3</x:v>
      </x:c>
      <x:c r="AA291" t="str">
        <x:f>IF($N291&lt;&gt;"Finalizado","Resultado pendiente",IF($H291="Sin envio","Sin respuesta",IF($Q291&lt;&gt;"Si","No acerto clasificado","OK")))</x:f>
        <x:v>OK</x:v>
      </x:c>
      <x:c r="AB291" t="str">
        <x:v>Google Forms semifinal + ESPN</x:v>
      </x:c>
      <x:c r="AC291" t="n">
        <x:v>3</x:v>
      </x:c>
      <x:c r="AD291" t="n">
        <x:f>$Z291-$AC291</x:f>
        <x:v>0</x:v>
      </x:c>
    </x:row>
    <x:row r="292" ht="15" hidden="0" customHeight="1">
      <x:c r="A292" t="str">
        <x:v>Semifinal</x:v>
      </x:c>
      <x:c r="B292" t="str">
        <x:v>SF2</x:v>
      </x:c>
      <x:c r="C292" t="str">
        <x:v>Jesús</x:v>
      </x:c>
      <x:c r="D292" t="str">
        <x:v>Inglaterra</x:v>
      </x:c>
      <x:c r="E292" t="str">
        <x:v>Argentina</x:v>
      </x:c>
      <x:c r="F292" t="n">
        <x:v>2</x:v>
      </x:c>
      <x:c r="G292" t="n">
        <x:v>1</x:v>
      </x:c>
      <x:c r="H292" t="str">
        <x:v>Inglaterra</x:v>
      </x:c>
      <x:c r="I292" t="str">
        <x:v>90 minutos</x:v>
      </x:c>
      <x:c r="J292" t="n">
        <x:v>1</x:v>
      </x:c>
      <x:c r="K292" t="n">
        <x:v>2</x:v>
      </x:c>
      <x:c r="L292" t="str">
        <x:v>Argentina</x:v>
      </x:c>
      <x:c r="M292" t="str">
        <x:v>90 minutos</x:v>
      </x:c>
      <x:c r="N292" t="str">
        <x:v>Finalizado</x:v>
      </x:c>
      <x:c r="O292" t="str">
        <x:f>IF($H292="Sin envio","Sin envio",IF($I292="90 minutos",IF($F292&gt;$G292,"A",IF($G292&gt;$F292,"B","E")),"E"))</x:f>
        <x:v>A</x:v>
      </x:c>
      <x:c r="P292" t="str">
        <x:f>IF($M292="90 minutos",IF($J292&gt;$K292,"A",IF($K292&gt;$J292,"B","E")),"E")</x:f>
        <x:v>B</x:v>
      </x:c>
      <x:c r="Q292" t="str">
        <x:f>IF($H292="Sin envio","No",IF($H292=$L292,"Si","No"))</x:f>
        <x:v>No</x:v>
      </x:c>
      <x:c r="R292" t="str">
        <x:f>IF(AND($I292=$M292,NOT(AND($I292="Penales",$F292&lt;&gt;$G292))),"Si","No")</x:f>
        <x:v>Si</x:v>
      </x:c>
      <x:c r="S292" t="n">
        <x:f>IF(OR($N292&lt;&gt;"Finalizado",$Q292&lt;&gt;"Si"),0,IF($O292=$P292,Reglas!$B$2,0))</x:f>
        <x:v>0</x:v>
      </x:c>
      <x:c r="T292" t="n">
        <x:f>IF(OR($N292&lt;&gt;"Finalizado",$Q292&lt;&gt;"Si"),0,Reglas!$B$3)</x:f>
        <x:v>0</x:v>
      </x:c>
      <x:c r="U292" t="n">
        <x:f>IF(OR($N292&lt;&gt;"Finalizado",$Q292&lt;&gt;"Si"),0,IF($I292=$M292,Reglas!$B$4,0))</x:f>
        <x:v>0</x:v>
      </x:c>
      <x:c r="V292" t="n">
        <x:f>IF(OR($N292&lt;&gt;"Finalizado",$Q292&lt;&gt;"Si",$R292&lt;&gt;"Si"),0,IF(AND($F292=$J292,$G292=$K292),Reglas!$B$5,0))</x:f>
        <x:v>0</x:v>
      </x:c>
      <x:c r="W292" t="n">
        <x:f>IF(OR($N292&lt;&gt;"Finalizado",$Q292&lt;&gt;"Si",$R292&lt;&gt;"Si"),0,IF($F292-$G292=$J292-$K292,Reglas!$B$6,0))</x:f>
        <x:v>0</x:v>
      </x:c>
      <x:c r="X292" t="n">
        <x:f>IF(OR($N292&lt;&gt;"Finalizado",$Q292&lt;&gt;"Si",$R292&lt;&gt;"Si"),0,IF($F292=$J292,Reglas!$B$7,0))</x:f>
        <x:v>0</x:v>
      </x:c>
      <x:c r="Y292" t="n">
        <x:f>IF(OR($N292&lt;&gt;"Finalizado",$Q292&lt;&gt;"Si",$R292&lt;&gt;"Si"),0,IF($G292=$K292,Reglas!$B$8,0))</x:f>
        <x:v>0</x:v>
      </x:c>
      <x:c r="Z292" t="n">
        <x:f>SUM($S292:$Y292)</x:f>
        <x:v>0</x:v>
      </x:c>
      <x:c r="AA292" t="str">
        <x:f>IF($N292&lt;&gt;"Finalizado","Resultado pendiente",IF($H292="Sin envio","Sin respuesta",IF($Q292&lt;&gt;"Si","No acerto clasificado","OK")))</x:f>
        <x:v>No acerto clasificado</x:v>
      </x:c>
      <x:c r="AB292" t="str">
        <x:v>Google Forms semifinal + ESPN</x:v>
      </x:c>
      <x:c r="AC292" t="n">
        <x:v>0</x:v>
      </x:c>
      <x:c r="AD292" t="n">
        <x:f>$Z292-$AC292</x:f>
        <x:v>0</x:v>
      </x:c>
    </x:row>
    <x:row r="293" ht="15" hidden="0" customHeight="1">
      <x:c r="A293" t="str">
        <x:v>Semifinal</x:v>
      </x:c>
      <x:c r="B293" t="str">
        <x:v>SF2</x:v>
      </x:c>
      <x:c r="C293" t="str">
        <x:v>Diego</x:v>
      </x:c>
      <x:c r="D293" t="str">
        <x:v>Inglaterra</x:v>
      </x:c>
      <x:c r="E293" t="str">
        <x:v>Argentina</x:v>
      </x:c>
      <x:c r="F293" t="n">
        <x:v>1</x:v>
      </x:c>
      <x:c r="G293" t="n">
        <x:v>2</x:v>
      </x:c>
      <x:c r="H293" t="str">
        <x:v>Argentina</x:v>
      </x:c>
      <x:c r="I293" t="str">
        <x:v>Suplementario</x:v>
      </x:c>
      <x:c r="J293" t="n">
        <x:v>1</x:v>
      </x:c>
      <x:c r="K293" t="n">
        <x:v>2</x:v>
      </x:c>
      <x:c r="L293" t="str">
        <x:v>Argentina</x:v>
      </x:c>
      <x:c r="M293" t="str">
        <x:v>90 minutos</x:v>
      </x:c>
      <x:c r="N293" t="str">
        <x:v>Finalizado</x:v>
      </x:c>
      <x:c r="O293" t="str">
        <x:f>IF($H293="Sin envio","Sin envio",IF($I293="90 minutos",IF($F293&gt;$G293,"A",IF($G293&gt;$F293,"B","E")),"E"))</x:f>
        <x:v>E</x:v>
      </x:c>
      <x:c r="P293" t="str">
        <x:f>IF($M293="90 minutos",IF($J293&gt;$K293,"A",IF($K293&gt;$J293,"B","E")),"E")</x:f>
        <x:v>B</x:v>
      </x:c>
      <x:c r="Q293" t="str">
        <x:f>IF($H293="Sin envio","No",IF($H293=$L293,"Si","No"))</x:f>
        <x:v>Si</x:v>
      </x:c>
      <x:c r="R293" t="str">
        <x:f>IF(AND($I293=$M293,NOT(AND($I293="Penales",$F293&lt;&gt;$G293))),"Si","No")</x:f>
        <x:v>No</x:v>
      </x:c>
      <x:c r="S293" t="n">
        <x:f>IF(OR($N293&lt;&gt;"Finalizado",$Q293&lt;&gt;"Si"),0,IF($O293=$P293,Reglas!$B$2,0))</x:f>
        <x:v>0</x:v>
      </x:c>
      <x:c r="T293" t="n">
        <x:f>IF(OR($N293&lt;&gt;"Finalizado",$Q293&lt;&gt;"Si"),0,Reglas!$B$3)</x:f>
        <x:v>3</x:v>
      </x:c>
      <x:c r="U293" t="n">
        <x:f>IF(OR($N293&lt;&gt;"Finalizado",$Q293&lt;&gt;"Si"),0,IF($I293=$M293,Reglas!$B$4,0))</x:f>
        <x:v>0</x:v>
      </x:c>
      <x:c r="V293" t="n">
        <x:f>IF(OR($N293&lt;&gt;"Finalizado",$Q293&lt;&gt;"Si",$R293&lt;&gt;"Si"),0,IF(AND($F293=$J293,$G293=$K293),Reglas!$B$5,0))</x:f>
        <x:v>0</x:v>
      </x:c>
      <x:c r="W293" t="n">
        <x:f>IF(OR($N293&lt;&gt;"Finalizado",$Q293&lt;&gt;"Si",$R293&lt;&gt;"Si"),0,IF($F293-$G293=$J293-$K293,Reglas!$B$6,0))</x:f>
        <x:v>0</x:v>
      </x:c>
      <x:c r="X293" t="n">
        <x:f>IF(OR($N293&lt;&gt;"Finalizado",$Q293&lt;&gt;"Si",$R293&lt;&gt;"Si"),0,IF($F293=$J293,Reglas!$B$7,0))</x:f>
        <x:v>0</x:v>
      </x:c>
      <x:c r="Y293" t="n">
        <x:f>IF(OR($N293&lt;&gt;"Finalizado",$Q293&lt;&gt;"Si",$R293&lt;&gt;"Si"),0,IF($G293=$K293,Reglas!$B$8,0))</x:f>
        <x:v>0</x:v>
      </x:c>
      <x:c r="Z293" t="n">
        <x:f>SUM($S293:$Y293)</x:f>
        <x:v>3</x:v>
      </x:c>
      <x:c r="AA293" t="str">
        <x:f>IF($N293&lt;&gt;"Finalizado","Resultado pendiente",IF($H293="Sin envio","Sin respuesta",IF($Q293&lt;&gt;"Si","No acerto clasificado","OK")))</x:f>
        <x:v>OK</x:v>
      </x:c>
      <x:c r="AB293" t="str">
        <x:v>Google Forms semifinal + ESPN</x:v>
      </x:c>
      <x:c r="AC293" t="n">
        <x:v>3</x:v>
      </x:c>
      <x:c r="AD293" t="n">
        <x:f>$Z293-$AC293</x:f>
        <x:v>0</x:v>
      </x:c>
    </x:row>
    <x:row r="294" ht="15" hidden="0" customHeight="1">
      <x:c r="A294" t="str">
        <x:v>Semifinal</x:v>
      </x:c>
      <x:c r="B294" t="str">
        <x:v>SF2</x:v>
      </x:c>
      <x:c r="C294" t="str">
        <x:v>Aldo</x:v>
      </x:c>
      <x:c r="D294" t="str">
        <x:v>Inglaterra</x:v>
      </x:c>
      <x:c r="E294" t="str">
        <x:v>Argentina</x:v>
      </x:c>
      <x:c r="F294" t="n">
        <x:v>1</x:v>
      </x:c>
      <x:c r="G294" t="n">
        <x:v>2</x:v>
      </x:c>
      <x:c r="H294" t="str">
        <x:v>Argentina</x:v>
      </x:c>
      <x:c r="I294" t="str">
        <x:v>Suplementario</x:v>
      </x:c>
      <x:c r="J294" t="n">
        <x:v>1</x:v>
      </x:c>
      <x:c r="K294" t="n">
        <x:v>2</x:v>
      </x:c>
      <x:c r="L294" t="str">
        <x:v>Argentina</x:v>
      </x:c>
      <x:c r="M294" t="str">
        <x:v>90 minutos</x:v>
      </x:c>
      <x:c r="N294" t="str">
        <x:v>Finalizado</x:v>
      </x:c>
      <x:c r="O294" t="str">
        <x:f>IF($H294="Sin envio","Sin envio",IF($I294="90 minutos",IF($F294&gt;$G294,"A",IF($G294&gt;$F294,"B","E")),"E"))</x:f>
        <x:v>E</x:v>
      </x:c>
      <x:c r="P294" t="str">
        <x:f>IF($M294="90 minutos",IF($J294&gt;$K294,"A",IF($K294&gt;$J294,"B","E")),"E")</x:f>
        <x:v>B</x:v>
      </x:c>
      <x:c r="Q294" t="str">
        <x:f>IF($H294="Sin envio","No",IF($H294=$L294,"Si","No"))</x:f>
        <x:v>Si</x:v>
      </x:c>
      <x:c r="R294" t="str">
        <x:f>IF(AND($I294=$M294,NOT(AND($I294="Penales",$F294&lt;&gt;$G294))),"Si","No")</x:f>
        <x:v>No</x:v>
      </x:c>
      <x:c r="S294" t="n">
        <x:f>IF(OR($N294&lt;&gt;"Finalizado",$Q294&lt;&gt;"Si"),0,IF($O294=$P294,Reglas!$B$2,0))</x:f>
        <x:v>0</x:v>
      </x:c>
      <x:c r="T294" t="n">
        <x:f>IF(OR($N294&lt;&gt;"Finalizado",$Q294&lt;&gt;"Si"),0,Reglas!$B$3)</x:f>
        <x:v>3</x:v>
      </x:c>
      <x:c r="U294" t="n">
        <x:f>IF(OR($N294&lt;&gt;"Finalizado",$Q294&lt;&gt;"Si"),0,IF($I294=$M294,Reglas!$B$4,0))</x:f>
        <x:v>0</x:v>
      </x:c>
      <x:c r="V294" t="n">
        <x:f>IF(OR($N294&lt;&gt;"Finalizado",$Q294&lt;&gt;"Si",$R294&lt;&gt;"Si"),0,IF(AND($F294=$J294,$G294=$K294),Reglas!$B$5,0))</x:f>
        <x:v>0</x:v>
      </x:c>
      <x:c r="W294" t="n">
        <x:f>IF(OR($N294&lt;&gt;"Finalizado",$Q294&lt;&gt;"Si",$R294&lt;&gt;"Si"),0,IF($F294-$G294=$J294-$K294,Reglas!$B$6,0))</x:f>
        <x:v>0</x:v>
      </x:c>
      <x:c r="X294" t="n">
        <x:f>IF(OR($N294&lt;&gt;"Finalizado",$Q294&lt;&gt;"Si",$R294&lt;&gt;"Si"),0,IF($F294=$J294,Reglas!$B$7,0))</x:f>
        <x:v>0</x:v>
      </x:c>
      <x:c r="Y294" t="n">
        <x:f>IF(OR($N294&lt;&gt;"Finalizado",$Q294&lt;&gt;"Si",$R294&lt;&gt;"Si"),0,IF($G294=$K294,Reglas!$B$8,0))</x:f>
        <x:v>0</x:v>
      </x:c>
      <x:c r="Z294" t="n">
        <x:f>SUM($S294:$Y294)</x:f>
        <x:v>3</x:v>
      </x:c>
      <x:c r="AA294" t="str">
        <x:f>IF($N294&lt;&gt;"Finalizado","Resultado pendiente",IF($H294="Sin envio","Sin respuesta",IF($Q294&lt;&gt;"Si","No acerto clasificado","OK")))</x:f>
        <x:v>OK</x:v>
      </x:c>
      <x:c r="AB294" t="str">
        <x:v>Google Forms semifinal + ESPN</x:v>
      </x:c>
      <x:c r="AC294" t="n">
        <x:v>3</x:v>
      </x:c>
      <x:c r="AD294" t="n">
        <x:f>$Z294-$AC294</x:f>
        <x:v>0</x:v>
      </x:c>
    </x:row>
    <x:row r="295" ht="15" hidden="0" customHeight="1">
      <x:c r="A295" t="str">
        <x:v>Semifinal</x:v>
      </x:c>
      <x:c r="B295" t="str">
        <x:v>SF2</x:v>
      </x:c>
      <x:c r="C295" t="str">
        <x:v>Javier</x:v>
      </x:c>
      <x:c r="D295" t="str">
        <x:v>Inglaterra</x:v>
      </x:c>
      <x:c r="E295" t="str">
        <x:v>Argentina</x:v>
      </x:c>
      <x:c r="F295"/>
      <x:c r="G295"/>
      <x:c r="H295" t="str">
        <x:v>Sin envio</x:v>
      </x:c>
      <x:c r="I295" t="str">
        <x:v>Sin envio</x:v>
      </x:c>
      <x:c r="J295" t="n">
        <x:v>1</x:v>
      </x:c>
      <x:c r="K295" t="n">
        <x:v>2</x:v>
      </x:c>
      <x:c r="L295" t="str">
        <x:v>Argentina</x:v>
      </x:c>
      <x:c r="M295" t="str">
        <x:v>90 minutos</x:v>
      </x:c>
      <x:c r="N295" t="str">
        <x:v>Finalizado</x:v>
      </x:c>
      <x:c r="O295" t="str">
        <x:f>IF($H295="Sin envio","Sin envio",IF($I295="90 minutos",IF($F295&gt;$G295,"A",IF($G295&gt;$F295,"B","E")),"E"))</x:f>
        <x:v>Sin envio</x:v>
      </x:c>
      <x:c r="P295" t="str">
        <x:f>IF($M295="90 minutos",IF($J295&gt;$K295,"A",IF($K295&gt;$J295,"B","E")),"E")</x:f>
        <x:v>B</x:v>
      </x:c>
      <x:c r="Q295" t="str">
        <x:f>IF($H295="Sin envio","No",IF($H295=$L295,"Si","No"))</x:f>
        <x:v>No</x:v>
      </x:c>
      <x:c r="R295" t="str">
        <x:f>IF(AND($I295=$M295,NOT(AND($I295="Penales",$F295&lt;&gt;$G295))),"Si","No")</x:f>
        <x:v>No</x:v>
      </x:c>
      <x:c r="S295" t="n">
        <x:f>IF(OR($N295&lt;&gt;"Finalizado",$Q295&lt;&gt;"Si"),0,IF($O295=$P295,Reglas!$B$2,0))</x:f>
        <x:v>0</x:v>
      </x:c>
      <x:c r="T295" t="n">
        <x:f>IF(OR($N295&lt;&gt;"Finalizado",$Q295&lt;&gt;"Si"),0,Reglas!$B$3)</x:f>
        <x:v>0</x:v>
      </x:c>
      <x:c r="U295" t="n">
        <x:f>IF(OR($N295&lt;&gt;"Finalizado",$Q295&lt;&gt;"Si"),0,IF($I295=$M295,Reglas!$B$4,0))</x:f>
        <x:v>0</x:v>
      </x:c>
      <x:c r="V295" t="n">
        <x:f>IF(OR($N295&lt;&gt;"Finalizado",$Q295&lt;&gt;"Si",$R295&lt;&gt;"Si"),0,IF(AND($F295=$J295,$G295=$K295),Reglas!$B$5,0))</x:f>
        <x:v>0</x:v>
      </x:c>
      <x:c r="W295" t="n">
        <x:f>IF(OR($N295&lt;&gt;"Finalizado",$Q295&lt;&gt;"Si",$R295&lt;&gt;"Si"),0,IF($F295-$G295=$J295-$K295,Reglas!$B$6,0))</x:f>
        <x:v>0</x:v>
      </x:c>
      <x:c r="X295" t="n">
        <x:f>IF(OR($N295&lt;&gt;"Finalizado",$Q295&lt;&gt;"Si",$R295&lt;&gt;"Si"),0,IF($F295=$J295,Reglas!$B$7,0))</x:f>
        <x:v>0</x:v>
      </x:c>
      <x:c r="Y295" t="n">
        <x:f>IF(OR($N295&lt;&gt;"Finalizado",$Q295&lt;&gt;"Si",$R295&lt;&gt;"Si"),0,IF($G295=$K295,Reglas!$B$8,0))</x:f>
        <x:v>0</x:v>
      </x:c>
      <x:c r="Z295" t="n">
        <x:f>SUM($S295:$Y295)</x:f>
        <x:v>0</x:v>
      </x:c>
      <x:c r="AA295" t="str">
        <x:f>IF($N295&lt;&gt;"Finalizado","Resultado pendiente",IF($H295="Sin envio","Sin respuesta",IF($Q295&lt;&gt;"Si","No acerto clasificado","OK")))</x:f>
        <x:v>Sin respuesta</x:v>
      </x:c>
      <x:c r="AB295" t="str">
        <x:v>Google Forms semifinal + ESPN</x:v>
      </x:c>
      <x:c r="AC295" t="n">
        <x:v>0</x:v>
      </x:c>
      <x:c r="AD295" t="n">
        <x:f>$Z295-$AC295</x:f>
        <x:v>0</x:v>
      </x:c>
    </x:row>
    <x:row r="296" ht="15" hidden="0" customHeight="1">
      <x:c r="A296" t="str">
        <x:v>Semifinal</x:v>
      </x:c>
      <x:c r="B296" t="str">
        <x:v>SF2</x:v>
      </x:c>
      <x:c r="C296" t="str">
        <x:v>Gino</x:v>
      </x:c>
      <x:c r="D296" t="str">
        <x:v>Inglaterra</x:v>
      </x:c>
      <x:c r="E296" t="str">
        <x:v>Argentina</x:v>
      </x:c>
      <x:c r="F296" t="n">
        <x:v>1</x:v>
      </x:c>
      <x:c r="G296" t="n">
        <x:v>1</x:v>
      </x:c>
      <x:c r="H296" t="str">
        <x:v>Inglaterra</x:v>
      </x:c>
      <x:c r="I296" t="str">
        <x:v>Penales</x:v>
      </x:c>
      <x:c r="J296" t="n">
        <x:v>1</x:v>
      </x:c>
      <x:c r="K296" t="n">
        <x:v>2</x:v>
      </x:c>
      <x:c r="L296" t="str">
        <x:v>Argentina</x:v>
      </x:c>
      <x:c r="M296" t="str">
        <x:v>90 minutos</x:v>
      </x:c>
      <x:c r="N296" t="str">
        <x:v>Finalizado</x:v>
      </x:c>
      <x:c r="O296" t="str">
        <x:f>IF($H296="Sin envio","Sin envio",IF($I296="90 minutos",IF($F296&gt;$G296,"A",IF($G296&gt;$F296,"B","E")),"E"))</x:f>
        <x:v>E</x:v>
      </x:c>
      <x:c r="P296" t="str">
        <x:f>IF($M296="90 minutos",IF($J296&gt;$K296,"A",IF($K296&gt;$J296,"B","E")),"E")</x:f>
        <x:v>B</x:v>
      </x:c>
      <x:c r="Q296" t="str">
        <x:f>IF($H296="Sin envio","No",IF($H296=$L296,"Si","No"))</x:f>
        <x:v>No</x:v>
      </x:c>
      <x:c r="R296" t="str">
        <x:f>IF(AND($I296=$M296,NOT(AND($I296="Penales",$F296&lt;&gt;$G296))),"Si","No")</x:f>
        <x:v>No</x:v>
      </x:c>
      <x:c r="S296" t="n">
        <x:f>IF(OR($N296&lt;&gt;"Finalizado",$Q296&lt;&gt;"Si"),0,IF($O296=$P296,Reglas!$B$2,0))</x:f>
        <x:v>0</x:v>
      </x:c>
      <x:c r="T296" t="n">
        <x:f>IF(OR($N296&lt;&gt;"Finalizado",$Q296&lt;&gt;"Si"),0,Reglas!$B$3)</x:f>
        <x:v>0</x:v>
      </x:c>
      <x:c r="U296" t="n">
        <x:f>IF(OR($N296&lt;&gt;"Finalizado",$Q296&lt;&gt;"Si"),0,IF($I296=$M296,Reglas!$B$4,0))</x:f>
        <x:v>0</x:v>
      </x:c>
      <x:c r="V296" t="n">
        <x:f>IF(OR($N296&lt;&gt;"Finalizado",$Q296&lt;&gt;"Si",$R296&lt;&gt;"Si"),0,IF(AND($F296=$J296,$G296=$K296),Reglas!$B$5,0))</x:f>
        <x:v>0</x:v>
      </x:c>
      <x:c r="W296" t="n">
        <x:f>IF(OR($N296&lt;&gt;"Finalizado",$Q296&lt;&gt;"Si",$R296&lt;&gt;"Si"),0,IF($F296-$G296=$J296-$K296,Reglas!$B$6,0))</x:f>
        <x:v>0</x:v>
      </x:c>
      <x:c r="X296" t="n">
        <x:f>IF(OR($N296&lt;&gt;"Finalizado",$Q296&lt;&gt;"Si",$R296&lt;&gt;"Si"),0,IF($F296=$J296,Reglas!$B$7,0))</x:f>
        <x:v>0</x:v>
      </x:c>
      <x:c r="Y296" t="n">
        <x:f>IF(OR($N296&lt;&gt;"Finalizado",$Q296&lt;&gt;"Si",$R296&lt;&gt;"Si"),0,IF($G296=$K296,Reglas!$B$8,0))</x:f>
        <x:v>0</x:v>
      </x:c>
      <x:c r="Z296" t="n">
        <x:f>SUM($S296:$Y296)</x:f>
        <x:v>0</x:v>
      </x:c>
      <x:c r="AA296" t="str">
        <x:f>IF($N296&lt;&gt;"Finalizado","Resultado pendiente",IF($H296="Sin envio","Sin respuesta",IF($Q296&lt;&gt;"Si","No acerto clasificado","OK")))</x:f>
        <x:v>No acerto clasificado</x:v>
      </x:c>
      <x:c r="AB296" t="str">
        <x:v>Google Forms semifinal + ESPN</x:v>
      </x:c>
      <x:c r="AC296" t="n">
        <x:v>0</x:v>
      </x:c>
      <x:c r="AD296" t="n">
        <x:f>$Z296-$AC296</x:f>
        <x:v>0</x:v>
      </x:c>
    </x:row>
    <x:row r="297" ht="15" hidden="0" customHeight="1">
      <x:c r="A297" t="str">
        <x:v>Semifinal</x:v>
      </x:c>
      <x:c r="B297" t="str">
        <x:v>SF2</x:v>
      </x:c>
      <x:c r="C297" t="str">
        <x:v>Manuel</x:v>
      </x:c>
      <x:c r="D297" t="str">
        <x:v>Inglaterra</x:v>
      </x:c>
      <x:c r="E297" t="str">
        <x:v>Argentina</x:v>
      </x:c>
      <x:c r="F297" t="n">
        <x:v>3</x:v>
      </x:c>
      <x:c r="G297" t="n">
        <x:v>1</x:v>
      </x:c>
      <x:c r="H297" t="str">
        <x:v>Inglaterra</x:v>
      </x:c>
      <x:c r="I297" t="str">
        <x:v>Suplementario</x:v>
      </x:c>
      <x:c r="J297" t="n">
        <x:v>1</x:v>
      </x:c>
      <x:c r="K297" t="n">
        <x:v>2</x:v>
      </x:c>
      <x:c r="L297" t="str">
        <x:v>Argentina</x:v>
      </x:c>
      <x:c r="M297" t="str">
        <x:v>90 minutos</x:v>
      </x:c>
      <x:c r="N297" t="str">
        <x:v>Finalizado</x:v>
      </x:c>
      <x:c r="O297" t="str">
        <x:f>IF($H297="Sin envio","Sin envio",IF($I297="90 minutos",IF($F297&gt;$G297,"A",IF($G297&gt;$F297,"B","E")),"E"))</x:f>
        <x:v>E</x:v>
      </x:c>
      <x:c r="P297" t="str">
        <x:f>IF($M297="90 minutos",IF($J297&gt;$K297,"A",IF($K297&gt;$J297,"B","E")),"E")</x:f>
        <x:v>B</x:v>
      </x:c>
      <x:c r="Q297" t="str">
        <x:f>IF($H297="Sin envio","No",IF($H297=$L297,"Si","No"))</x:f>
        <x:v>No</x:v>
      </x:c>
      <x:c r="R297" t="str">
        <x:f>IF(AND($I297=$M297,NOT(AND($I297="Penales",$F297&lt;&gt;$G297))),"Si","No")</x:f>
        <x:v>No</x:v>
      </x:c>
      <x:c r="S297" t="n">
        <x:f>IF(OR($N297&lt;&gt;"Finalizado",$Q297&lt;&gt;"Si"),0,IF($O297=$P297,Reglas!$B$2,0))</x:f>
        <x:v>0</x:v>
      </x:c>
      <x:c r="T297" t="n">
        <x:f>IF(OR($N297&lt;&gt;"Finalizado",$Q297&lt;&gt;"Si"),0,Reglas!$B$3)</x:f>
        <x:v>0</x:v>
      </x:c>
      <x:c r="U297" t="n">
        <x:f>IF(OR($N297&lt;&gt;"Finalizado",$Q297&lt;&gt;"Si"),0,IF($I297=$M297,Reglas!$B$4,0))</x:f>
        <x:v>0</x:v>
      </x:c>
      <x:c r="V297" t="n">
        <x:f>IF(OR($N297&lt;&gt;"Finalizado",$Q297&lt;&gt;"Si",$R297&lt;&gt;"Si"),0,IF(AND($F297=$J297,$G297=$K297),Reglas!$B$5,0))</x:f>
        <x:v>0</x:v>
      </x:c>
      <x:c r="W297" t="n">
        <x:f>IF(OR($N297&lt;&gt;"Finalizado",$Q297&lt;&gt;"Si",$R297&lt;&gt;"Si"),0,IF($F297-$G297=$J297-$K297,Reglas!$B$6,0))</x:f>
        <x:v>0</x:v>
      </x:c>
      <x:c r="X297" t="n">
        <x:f>IF(OR($N297&lt;&gt;"Finalizado",$Q297&lt;&gt;"Si",$R297&lt;&gt;"Si"),0,IF($F297=$J297,Reglas!$B$7,0))</x:f>
        <x:v>0</x:v>
      </x:c>
      <x:c r="Y297" t="n">
        <x:f>IF(OR($N297&lt;&gt;"Finalizado",$Q297&lt;&gt;"Si",$R297&lt;&gt;"Si"),0,IF($G297=$K297,Reglas!$B$8,0))</x:f>
        <x:v>0</x:v>
      </x:c>
      <x:c r="Z297" t="n">
        <x:f>SUM($S297:$Y297)</x:f>
        <x:v>0</x:v>
      </x:c>
      <x:c r="AA297" t="str">
        <x:f>IF($N297&lt;&gt;"Finalizado","Resultado pendiente",IF($H297="Sin envio","Sin respuesta",IF($Q297&lt;&gt;"Si","No acerto clasificado","OK")))</x:f>
        <x:v>No acerto clasificado</x:v>
      </x:c>
      <x:c r="AB297" t="str">
        <x:v>Google Forms semifinal + ESPN</x:v>
      </x:c>
      <x:c r="AC297" t="n">
        <x:v>0</x:v>
      </x:c>
      <x:c r="AD297" t="n">
        <x:f>$Z297-$AC297</x:f>
        <x:v>0</x:v>
      </x:c>
    </x:row>
    <x:row r="298" ht="15" hidden="0" customHeight="1">
      <x:c r="A298" t="str">
        <x:v>Semifinal</x:v>
      </x:c>
      <x:c r="B298" t="str">
        <x:v>SF2</x:v>
      </x:c>
      <x:c r="C298" t="str">
        <x:v>Jorge</x:v>
      </x:c>
      <x:c r="D298" t="str">
        <x:v>Inglaterra</x:v>
      </x:c>
      <x:c r="E298" t="str">
        <x:v>Argentina</x:v>
      </x:c>
      <x:c r="F298" t="n">
        <x:v>1</x:v>
      </x:c>
      <x:c r="G298" t="n">
        <x:v>2</x:v>
      </x:c>
      <x:c r="H298" t="str">
        <x:v>Argentina</x:v>
      </x:c>
      <x:c r="I298" t="str">
        <x:v>90 minutos</x:v>
      </x:c>
      <x:c r="J298" t="n">
        <x:v>1</x:v>
      </x:c>
      <x:c r="K298" t="n">
        <x:v>2</x:v>
      </x:c>
      <x:c r="L298" t="str">
        <x:v>Argentina</x:v>
      </x:c>
      <x:c r="M298" t="str">
        <x:v>90 minutos</x:v>
      </x:c>
      <x:c r="N298" t="str">
        <x:v>Finalizado</x:v>
      </x:c>
      <x:c r="O298" t="str">
        <x:f>IF($H298="Sin envio","Sin envio",IF($I298="90 minutos",IF($F298&gt;$G298,"A",IF($G298&gt;$F298,"B","E")),"E"))</x:f>
        <x:v>B</x:v>
      </x:c>
      <x:c r="P298" t="str">
        <x:f>IF($M298="90 minutos",IF($J298&gt;$K298,"A",IF($K298&gt;$J298,"B","E")),"E")</x:f>
        <x:v>B</x:v>
      </x:c>
      <x:c r="Q298" t="str">
        <x:f>IF($H298="Sin envio","No",IF($H298=$L298,"Si","No"))</x:f>
        <x:v>Si</x:v>
      </x:c>
      <x:c r="R298" t="str">
        <x:f>IF(AND($I298=$M298,NOT(AND($I298="Penales",$F298&lt;&gt;$G298))),"Si","No")</x:f>
        <x:v>Si</x:v>
      </x:c>
      <x:c r="S298" t="n">
        <x:f>IF(OR($N298&lt;&gt;"Finalizado",$Q298&lt;&gt;"Si"),0,IF($O298=$P298,Reglas!$B$2,0))</x:f>
        <x:v>5</x:v>
      </x:c>
      <x:c r="T298" t="n">
        <x:f>IF(OR($N298&lt;&gt;"Finalizado",$Q298&lt;&gt;"Si"),0,Reglas!$B$3)</x:f>
        <x:v>3</x:v>
      </x:c>
      <x:c r="U298" t="n">
        <x:f>IF(OR($N298&lt;&gt;"Finalizado",$Q298&lt;&gt;"Si"),0,IF($I298=$M298,Reglas!$B$4,0))</x:f>
        <x:v>2</x:v>
      </x:c>
      <x:c r="V298" t="n">
        <x:f>IF(OR($N298&lt;&gt;"Finalizado",$Q298&lt;&gt;"Si",$R298&lt;&gt;"Si"),0,IF(AND($F298=$J298,$G298=$K298),Reglas!$B$5,0))</x:f>
        <x:v>4</x:v>
      </x:c>
      <x:c r="W298" t="n">
        <x:f>IF(OR($N298&lt;&gt;"Finalizado",$Q298&lt;&gt;"Si",$R298&lt;&gt;"Si"),0,IF($F298-$G298=$J298-$K298,Reglas!$B$6,0))</x:f>
        <x:v>2</x:v>
      </x:c>
      <x:c r="X298" t="n">
        <x:f>IF(OR($N298&lt;&gt;"Finalizado",$Q298&lt;&gt;"Si",$R298&lt;&gt;"Si"),0,IF($F298=$J298,Reglas!$B$7,0))</x:f>
        <x:v>1</x:v>
      </x:c>
      <x:c r="Y298" t="n">
        <x:f>IF(OR($N298&lt;&gt;"Finalizado",$Q298&lt;&gt;"Si",$R298&lt;&gt;"Si"),0,IF($G298=$K298,Reglas!$B$8,0))</x:f>
        <x:v>1</x:v>
      </x:c>
      <x:c r="Z298" t="n">
        <x:f>SUM($S298:$Y298)</x:f>
        <x:v>18</x:v>
      </x:c>
      <x:c r="AA298" t="str">
        <x:f>IF($N298&lt;&gt;"Finalizado","Resultado pendiente",IF($H298="Sin envio","Sin respuesta",IF($Q298&lt;&gt;"Si","No acerto clasificado","OK")))</x:f>
        <x:v>OK</x:v>
      </x:c>
      <x:c r="AB298" t="str">
        <x:v>Google Forms semifinal + ESPN</x:v>
      </x:c>
      <x:c r="AC298" t="n">
        <x:v>18</x:v>
      </x:c>
      <x:c r="AD298" t="n">
        <x:f>$Z298-$AC298</x:f>
        <x:v>0</x:v>
      </x:c>
    </x:row>
    <x:row r="299" ht="15" hidden="0" customHeight="1">
      <x:c r="A299" t="str">
        <x:v>Semifinal</x:v>
      </x:c>
      <x:c r="B299" t="str">
        <x:v>SF2</x:v>
      </x:c>
      <x:c r="C299" t="str">
        <x:v>Daniel</x:v>
      </x:c>
      <x:c r="D299" t="str">
        <x:v>Inglaterra</x:v>
      </x:c>
      <x:c r="E299" t="str">
        <x:v>Argentina</x:v>
      </x:c>
      <x:c r="F299"/>
      <x:c r="G299"/>
      <x:c r="H299" t="str">
        <x:v>Sin envio</x:v>
      </x:c>
      <x:c r="I299" t="str">
        <x:v>Sin envio</x:v>
      </x:c>
      <x:c r="J299" t="n">
        <x:v>1</x:v>
      </x:c>
      <x:c r="K299" t="n">
        <x:v>2</x:v>
      </x:c>
      <x:c r="L299" t="str">
        <x:v>Argentina</x:v>
      </x:c>
      <x:c r="M299" t="str">
        <x:v>90 minutos</x:v>
      </x:c>
      <x:c r="N299" t="str">
        <x:v>Finalizado</x:v>
      </x:c>
      <x:c r="O299" t="str">
        <x:f>IF($H299="Sin envio","Sin envio",IF($I299="90 minutos",IF($F299&gt;$G299,"A",IF($G299&gt;$F299,"B","E")),"E"))</x:f>
        <x:v>Sin envio</x:v>
      </x:c>
      <x:c r="P299" t="str">
        <x:f>IF($M299="90 minutos",IF($J299&gt;$K299,"A",IF($K299&gt;$J299,"B","E")),"E")</x:f>
        <x:v>B</x:v>
      </x:c>
      <x:c r="Q299" t="str">
        <x:f>IF($H299="Sin envio","No",IF($H299=$L299,"Si","No"))</x:f>
        <x:v>No</x:v>
      </x:c>
      <x:c r="R299" t="str">
        <x:f>IF(AND($I299=$M299,NOT(AND($I299="Penales",$F299&lt;&gt;$G299))),"Si","No")</x:f>
        <x:v>No</x:v>
      </x:c>
      <x:c r="S299" t="n">
        <x:f>IF(OR($N299&lt;&gt;"Finalizado",$Q299&lt;&gt;"Si"),0,IF($O299=$P299,Reglas!$B$2,0))</x:f>
        <x:v>0</x:v>
      </x:c>
      <x:c r="T299" t="n">
        <x:f>IF(OR($N299&lt;&gt;"Finalizado",$Q299&lt;&gt;"Si"),0,Reglas!$B$3)</x:f>
        <x:v>0</x:v>
      </x:c>
      <x:c r="U299" t="n">
        <x:f>IF(OR($N299&lt;&gt;"Finalizado",$Q299&lt;&gt;"Si"),0,IF($I299=$M299,Reglas!$B$4,0))</x:f>
        <x:v>0</x:v>
      </x:c>
      <x:c r="V299" t="n">
        <x:f>IF(OR($N299&lt;&gt;"Finalizado",$Q299&lt;&gt;"Si",$R299&lt;&gt;"Si"),0,IF(AND($F299=$J299,$G299=$K299),Reglas!$B$5,0))</x:f>
        <x:v>0</x:v>
      </x:c>
      <x:c r="W299" t="n">
        <x:f>IF(OR($N299&lt;&gt;"Finalizado",$Q299&lt;&gt;"Si",$R299&lt;&gt;"Si"),0,IF($F299-$G299=$J299-$K299,Reglas!$B$6,0))</x:f>
        <x:v>0</x:v>
      </x:c>
      <x:c r="X299" t="n">
        <x:f>IF(OR($N299&lt;&gt;"Finalizado",$Q299&lt;&gt;"Si",$R299&lt;&gt;"Si"),0,IF($F299=$J299,Reglas!$B$7,0))</x:f>
        <x:v>0</x:v>
      </x:c>
      <x:c r="Y299" t="n">
        <x:f>IF(OR($N299&lt;&gt;"Finalizado",$Q299&lt;&gt;"Si",$R299&lt;&gt;"Si"),0,IF($G299=$K299,Reglas!$B$8,0))</x:f>
        <x:v>0</x:v>
      </x:c>
      <x:c r="Z299" t="n">
        <x:f>SUM($S299:$Y299)</x:f>
        <x:v>0</x:v>
      </x:c>
      <x:c r="AA299" t="str">
        <x:f>IF($N299&lt;&gt;"Finalizado","Resultado pendiente",IF($H299="Sin envio","Sin respuesta",IF($Q299&lt;&gt;"Si","No acerto clasificado","OK")))</x:f>
        <x:v>Sin respuesta</x:v>
      </x:c>
      <x:c r="AB299" t="str">
        <x:v>Google Forms semifinal + ESPN</x:v>
      </x:c>
      <x:c r="AC299" t="n">
        <x:v>0</x:v>
      </x:c>
      <x:c r="AD299" t="n">
        <x:f>$Z299-$AC299</x:f>
        <x:v>0</x:v>
      </x:c>
    </x:row>
    <x:row r="300" ht="15" hidden="0" customHeight="1">
      <x:c r="A300" t="str">
        <x:v>Semifinal</x:v>
      </x:c>
      <x:c r="B300" t="str">
        <x:v>SF2</x:v>
      </x:c>
      <x:c r="C300" t="str">
        <x:v>Arthur</x:v>
      </x:c>
      <x:c r="D300" t="str">
        <x:v>Inglaterra</x:v>
      </x:c>
      <x:c r="E300" t="str">
        <x:v>Argentina</x:v>
      </x:c>
      <x:c r="F300" t="n">
        <x:v>2</x:v>
      </x:c>
      <x:c r="G300" t="n">
        <x:v>1</x:v>
      </x:c>
      <x:c r="H300" t="str">
        <x:v>Inglaterra</x:v>
      </x:c>
      <x:c r="I300" t="str">
        <x:v>90 minutos</x:v>
      </x:c>
      <x:c r="J300" t="n">
        <x:v>1</x:v>
      </x:c>
      <x:c r="K300" t="n">
        <x:v>2</x:v>
      </x:c>
      <x:c r="L300" t="str">
        <x:v>Argentina</x:v>
      </x:c>
      <x:c r="M300" t="str">
        <x:v>90 minutos</x:v>
      </x:c>
      <x:c r="N300" t="str">
        <x:v>Finalizado</x:v>
      </x:c>
      <x:c r="O300" t="str">
        <x:f>IF($H300="Sin envio","Sin envio",IF($I300="90 minutos",IF($F300&gt;$G300,"A",IF($G300&gt;$F300,"B","E")),"E"))</x:f>
        <x:v>A</x:v>
      </x:c>
      <x:c r="P300" t="str">
        <x:f>IF($M300="90 minutos",IF($J300&gt;$K300,"A",IF($K300&gt;$J300,"B","E")),"E")</x:f>
        <x:v>B</x:v>
      </x:c>
      <x:c r="Q300" t="str">
        <x:f>IF($H300="Sin envio","No",IF($H300=$L300,"Si","No"))</x:f>
        <x:v>No</x:v>
      </x:c>
      <x:c r="R300" t="str">
        <x:f>IF(AND($I300=$M300,NOT(AND($I300="Penales",$F300&lt;&gt;$G300))),"Si","No")</x:f>
        <x:v>Si</x:v>
      </x:c>
      <x:c r="S300" t="n">
        <x:f>IF(OR($N300&lt;&gt;"Finalizado",$Q300&lt;&gt;"Si"),0,IF($O300=$P300,Reglas!$B$2,0))</x:f>
        <x:v>0</x:v>
      </x:c>
      <x:c r="T300" t="n">
        <x:f>IF(OR($N300&lt;&gt;"Finalizado",$Q300&lt;&gt;"Si"),0,Reglas!$B$3)</x:f>
        <x:v>0</x:v>
      </x:c>
      <x:c r="U300" t="n">
        <x:f>IF(OR($N300&lt;&gt;"Finalizado",$Q300&lt;&gt;"Si"),0,IF($I300=$M300,Reglas!$B$4,0))</x:f>
        <x:v>0</x:v>
      </x:c>
      <x:c r="V300" t="n">
        <x:f>IF(OR($N300&lt;&gt;"Finalizado",$Q300&lt;&gt;"Si",$R300&lt;&gt;"Si"),0,IF(AND($F300=$J300,$G300=$K300),Reglas!$B$5,0))</x:f>
        <x:v>0</x:v>
      </x:c>
      <x:c r="W300" t="n">
        <x:f>IF(OR($N300&lt;&gt;"Finalizado",$Q300&lt;&gt;"Si",$R300&lt;&gt;"Si"),0,IF($F300-$G300=$J300-$K300,Reglas!$B$6,0))</x:f>
        <x:v>0</x:v>
      </x:c>
      <x:c r="X300" t="n">
        <x:f>IF(OR($N300&lt;&gt;"Finalizado",$Q300&lt;&gt;"Si",$R300&lt;&gt;"Si"),0,IF($F300=$J300,Reglas!$B$7,0))</x:f>
        <x:v>0</x:v>
      </x:c>
      <x:c r="Y300" t="n">
        <x:f>IF(OR($N300&lt;&gt;"Finalizado",$Q300&lt;&gt;"Si",$R300&lt;&gt;"Si"),0,IF($G300=$K300,Reglas!$B$8,0))</x:f>
        <x:v>0</x:v>
      </x:c>
      <x:c r="Z300" t="n">
        <x:f>SUM($S300:$Y300)</x:f>
        <x:v>0</x:v>
      </x:c>
      <x:c r="AA300" t="str">
        <x:f>IF($N300&lt;&gt;"Finalizado","Resultado pendiente",IF($H300="Sin envio","Sin respuesta",IF($Q300&lt;&gt;"Si","No acerto clasificado","OK")))</x:f>
        <x:v>No acerto clasificado</x:v>
      </x:c>
      <x:c r="AB300" t="str">
        <x:v>Google Forms semifinal + ESPN</x:v>
      </x:c>
      <x:c r="AC300" t="n">
        <x:v>0</x:v>
      </x:c>
      <x:c r="AD300" t="n">
        <x:f>$Z300-$AC300</x:f>
        <x:v>0</x:v>
      </x:c>
    </x:row>
    <x:row r="301" ht="15" hidden="0" customHeight="1">
      <x:c r="A301" t="str">
        <x:v>Semifinal</x:v>
      </x:c>
      <x:c r="B301" t="str">
        <x:v>SF2</x:v>
      </x:c>
      <x:c r="C301" t="str">
        <x:v>José Luis</x:v>
      </x:c>
      <x:c r="D301" t="str">
        <x:v>Inglaterra</x:v>
      </x:c>
      <x:c r="E301" t="str">
        <x:v>Argentina</x:v>
      </x:c>
      <x:c r="F301"/>
      <x:c r="G301"/>
      <x:c r="H301" t="str">
        <x:v>Sin envio</x:v>
      </x:c>
      <x:c r="I301" t="str">
        <x:v>Sin envio</x:v>
      </x:c>
      <x:c r="J301" t="n">
        <x:v>1</x:v>
      </x:c>
      <x:c r="K301" t="n">
        <x:v>2</x:v>
      </x:c>
      <x:c r="L301" t="str">
        <x:v>Argentina</x:v>
      </x:c>
      <x:c r="M301" t="str">
        <x:v>90 minutos</x:v>
      </x:c>
      <x:c r="N301" t="str">
        <x:v>Finalizado</x:v>
      </x:c>
      <x:c r="O301" t="str">
        <x:f>IF($H301="Sin envio","Sin envio",IF($I301="90 minutos",IF($F301&gt;$G301,"A",IF($G301&gt;$F301,"B","E")),"E"))</x:f>
        <x:v>Sin envio</x:v>
      </x:c>
      <x:c r="P301" t="str">
        <x:f>IF($M301="90 minutos",IF($J301&gt;$K301,"A",IF($K301&gt;$J301,"B","E")),"E")</x:f>
        <x:v>B</x:v>
      </x:c>
      <x:c r="Q301" t="str">
        <x:f>IF($H301="Sin envio","No",IF($H301=$L301,"Si","No"))</x:f>
        <x:v>No</x:v>
      </x:c>
      <x:c r="R301" t="str">
        <x:f>IF(AND($I301=$M301,NOT(AND($I301="Penales",$F301&lt;&gt;$G301))),"Si","No")</x:f>
        <x:v>No</x:v>
      </x:c>
      <x:c r="S301" t="n">
        <x:f>IF(OR($N301&lt;&gt;"Finalizado",$Q301&lt;&gt;"Si"),0,IF($O301=$P301,Reglas!$B$2,0))</x:f>
        <x:v>0</x:v>
      </x:c>
      <x:c r="T301" t="n">
        <x:f>IF(OR($N301&lt;&gt;"Finalizado",$Q301&lt;&gt;"Si"),0,Reglas!$B$3)</x:f>
        <x:v>0</x:v>
      </x:c>
      <x:c r="U301" t="n">
        <x:f>IF(OR($N301&lt;&gt;"Finalizado",$Q301&lt;&gt;"Si"),0,IF($I301=$M301,Reglas!$B$4,0))</x:f>
        <x:v>0</x:v>
      </x:c>
      <x:c r="V301" t="n">
        <x:f>IF(OR($N301&lt;&gt;"Finalizado",$Q301&lt;&gt;"Si",$R301&lt;&gt;"Si"),0,IF(AND($F301=$J301,$G301=$K301),Reglas!$B$5,0))</x:f>
        <x:v>0</x:v>
      </x:c>
      <x:c r="W301" t="n">
        <x:f>IF(OR($N301&lt;&gt;"Finalizado",$Q301&lt;&gt;"Si",$R301&lt;&gt;"Si"),0,IF($F301-$G301=$J301-$K301,Reglas!$B$6,0))</x:f>
        <x:v>0</x:v>
      </x:c>
      <x:c r="X301" t="n">
        <x:f>IF(OR($N301&lt;&gt;"Finalizado",$Q301&lt;&gt;"Si",$R301&lt;&gt;"Si"),0,IF($F301=$J301,Reglas!$B$7,0))</x:f>
        <x:v>0</x:v>
      </x:c>
      <x:c r="Y301" t="n">
        <x:f>IF(OR($N301&lt;&gt;"Finalizado",$Q301&lt;&gt;"Si",$R301&lt;&gt;"Si"),0,IF($G301=$K301,Reglas!$B$8,0))</x:f>
        <x:v>0</x:v>
      </x:c>
      <x:c r="Z301" t="n">
        <x:f>SUM($S301:$Y301)</x:f>
        <x:v>0</x:v>
      </x:c>
      <x:c r="AA301" t="str">
        <x:f>IF($N301&lt;&gt;"Finalizado","Resultado pendiente",IF($H301="Sin envio","Sin respuesta",IF($Q301&lt;&gt;"Si","No acerto clasificado","OK")))</x:f>
        <x:v>Sin respuesta</x:v>
      </x:c>
      <x:c r="AB301" t="str">
        <x:v>Google Forms semifinal + ESPN</x:v>
      </x:c>
      <x:c r="AC301" t="n">
        <x:v>0</x:v>
      </x:c>
      <x:c r="AD301" t="n">
        <x:f>$Z301-$AC301</x:f>
        <x:v>0</x:v>
      </x:c>
    </x:row>
    <x:row r="302" ht="15" hidden="0" customHeight="1">
      <x:c r="A302" t="str">
        <x:v>Semifinal</x:v>
      </x:c>
      <x:c r="B302" t="str">
        <x:v>SF2</x:v>
      </x:c>
      <x:c r="C302" t="str">
        <x:v>Marcelo</x:v>
      </x:c>
      <x:c r="D302" t="str">
        <x:v>Inglaterra</x:v>
      </x:c>
      <x:c r="E302" t="str">
        <x:v>Argentina</x:v>
      </x:c>
      <x:c r="F302"/>
      <x:c r="G302"/>
      <x:c r="H302" t="str">
        <x:v>Sin envio</x:v>
      </x:c>
      <x:c r="I302" t="str">
        <x:v>Sin envio</x:v>
      </x:c>
      <x:c r="J302" t="n">
        <x:v>1</x:v>
      </x:c>
      <x:c r="K302" t="n">
        <x:v>2</x:v>
      </x:c>
      <x:c r="L302" t="str">
        <x:v>Argentina</x:v>
      </x:c>
      <x:c r="M302" t="str">
        <x:v>90 minutos</x:v>
      </x:c>
      <x:c r="N302" t="str">
        <x:v>Finalizado</x:v>
      </x:c>
      <x:c r="O302" t="str">
        <x:f>IF($H302="Sin envio","Sin envio",IF($I302="90 minutos",IF($F302&gt;$G302,"A",IF($G302&gt;$F302,"B","E")),"E"))</x:f>
        <x:v>Sin envio</x:v>
      </x:c>
      <x:c r="P302" t="str">
        <x:f>IF($M302="90 minutos",IF($J302&gt;$K302,"A",IF($K302&gt;$J302,"B","E")),"E")</x:f>
        <x:v>B</x:v>
      </x:c>
      <x:c r="Q302" t="str">
        <x:f>IF($H302="Sin envio","No",IF($H302=$L302,"Si","No"))</x:f>
        <x:v>No</x:v>
      </x:c>
      <x:c r="R302" t="str">
        <x:f>IF(AND($I302=$M302,NOT(AND($I302="Penales",$F302&lt;&gt;$G302))),"Si","No")</x:f>
        <x:v>No</x:v>
      </x:c>
      <x:c r="S302" t="n">
        <x:f>IF(OR($N302&lt;&gt;"Finalizado",$Q302&lt;&gt;"Si"),0,IF($O302=$P302,Reglas!$B$2,0))</x:f>
        <x:v>0</x:v>
      </x:c>
      <x:c r="T302" t="n">
        <x:f>IF(OR($N302&lt;&gt;"Finalizado",$Q302&lt;&gt;"Si"),0,Reglas!$B$3)</x:f>
        <x:v>0</x:v>
      </x:c>
      <x:c r="U302" t="n">
        <x:f>IF(OR($N302&lt;&gt;"Finalizado",$Q302&lt;&gt;"Si"),0,IF($I302=$M302,Reglas!$B$4,0))</x:f>
        <x:v>0</x:v>
      </x:c>
      <x:c r="V302" t="n">
        <x:f>IF(OR($N302&lt;&gt;"Finalizado",$Q302&lt;&gt;"Si",$R302&lt;&gt;"Si"),0,IF(AND($F302=$J302,$G302=$K302),Reglas!$B$5,0))</x:f>
        <x:v>0</x:v>
      </x:c>
      <x:c r="W302" t="n">
        <x:f>IF(OR($N302&lt;&gt;"Finalizado",$Q302&lt;&gt;"Si",$R302&lt;&gt;"Si"),0,IF($F302-$G302=$J302-$K302,Reglas!$B$6,0))</x:f>
        <x:v>0</x:v>
      </x:c>
      <x:c r="X302" t="n">
        <x:f>IF(OR($N302&lt;&gt;"Finalizado",$Q302&lt;&gt;"Si",$R302&lt;&gt;"Si"),0,IF($F302=$J302,Reglas!$B$7,0))</x:f>
        <x:v>0</x:v>
      </x:c>
      <x:c r="Y302" t="n">
        <x:f>IF(OR($N302&lt;&gt;"Finalizado",$Q302&lt;&gt;"Si",$R302&lt;&gt;"Si"),0,IF($G302=$K302,Reglas!$B$8,0))</x:f>
        <x:v>0</x:v>
      </x:c>
      <x:c r="Z302" t="n">
        <x:f>SUM($S302:$Y302)</x:f>
        <x:v>0</x:v>
      </x:c>
      <x:c r="AA302" t="str">
        <x:f>IF($N302&lt;&gt;"Finalizado","Resultado pendiente",IF($H302="Sin envio","Sin respuesta",IF($Q302&lt;&gt;"Si","No acerto clasificado","OK")))</x:f>
        <x:v>Sin respuesta</x:v>
      </x:c>
      <x:c r="AB302" t="str">
        <x:v>Google Forms semifinal + ESPN</x:v>
      </x:c>
      <x:c r="AC302" t="n">
        <x:v>0</x:v>
      </x:c>
      <x:c r="AD302" t="n">
        <x:f>$Z302-$AC302</x:f>
        <x:v>0</x:v>
      </x:c>
    </x:row>
    <x:row r="303" ht="15" hidden="0" customHeight="1">
      <x:c r="A303" t="str">
        <x:v>Semifinal</x:v>
      </x:c>
      <x:c r="B303" t="str">
        <x:v>SF2</x:v>
      </x:c>
      <x:c r="C303" t="str">
        <x:v>Anny</x:v>
      </x:c>
      <x:c r="D303" t="str">
        <x:v>Inglaterra</x:v>
      </x:c>
      <x:c r="E303" t="str">
        <x:v>Argentina</x:v>
      </x:c>
      <x:c r="F303" t="n">
        <x:v>2</x:v>
      </x:c>
      <x:c r="G303" t="n">
        <x:v>2</x:v>
      </x:c>
      <x:c r="H303" t="str">
        <x:v>Argentina</x:v>
      </x:c>
      <x:c r="I303" t="str">
        <x:v>Penales</x:v>
      </x:c>
      <x:c r="J303" t="n">
        <x:v>1</x:v>
      </x:c>
      <x:c r="K303" t="n">
        <x:v>2</x:v>
      </x:c>
      <x:c r="L303" t="str">
        <x:v>Argentina</x:v>
      </x:c>
      <x:c r="M303" t="str">
        <x:v>90 minutos</x:v>
      </x:c>
      <x:c r="N303" t="str">
        <x:v>Finalizado</x:v>
      </x:c>
      <x:c r="O303" t="str">
        <x:f>IF($H303="Sin envio","Sin envio",IF($I303="90 minutos",IF($F303&gt;$G303,"A",IF($G303&gt;$F303,"B","E")),"E"))</x:f>
        <x:v>E</x:v>
      </x:c>
      <x:c r="P303" t="str">
        <x:f>IF($M303="90 minutos",IF($J303&gt;$K303,"A",IF($K303&gt;$J303,"B","E")),"E")</x:f>
        <x:v>B</x:v>
      </x:c>
      <x:c r="Q303" t="str">
        <x:f>IF($H303="Sin envio","No",IF($H303=$L303,"Si","No"))</x:f>
        <x:v>Si</x:v>
      </x:c>
      <x:c r="R303" t="str">
        <x:f>IF(AND($I303=$M303,NOT(AND($I303="Penales",$F303&lt;&gt;$G303))),"Si","No")</x:f>
        <x:v>No</x:v>
      </x:c>
      <x:c r="S303" t="n">
        <x:f>IF(OR($N303&lt;&gt;"Finalizado",$Q303&lt;&gt;"Si"),0,IF($O303=$P303,Reglas!$B$2,0))</x:f>
        <x:v>0</x:v>
      </x:c>
      <x:c r="T303" t="n">
        <x:f>IF(OR($N303&lt;&gt;"Finalizado",$Q303&lt;&gt;"Si"),0,Reglas!$B$3)</x:f>
        <x:v>3</x:v>
      </x:c>
      <x:c r="U303" t="n">
        <x:f>IF(OR($N303&lt;&gt;"Finalizado",$Q303&lt;&gt;"Si"),0,IF($I303=$M303,Reglas!$B$4,0))</x:f>
        <x:v>0</x:v>
      </x:c>
      <x:c r="V303" t="n">
        <x:f>IF(OR($N303&lt;&gt;"Finalizado",$Q303&lt;&gt;"Si",$R303&lt;&gt;"Si"),0,IF(AND($F303=$J303,$G303=$K303),Reglas!$B$5,0))</x:f>
        <x:v>0</x:v>
      </x:c>
      <x:c r="W303" t="n">
        <x:f>IF(OR($N303&lt;&gt;"Finalizado",$Q303&lt;&gt;"Si",$R303&lt;&gt;"Si"),0,IF($F303-$G303=$J303-$K303,Reglas!$B$6,0))</x:f>
        <x:v>0</x:v>
      </x:c>
      <x:c r="X303" t="n">
        <x:f>IF(OR($N303&lt;&gt;"Finalizado",$Q303&lt;&gt;"Si",$R303&lt;&gt;"Si"),0,IF($F303=$J303,Reglas!$B$7,0))</x:f>
        <x:v>0</x:v>
      </x:c>
      <x:c r="Y303" t="n">
        <x:f>IF(OR($N303&lt;&gt;"Finalizado",$Q303&lt;&gt;"Si",$R303&lt;&gt;"Si"),0,IF($G303=$K303,Reglas!$B$8,0))</x:f>
        <x:v>0</x:v>
      </x:c>
      <x:c r="Z303" t="n">
        <x:f>SUM($S303:$Y303)</x:f>
        <x:v>3</x:v>
      </x:c>
      <x:c r="AA303" t="str">
        <x:f>IF($N303&lt;&gt;"Finalizado","Resultado pendiente",IF($H303="Sin envio","Sin respuesta",IF($Q303&lt;&gt;"Si","No acerto clasificado","OK")))</x:f>
        <x:v>OK</x:v>
      </x:c>
      <x:c r="AB303" t="str">
        <x:v>Google Forms semifinal + ESPN</x:v>
      </x:c>
      <x:c r="AC303" t="n">
        <x:v>3</x:v>
      </x:c>
      <x:c r="AD303" t="n">
        <x:f>$Z303-$AC303</x:f>
        <x:v>0</x:v>
      </x:c>
    </x:row>
    <x:row r="304" ht="15" hidden="0" customHeight="1">
      <x:c r="A304" t="str">
        <x:v>Semifinal</x:v>
      </x:c>
      <x:c r="B304" t="str">
        <x:v>SF2</x:v>
      </x:c>
      <x:c r="C304" t="str">
        <x:v>Moisés</x:v>
      </x:c>
      <x:c r="D304" t="str">
        <x:v>Inglaterra</x:v>
      </x:c>
      <x:c r="E304" t="str">
        <x:v>Argentina</x:v>
      </x:c>
      <x:c r="F304" t="n">
        <x:v>2</x:v>
      </x:c>
      <x:c r="G304" t="n">
        <x:v>2</x:v>
      </x:c>
      <x:c r="H304" t="str">
        <x:v>Inglaterra</x:v>
      </x:c>
      <x:c r="I304" t="str">
        <x:v>Penales</x:v>
      </x:c>
      <x:c r="J304" t="n">
        <x:v>1</x:v>
      </x:c>
      <x:c r="K304" t="n">
        <x:v>2</x:v>
      </x:c>
      <x:c r="L304" t="str">
        <x:v>Argentina</x:v>
      </x:c>
      <x:c r="M304" t="str">
        <x:v>90 minutos</x:v>
      </x:c>
      <x:c r="N304" t="str">
        <x:v>Finalizado</x:v>
      </x:c>
      <x:c r="O304" t="str">
        <x:f>IF($H304="Sin envio","Sin envio",IF($I304="90 minutos",IF($F304&gt;$G304,"A",IF($G304&gt;$F304,"B","E")),"E"))</x:f>
        <x:v>E</x:v>
      </x:c>
      <x:c r="P304" t="str">
        <x:f>IF($M304="90 minutos",IF($J304&gt;$K304,"A",IF($K304&gt;$J304,"B","E")),"E")</x:f>
        <x:v>B</x:v>
      </x:c>
      <x:c r="Q304" t="str">
        <x:f>IF($H304="Sin envio","No",IF($H304=$L304,"Si","No"))</x:f>
        <x:v>No</x:v>
      </x:c>
      <x:c r="R304" t="str">
        <x:f>IF(AND($I304=$M304,NOT(AND($I304="Penales",$F304&lt;&gt;$G304))),"Si","No")</x:f>
        <x:v>No</x:v>
      </x:c>
      <x:c r="S304" t="n">
        <x:f>IF(OR($N304&lt;&gt;"Finalizado",$Q304&lt;&gt;"Si"),0,IF($O304=$P304,Reglas!$B$2,0))</x:f>
        <x:v>0</x:v>
      </x:c>
      <x:c r="T304" t="n">
        <x:f>IF(OR($N304&lt;&gt;"Finalizado",$Q304&lt;&gt;"Si"),0,Reglas!$B$3)</x:f>
        <x:v>0</x:v>
      </x:c>
      <x:c r="U304" t="n">
        <x:f>IF(OR($N304&lt;&gt;"Finalizado",$Q304&lt;&gt;"Si"),0,IF($I304=$M304,Reglas!$B$4,0))</x:f>
        <x:v>0</x:v>
      </x:c>
      <x:c r="V304" t="n">
        <x:f>IF(OR($N304&lt;&gt;"Finalizado",$Q304&lt;&gt;"Si",$R304&lt;&gt;"Si"),0,IF(AND($F304=$J304,$G304=$K304),Reglas!$B$5,0))</x:f>
        <x:v>0</x:v>
      </x:c>
      <x:c r="W304" t="n">
        <x:f>IF(OR($N304&lt;&gt;"Finalizado",$Q304&lt;&gt;"Si",$R304&lt;&gt;"Si"),0,IF($F304-$G304=$J304-$K304,Reglas!$B$6,0))</x:f>
        <x:v>0</x:v>
      </x:c>
      <x:c r="X304" t="n">
        <x:f>IF(OR($N304&lt;&gt;"Finalizado",$Q304&lt;&gt;"Si",$R304&lt;&gt;"Si"),0,IF($F304=$J304,Reglas!$B$7,0))</x:f>
        <x:v>0</x:v>
      </x:c>
      <x:c r="Y304" t="n">
        <x:f>IF(OR($N304&lt;&gt;"Finalizado",$Q304&lt;&gt;"Si",$R304&lt;&gt;"Si"),0,IF($G304=$K304,Reglas!$B$8,0))</x:f>
        <x:v>0</x:v>
      </x:c>
      <x:c r="Z304" t="n">
        <x:f>SUM($S304:$Y304)</x:f>
        <x:v>0</x:v>
      </x:c>
      <x:c r="AA304" t="str">
        <x:f>IF($N304&lt;&gt;"Finalizado","Resultado pendiente",IF($H304="Sin envio","Sin respuesta",IF($Q304&lt;&gt;"Si","No acerto clasificado","OK")))</x:f>
        <x:v>No acerto clasificado</x:v>
      </x:c>
      <x:c r="AB304" t="str">
        <x:v>Google Forms semifinal + ESPN</x:v>
      </x:c>
      <x:c r="AC304" t="n">
        <x:v>0</x:v>
      </x:c>
      <x:c r="AD304" t="n">
        <x:f>$Z304-$AC304</x:f>
        <x:v>0</x:v>
      </x:c>
    </x:row>
    <x:row r="305" ht="15" hidden="0" customHeight="1">
      <x:c r="A305" t="str">
        <x:v>Semifinal</x:v>
      </x:c>
      <x:c r="B305" t="str">
        <x:v>SF2</x:v>
      </x:c>
      <x:c r="C305" t="str">
        <x:v>Alex</x:v>
      </x:c>
      <x:c r="D305" t="str">
        <x:v>Inglaterra</x:v>
      </x:c>
      <x:c r="E305" t="str">
        <x:v>Argentina</x:v>
      </x:c>
      <x:c r="F305" t="n">
        <x:v>2</x:v>
      </x:c>
      <x:c r="G305" t="n">
        <x:v>3</x:v>
      </x:c>
      <x:c r="H305" t="str">
        <x:v>Argentina</x:v>
      </x:c>
      <x:c r="I305" t="str">
        <x:v>Suplementario</x:v>
      </x:c>
      <x:c r="J305" t="n">
        <x:v>1</x:v>
      </x:c>
      <x:c r="K305" t="n">
        <x:v>2</x:v>
      </x:c>
      <x:c r="L305" t="str">
        <x:v>Argentina</x:v>
      </x:c>
      <x:c r="M305" t="str">
        <x:v>90 minutos</x:v>
      </x:c>
      <x:c r="N305" t="str">
        <x:v>Finalizado</x:v>
      </x:c>
      <x:c r="O305" t="str">
        <x:f>IF($H305="Sin envio","Sin envio",IF($I305="90 minutos",IF($F305&gt;$G305,"A",IF($G305&gt;$F305,"B","E")),"E"))</x:f>
        <x:v>E</x:v>
      </x:c>
      <x:c r="P305" t="str">
        <x:f>IF($M305="90 minutos",IF($J305&gt;$K305,"A",IF($K305&gt;$J305,"B","E")),"E")</x:f>
        <x:v>B</x:v>
      </x:c>
      <x:c r="Q305" t="str">
        <x:f>IF($H305="Sin envio","No",IF($H305=$L305,"Si","No"))</x:f>
        <x:v>Si</x:v>
      </x:c>
      <x:c r="R305" t="str">
        <x:f>IF(AND($I305=$M305,NOT(AND($I305="Penales",$F305&lt;&gt;$G305))),"Si","No")</x:f>
        <x:v>No</x:v>
      </x:c>
      <x:c r="S305" t="n">
        <x:f>IF(OR($N305&lt;&gt;"Finalizado",$Q305&lt;&gt;"Si"),0,IF($O305=$P305,Reglas!$B$2,0))</x:f>
        <x:v>0</x:v>
      </x:c>
      <x:c r="T305" t="n">
        <x:f>IF(OR($N305&lt;&gt;"Finalizado",$Q305&lt;&gt;"Si"),0,Reglas!$B$3)</x:f>
        <x:v>3</x:v>
      </x:c>
      <x:c r="U305" t="n">
        <x:f>IF(OR($N305&lt;&gt;"Finalizado",$Q305&lt;&gt;"Si"),0,IF($I305=$M305,Reglas!$B$4,0))</x:f>
        <x:v>0</x:v>
      </x:c>
      <x:c r="V305" t="n">
        <x:f>IF(OR($N305&lt;&gt;"Finalizado",$Q305&lt;&gt;"Si",$R305&lt;&gt;"Si"),0,IF(AND($F305=$J305,$G305=$K305),Reglas!$B$5,0))</x:f>
        <x:v>0</x:v>
      </x:c>
      <x:c r="W305" t="n">
        <x:f>IF(OR($N305&lt;&gt;"Finalizado",$Q305&lt;&gt;"Si",$R305&lt;&gt;"Si"),0,IF($F305-$G305=$J305-$K305,Reglas!$B$6,0))</x:f>
        <x:v>0</x:v>
      </x:c>
      <x:c r="X305" t="n">
        <x:f>IF(OR($N305&lt;&gt;"Finalizado",$Q305&lt;&gt;"Si",$R305&lt;&gt;"Si"),0,IF($F305=$J305,Reglas!$B$7,0))</x:f>
        <x:v>0</x:v>
      </x:c>
      <x:c r="Y305" t="n">
        <x:f>IF(OR($N305&lt;&gt;"Finalizado",$Q305&lt;&gt;"Si",$R305&lt;&gt;"Si"),0,IF($G305=$K305,Reglas!$B$8,0))</x:f>
        <x:v>0</x:v>
      </x:c>
      <x:c r="Z305" t="n">
        <x:f>SUM($S305:$Y305)</x:f>
        <x:v>3</x:v>
      </x:c>
      <x:c r="AA305" t="str">
        <x:f>IF($N305&lt;&gt;"Finalizado","Resultado pendiente",IF($H305="Sin envio","Sin respuesta",IF($Q305&lt;&gt;"Si","No acerto clasificado","OK")))</x:f>
        <x:v>OK</x:v>
      </x:c>
      <x:c r="AB305" t="str">
        <x:v>Google Forms semifinal + ESPN</x:v>
      </x:c>
      <x:c r="AC305" t="n">
        <x:v>3</x:v>
      </x:c>
      <x:c r="AD305" t="n">
        <x:f>$Z305-$AC305</x:f>
        <x:v>0</x:v>
      </x:c>
    </x:row>
    <x:row r="306" ht="15" hidden="0" customHeight="1">
      <x:c r="A306" t="str">
        <x:v>Semifinal</x:v>
      </x:c>
      <x:c r="B306" t="str">
        <x:v>SF2</x:v>
      </x:c>
      <x:c r="C306" t="str">
        <x:v>Omar</x:v>
      </x:c>
      <x:c r="D306" t="str">
        <x:v>Inglaterra</x:v>
      </x:c>
      <x:c r="E306" t="str">
        <x:v>Argentina</x:v>
      </x:c>
      <x:c r="F306"/>
      <x:c r="G306"/>
      <x:c r="H306" t="str">
        <x:v>Sin envio</x:v>
      </x:c>
      <x:c r="I306" t="str">
        <x:v>Sin envio</x:v>
      </x:c>
      <x:c r="J306" t="n">
        <x:v>1</x:v>
      </x:c>
      <x:c r="K306" t="n">
        <x:v>2</x:v>
      </x:c>
      <x:c r="L306" t="str">
        <x:v>Argentina</x:v>
      </x:c>
      <x:c r="M306" t="str">
        <x:v>90 minutos</x:v>
      </x:c>
      <x:c r="N306" t="str">
        <x:v>Finalizado</x:v>
      </x:c>
      <x:c r="O306" t="str">
        <x:f>IF($H306="Sin envio","Sin envio",IF($I306="90 minutos",IF($F306&gt;$G306,"A",IF($G306&gt;$F306,"B","E")),"E"))</x:f>
        <x:v>Sin envio</x:v>
      </x:c>
      <x:c r="P306" t="str">
        <x:f>IF($M306="90 minutos",IF($J306&gt;$K306,"A",IF($K306&gt;$J306,"B","E")),"E")</x:f>
        <x:v>B</x:v>
      </x:c>
      <x:c r="Q306" t="str">
        <x:f>IF($H306="Sin envio","No",IF($H306=$L306,"Si","No"))</x:f>
        <x:v>No</x:v>
      </x:c>
      <x:c r="R306" t="str">
        <x:f>IF(AND($I306=$M306,NOT(AND($I306="Penales",$F306&lt;&gt;$G306))),"Si","No")</x:f>
        <x:v>No</x:v>
      </x:c>
      <x:c r="S306" t="n">
        <x:f>IF(OR($N306&lt;&gt;"Finalizado",$Q306&lt;&gt;"Si"),0,IF($O306=$P306,Reglas!$B$2,0))</x:f>
        <x:v>0</x:v>
      </x:c>
      <x:c r="T306" t="n">
        <x:f>IF(OR($N306&lt;&gt;"Finalizado",$Q306&lt;&gt;"Si"),0,Reglas!$B$3)</x:f>
        <x:v>0</x:v>
      </x:c>
      <x:c r="U306" t="n">
        <x:f>IF(OR($N306&lt;&gt;"Finalizado",$Q306&lt;&gt;"Si"),0,IF($I306=$M306,Reglas!$B$4,0))</x:f>
        <x:v>0</x:v>
      </x:c>
      <x:c r="V306" t="n">
        <x:f>IF(OR($N306&lt;&gt;"Finalizado",$Q306&lt;&gt;"Si",$R306&lt;&gt;"Si"),0,IF(AND($F306=$J306,$G306=$K306),Reglas!$B$5,0))</x:f>
        <x:v>0</x:v>
      </x:c>
      <x:c r="W306" t="n">
        <x:f>IF(OR($N306&lt;&gt;"Finalizado",$Q306&lt;&gt;"Si",$R306&lt;&gt;"Si"),0,IF($F306-$G306=$J306-$K306,Reglas!$B$6,0))</x:f>
        <x:v>0</x:v>
      </x:c>
      <x:c r="X306" t="n">
        <x:f>IF(OR($N306&lt;&gt;"Finalizado",$Q306&lt;&gt;"Si",$R306&lt;&gt;"Si"),0,IF($F306=$J306,Reglas!$B$7,0))</x:f>
        <x:v>0</x:v>
      </x:c>
      <x:c r="Y306" t="n">
        <x:f>IF(OR($N306&lt;&gt;"Finalizado",$Q306&lt;&gt;"Si",$R306&lt;&gt;"Si"),0,IF($G306=$K306,Reglas!$B$8,0))</x:f>
        <x:v>0</x:v>
      </x:c>
      <x:c r="Z306" t="n">
        <x:f>SUM($S306:$Y306)</x:f>
        <x:v>0</x:v>
      </x:c>
      <x:c r="AA306" t="str">
        <x:f>IF($N306&lt;&gt;"Finalizado","Resultado pendiente",IF($H306="Sin envio","Sin respuesta",IF($Q306&lt;&gt;"Si","No acerto clasificado","OK")))</x:f>
        <x:v>Sin respuesta</x:v>
      </x:c>
      <x:c r="AB306" t="str">
        <x:v>Google Forms semifinal + ESPN</x:v>
      </x:c>
      <x:c r="AC306" t="n">
        <x:v>0</x:v>
      </x:c>
      <x:c r="AD306" t="n">
        <x:f>$Z306-$AC306</x:f>
        <x:v>0</x:v>
      </x:c>
    </x:row>
    <x:row r="307" ht="15" hidden="0" customHeight="1">
      <x:c r="A307" t="str">
        <x:v>Semifinal</x:v>
      </x:c>
      <x:c r="B307" t="str">
        <x:v>SF2</x:v>
      </x:c>
      <x:c r="C307" t="str">
        <x:v>Fernando</x:v>
      </x:c>
      <x:c r="D307" t="str">
        <x:v>Inglaterra</x:v>
      </x:c>
      <x:c r="E307" t="str">
        <x:v>Argentina</x:v>
      </x:c>
      <x:c r="F307" t="n">
        <x:v>2</x:v>
      </x:c>
      <x:c r="G307" t="n">
        <x:v>3</x:v>
      </x:c>
      <x:c r="H307" t="str">
        <x:v>Argentina</x:v>
      </x:c>
      <x:c r="I307" t="str">
        <x:v>Suplementario</x:v>
      </x:c>
      <x:c r="J307" t="n">
        <x:v>1</x:v>
      </x:c>
      <x:c r="K307" t="n">
        <x:v>2</x:v>
      </x:c>
      <x:c r="L307" t="str">
        <x:v>Argentina</x:v>
      </x:c>
      <x:c r="M307" t="str">
        <x:v>90 minutos</x:v>
      </x:c>
      <x:c r="N307" t="str">
        <x:v>Finalizado</x:v>
      </x:c>
      <x:c r="O307" t="str">
        <x:f>IF($H307="Sin envio","Sin envio",IF($I307="90 minutos",IF($F307&gt;$G307,"A",IF($G307&gt;$F307,"B","E")),"E"))</x:f>
        <x:v>E</x:v>
      </x:c>
      <x:c r="P307" t="str">
        <x:f>IF($M307="90 minutos",IF($J307&gt;$K307,"A",IF($K307&gt;$J307,"B","E")),"E")</x:f>
        <x:v>B</x:v>
      </x:c>
      <x:c r="Q307" t="str">
        <x:f>IF($H307="Sin envio","No",IF($H307=$L307,"Si","No"))</x:f>
        <x:v>Si</x:v>
      </x:c>
      <x:c r="R307" t="str">
        <x:f>IF(AND($I307=$M307,NOT(AND($I307="Penales",$F307&lt;&gt;$G307))),"Si","No")</x:f>
        <x:v>No</x:v>
      </x:c>
      <x:c r="S307" t="n">
        <x:f>IF(OR($N307&lt;&gt;"Finalizado",$Q307&lt;&gt;"Si"),0,IF($O307=$P307,Reglas!$B$2,0))</x:f>
        <x:v>0</x:v>
      </x:c>
      <x:c r="T307" t="n">
        <x:f>IF(OR($N307&lt;&gt;"Finalizado",$Q307&lt;&gt;"Si"),0,Reglas!$B$3)</x:f>
        <x:v>3</x:v>
      </x:c>
      <x:c r="U307" t="n">
        <x:f>IF(OR($N307&lt;&gt;"Finalizado",$Q307&lt;&gt;"Si"),0,IF($I307=$M307,Reglas!$B$4,0))</x:f>
        <x:v>0</x:v>
      </x:c>
      <x:c r="V307" t="n">
        <x:f>IF(OR($N307&lt;&gt;"Finalizado",$Q307&lt;&gt;"Si",$R307&lt;&gt;"Si"),0,IF(AND($F307=$J307,$G307=$K307),Reglas!$B$5,0))</x:f>
        <x:v>0</x:v>
      </x:c>
      <x:c r="W307" t="n">
        <x:f>IF(OR($N307&lt;&gt;"Finalizado",$Q307&lt;&gt;"Si",$R307&lt;&gt;"Si"),0,IF($F307-$G307=$J307-$K307,Reglas!$B$6,0))</x:f>
        <x:v>0</x:v>
      </x:c>
      <x:c r="X307" t="n">
        <x:f>IF(OR($N307&lt;&gt;"Finalizado",$Q307&lt;&gt;"Si",$R307&lt;&gt;"Si"),0,IF($F307=$J307,Reglas!$B$7,0))</x:f>
        <x:v>0</x:v>
      </x:c>
      <x:c r="Y307" t="n">
        <x:f>IF(OR($N307&lt;&gt;"Finalizado",$Q307&lt;&gt;"Si",$R307&lt;&gt;"Si"),0,IF($G307=$K307,Reglas!$B$8,0))</x:f>
        <x:v>0</x:v>
      </x:c>
      <x:c r="Z307" t="n">
        <x:f>SUM($S307:$Y307)</x:f>
        <x:v>3</x:v>
      </x:c>
      <x:c r="AA307" t="str">
        <x:f>IF($N307&lt;&gt;"Finalizado","Resultado pendiente",IF($H307="Sin envio","Sin respuesta",IF($Q307&lt;&gt;"Si","No acerto clasificado","OK")))</x:f>
        <x:v>OK</x:v>
      </x:c>
      <x:c r="AB307" t="str">
        <x:v>Google Forms semifinal + ESPN</x:v>
      </x:c>
      <x:c r="AC307" t="n">
        <x:v>3</x:v>
      </x:c>
      <x:c r="AD307" t="n">
        <x:f>$Z307-$AC307</x:f>
        <x:v>0</x:v>
      </x:c>
    </x:row>
    <x:row r="308" ht="15" hidden="0" customHeight="1">
      <x:c r="A308" t="str">
        <x:v>Semifinal</x:v>
      </x:c>
      <x:c r="B308" t="str">
        <x:v>SF2</x:v>
      </x:c>
      <x:c r="C308" t="str">
        <x:v>Diana</x:v>
      </x:c>
      <x:c r="D308" t="str">
        <x:v>Inglaterra</x:v>
      </x:c>
      <x:c r="E308" t="str">
        <x:v>Argentina</x:v>
      </x:c>
      <x:c r="F308"/>
      <x:c r="G308"/>
      <x:c r="H308" t="str">
        <x:v>Sin envio</x:v>
      </x:c>
      <x:c r="I308" t="str">
        <x:v>Sin envio</x:v>
      </x:c>
      <x:c r="J308" t="n">
        <x:v>1</x:v>
      </x:c>
      <x:c r="K308" t="n">
        <x:v>2</x:v>
      </x:c>
      <x:c r="L308" t="str">
        <x:v>Argentina</x:v>
      </x:c>
      <x:c r="M308" t="str">
        <x:v>90 minutos</x:v>
      </x:c>
      <x:c r="N308" t="str">
        <x:v>Finalizado</x:v>
      </x:c>
      <x:c r="O308" t="str">
        <x:f>IF($H308="Sin envio","Sin envio",IF($I308="90 minutos",IF($F308&gt;$G308,"A",IF($G308&gt;$F308,"B","E")),"E"))</x:f>
        <x:v>Sin envio</x:v>
      </x:c>
      <x:c r="P308" t="str">
        <x:f>IF($M308="90 minutos",IF($J308&gt;$K308,"A",IF($K308&gt;$J308,"B","E")),"E")</x:f>
        <x:v>B</x:v>
      </x:c>
      <x:c r="Q308" t="str">
        <x:f>IF($H308="Sin envio","No",IF($H308=$L308,"Si","No"))</x:f>
        <x:v>No</x:v>
      </x:c>
      <x:c r="R308" t="str">
        <x:f>IF(AND($I308=$M308,NOT(AND($I308="Penales",$F308&lt;&gt;$G308))),"Si","No")</x:f>
        <x:v>No</x:v>
      </x:c>
      <x:c r="S308" t="n">
        <x:f>IF(OR($N308&lt;&gt;"Finalizado",$Q308&lt;&gt;"Si"),0,IF($O308=$P308,Reglas!$B$2,0))</x:f>
        <x:v>0</x:v>
      </x:c>
      <x:c r="T308" t="n">
        <x:f>IF(OR($N308&lt;&gt;"Finalizado",$Q308&lt;&gt;"Si"),0,Reglas!$B$3)</x:f>
        <x:v>0</x:v>
      </x:c>
      <x:c r="U308" t="n">
        <x:f>IF(OR($N308&lt;&gt;"Finalizado",$Q308&lt;&gt;"Si"),0,IF($I308=$M308,Reglas!$B$4,0))</x:f>
        <x:v>0</x:v>
      </x:c>
      <x:c r="V308" t="n">
        <x:f>IF(OR($N308&lt;&gt;"Finalizado",$Q308&lt;&gt;"Si",$R308&lt;&gt;"Si"),0,IF(AND($F308=$J308,$G308=$K308),Reglas!$B$5,0))</x:f>
        <x:v>0</x:v>
      </x:c>
      <x:c r="W308" t="n">
        <x:f>IF(OR($N308&lt;&gt;"Finalizado",$Q308&lt;&gt;"Si",$R308&lt;&gt;"Si"),0,IF($F308-$G308=$J308-$K308,Reglas!$B$6,0))</x:f>
        <x:v>0</x:v>
      </x:c>
      <x:c r="X308" t="n">
        <x:f>IF(OR($N308&lt;&gt;"Finalizado",$Q308&lt;&gt;"Si",$R308&lt;&gt;"Si"),0,IF($F308=$J308,Reglas!$B$7,0))</x:f>
        <x:v>0</x:v>
      </x:c>
      <x:c r="Y308" t="n">
        <x:f>IF(OR($N308&lt;&gt;"Finalizado",$Q308&lt;&gt;"Si",$R308&lt;&gt;"Si"),0,IF($G308=$K308,Reglas!$B$8,0))</x:f>
        <x:v>0</x:v>
      </x:c>
      <x:c r="Z308" t="n">
        <x:f>SUM($S308:$Y308)</x:f>
        <x:v>0</x:v>
      </x:c>
      <x:c r="AA308" t="str">
        <x:f>IF($N308&lt;&gt;"Finalizado","Resultado pendiente",IF($H308="Sin envio","Sin respuesta",IF($Q308&lt;&gt;"Si","No acerto clasificado","OK")))</x:f>
        <x:v>Sin respuesta</x:v>
      </x:c>
      <x:c r="AB308" t="str">
        <x:v>Google Forms semifinal + ESPN</x:v>
      </x:c>
      <x:c r="AC308" t="n">
        <x:v>0</x:v>
      </x:c>
      <x:c r="AD308" t="n">
        <x:f>$Z308-$AC308</x:f>
        <x:v>0</x:v>
      </x:c>
    </x:row>
    <x:row r="309" ht="15" hidden="0" customHeight="1">
      <x:c r="A309" t="str">
        <x:v>Semifinal</x:v>
      </x:c>
      <x:c r="B309" t="str">
        <x:v>SF2</x:v>
      </x:c>
      <x:c r="C309" t="str">
        <x:v>Óscar</x:v>
      </x:c>
      <x:c r="D309" t="str">
        <x:v>Inglaterra</x:v>
      </x:c>
      <x:c r="E309" t="str">
        <x:v>Argentina</x:v>
      </x:c>
      <x:c r="F309" t="n">
        <x:v>2</x:v>
      </x:c>
      <x:c r="G309" t="n">
        <x:v>2</x:v>
      </x:c>
      <x:c r="H309" t="str">
        <x:v>Argentina</x:v>
      </x:c>
      <x:c r="I309" t="str">
        <x:v>Penales</x:v>
      </x:c>
      <x:c r="J309" t="n">
        <x:v>1</x:v>
      </x:c>
      <x:c r="K309" t="n">
        <x:v>2</x:v>
      </x:c>
      <x:c r="L309" t="str">
        <x:v>Argentina</x:v>
      </x:c>
      <x:c r="M309" t="str">
        <x:v>90 minutos</x:v>
      </x:c>
      <x:c r="N309" t="str">
        <x:v>Finalizado</x:v>
      </x:c>
      <x:c r="O309" t="str">
        <x:f>IF($H309="Sin envio","Sin envio",IF($I309="90 minutos",IF($F309&gt;$G309,"A",IF($G309&gt;$F309,"B","E")),"E"))</x:f>
        <x:v>E</x:v>
      </x:c>
      <x:c r="P309" t="str">
        <x:f>IF($M309="90 minutos",IF($J309&gt;$K309,"A",IF($K309&gt;$J309,"B","E")),"E")</x:f>
        <x:v>B</x:v>
      </x:c>
      <x:c r="Q309" t="str">
        <x:f>IF($H309="Sin envio","No",IF($H309=$L309,"Si","No"))</x:f>
        <x:v>Si</x:v>
      </x:c>
      <x:c r="R309" t="str">
        <x:f>IF(AND($I309=$M309,NOT(AND($I309="Penales",$F309&lt;&gt;$G309))),"Si","No")</x:f>
        <x:v>No</x:v>
      </x:c>
      <x:c r="S309" t="n">
        <x:f>IF(OR($N309&lt;&gt;"Finalizado",$Q309&lt;&gt;"Si"),0,IF($O309=$P309,Reglas!$B$2,0))</x:f>
        <x:v>0</x:v>
      </x:c>
      <x:c r="T309" t="n">
        <x:f>IF(OR($N309&lt;&gt;"Finalizado",$Q309&lt;&gt;"Si"),0,Reglas!$B$3)</x:f>
        <x:v>3</x:v>
      </x:c>
      <x:c r="U309" t="n">
        <x:f>IF(OR($N309&lt;&gt;"Finalizado",$Q309&lt;&gt;"Si"),0,IF($I309=$M309,Reglas!$B$4,0))</x:f>
        <x:v>0</x:v>
      </x:c>
      <x:c r="V309" t="n">
        <x:f>IF(OR($N309&lt;&gt;"Finalizado",$Q309&lt;&gt;"Si",$R309&lt;&gt;"Si"),0,IF(AND($F309=$J309,$G309=$K309),Reglas!$B$5,0))</x:f>
        <x:v>0</x:v>
      </x:c>
      <x:c r="W309" t="n">
        <x:f>IF(OR($N309&lt;&gt;"Finalizado",$Q309&lt;&gt;"Si",$R309&lt;&gt;"Si"),0,IF($F309-$G309=$J309-$K309,Reglas!$B$6,0))</x:f>
        <x:v>0</x:v>
      </x:c>
      <x:c r="X309" t="n">
        <x:f>IF(OR($N309&lt;&gt;"Finalizado",$Q309&lt;&gt;"Si",$R309&lt;&gt;"Si"),0,IF($F309=$J309,Reglas!$B$7,0))</x:f>
        <x:v>0</x:v>
      </x:c>
      <x:c r="Y309" t="n">
        <x:f>IF(OR($N309&lt;&gt;"Finalizado",$Q309&lt;&gt;"Si",$R309&lt;&gt;"Si"),0,IF($G309=$K309,Reglas!$B$8,0))</x:f>
        <x:v>0</x:v>
      </x:c>
      <x:c r="Z309" t="n">
        <x:f>SUM($S309:$Y309)</x:f>
        <x:v>3</x:v>
      </x:c>
      <x:c r="AA309" t="str">
        <x:f>IF($N309&lt;&gt;"Finalizado","Resultado pendiente",IF($H309="Sin envio","Sin respuesta",IF($Q309&lt;&gt;"Si","No acerto clasificado","OK")))</x:f>
        <x:v>OK</x:v>
      </x:c>
      <x:c r="AB309" t="str">
        <x:v>Google Forms semifinal + ESPN</x:v>
      </x:c>
      <x:c r="AC309" t="n">
        <x:v>3</x:v>
      </x:c>
      <x:c r="AD309" t="n">
        <x:f>$Z309-$AC309</x:f>
        <x:v>0</x:v>
      </x:c>
    </x:row>
    <x:row r="310" ht="15" hidden="0" customHeight="1">
      <x:c r="A310" t="str">
        <x:v>Tercer puesto</x:v>
      </x:c>
      <x:c r="B310" t="str">
        <x:v>TP</x:v>
      </x:c>
      <x:c r="C310" t="str">
        <x:v>Freddy</x:v>
      </x:c>
      <x:c r="D310" t="str">
        <x:v>Inglaterra</x:v>
      </x:c>
      <x:c r="E310" t="str">
        <x:v>Francia</x:v>
      </x:c>
      <x:c r="F310" t="n">
        <x:v>1</x:v>
      </x:c>
      <x:c r="G310" t="n">
        <x:v>2</x:v>
      </x:c>
      <x:c r="H310" t="str">
        <x:v>Francia</x:v>
      </x:c>
      <x:c r="I310" t="str">
        <x:v>90 minutos</x:v>
      </x:c>
      <x:c r="J310" t="n">
        <x:v>6</x:v>
      </x:c>
      <x:c r="K310" t="n">
        <x:v>4</x:v>
      </x:c>
      <x:c r="L310" t="str">
        <x:v>Inglaterra</x:v>
      </x:c>
      <x:c r="M310" t="str">
        <x:v>90 minutos</x:v>
      </x:c>
      <x:c r="N310" t="str">
        <x:v>Finalizado</x:v>
      </x:c>
      <x:c r="O310" t="str">
        <x:f>IF($H310="Sin envio","Sin envio",IF($I310="90 minutos",IF($F310&gt;$G310,"A",IF($G310&gt;$F310,"B","E")),"E"))</x:f>
        <x:v>B</x:v>
      </x:c>
      <x:c r="P310" t="str">
        <x:f>IF($M310="90 minutos",IF($J310&gt;$K310,"A",IF($K310&gt;$J310,"B","E")),"E")</x:f>
        <x:v>A</x:v>
      </x:c>
      <x:c r="Q310" t="str">
        <x:f>IF($H310="Sin envio","No",IF($H310=$L310,"Si","No"))</x:f>
        <x:v>No</x:v>
      </x:c>
      <x:c r="R310" t="str">
        <x:f>IF(AND($I310=$M310,NOT(AND($I310="Penales",$F310&lt;&gt;$G310))),"Si","No")</x:f>
        <x:v>Si</x:v>
      </x:c>
      <x:c r="S310" t="n">
        <x:f>IF(OR($N310&lt;&gt;"Finalizado",$Q310&lt;&gt;"Si"),0,IF($O310=$P310,Reglas!$B$2,0))</x:f>
        <x:v>0</x:v>
      </x:c>
      <x:c r="T310" t="n">
        <x:f>IF(OR($N310&lt;&gt;"Finalizado",$Q310&lt;&gt;"Si"),0,Reglas!$B$3)</x:f>
        <x:v>0</x:v>
      </x:c>
      <x:c r="U310" t="n">
        <x:f>IF(OR($N310&lt;&gt;"Finalizado",$Q310&lt;&gt;"Si"),0,IF($I310=$M310,Reglas!$B$4,0))</x:f>
        <x:v>0</x:v>
      </x:c>
      <x:c r="V310" t="n">
        <x:f>IF(OR($N310&lt;&gt;"Finalizado",$Q310&lt;&gt;"Si",$R310&lt;&gt;"Si"),0,IF(AND($F310=$J310,$G310=$K310),Reglas!$B$5,0))</x:f>
        <x:v>0</x:v>
      </x:c>
      <x:c r="W310" t="n">
        <x:f>IF(OR($N310&lt;&gt;"Finalizado",$Q310&lt;&gt;"Si",$R310&lt;&gt;"Si"),0,IF($F310-$G310=$J310-$K310,Reglas!$B$6,0))</x:f>
        <x:v>0</x:v>
      </x:c>
      <x:c r="X310" t="n">
        <x:f>IF(OR($N310&lt;&gt;"Finalizado",$Q310&lt;&gt;"Si",$R310&lt;&gt;"Si"),0,IF($F310=$J310,Reglas!$B$7,0))</x:f>
        <x:v>0</x:v>
      </x:c>
      <x:c r="Y310" t="n">
        <x:f>IF(OR($N310&lt;&gt;"Finalizado",$Q310&lt;&gt;"Si",$R310&lt;&gt;"Si"),0,IF($G310=$K310,Reglas!$B$8,0))</x:f>
        <x:v>0</x:v>
      </x:c>
      <x:c r="Z310" t="n">
        <x:f>SUM($S310:$Y310)</x:f>
        <x:v>0</x:v>
      </x:c>
      <x:c r="AA310" t="str">
        <x:f>IF($N310&lt;&gt;"Finalizado","Resultado pendiente",IF($H310="Sin envio","Sin respuesta",IF($Q310&lt;&gt;"Si","No acerto clasificado","OK")))</x:f>
        <x:v>No acerto clasificado</x:v>
      </x:c>
      <x:c r="AB310" t="str">
        <x:v>Google Forms final + ESPN</x:v>
      </x:c>
      <x:c r="AC310" t="n">
        <x:v>0</x:v>
      </x:c>
      <x:c r="AD310" t="n">
        <x:f>$Z310-$AC310</x:f>
        <x:v>0</x:v>
      </x:c>
    </x:row>
    <x:row r="311" ht="15" hidden="0" customHeight="1">
      <x:c r="A311" t="str">
        <x:v>Tercer puesto</x:v>
      </x:c>
      <x:c r="B311" t="str">
        <x:v>TP</x:v>
      </x:c>
      <x:c r="C311" t="str">
        <x:v>Gabriela</x:v>
      </x:c>
      <x:c r="D311" t="str">
        <x:v>Inglaterra</x:v>
      </x:c>
      <x:c r="E311" t="str">
        <x:v>Francia</x:v>
      </x:c>
      <x:c r="F311" t="n">
        <x:v>2</x:v>
      </x:c>
      <x:c r="G311" t="n">
        <x:v>1</x:v>
      </x:c>
      <x:c r="H311" t="str">
        <x:v>Inglaterra</x:v>
      </x:c>
      <x:c r="I311" t="str">
        <x:v>90 minutos</x:v>
      </x:c>
      <x:c r="J311" t="n">
        <x:v>6</x:v>
      </x:c>
      <x:c r="K311" t="n">
        <x:v>4</x:v>
      </x:c>
      <x:c r="L311" t="str">
        <x:v>Inglaterra</x:v>
      </x:c>
      <x:c r="M311" t="str">
        <x:v>90 minutos</x:v>
      </x:c>
      <x:c r="N311" t="str">
        <x:v>Finalizado</x:v>
      </x:c>
      <x:c r="O311" t="str">
        <x:f>IF($H311="Sin envio","Sin envio",IF($I311="90 minutos",IF($F311&gt;$G311,"A",IF($G311&gt;$F311,"B","E")),"E"))</x:f>
        <x:v>A</x:v>
      </x:c>
      <x:c r="P311" t="str">
        <x:f>IF($M311="90 minutos",IF($J311&gt;$K311,"A",IF($K311&gt;$J311,"B","E")),"E")</x:f>
        <x:v>A</x:v>
      </x:c>
      <x:c r="Q311" t="str">
        <x:f>IF($H311="Sin envio","No",IF($H311=$L311,"Si","No"))</x:f>
        <x:v>Si</x:v>
      </x:c>
      <x:c r="R311" t="str">
        <x:f>IF(AND($I311=$M311,NOT(AND($I311="Penales",$F311&lt;&gt;$G311))),"Si","No")</x:f>
        <x:v>Si</x:v>
      </x:c>
      <x:c r="S311" t="n">
        <x:f>IF(OR($N311&lt;&gt;"Finalizado",$Q311&lt;&gt;"Si"),0,IF($O311=$P311,Reglas!$B$2,0))</x:f>
        <x:v>5</x:v>
      </x:c>
      <x:c r="T311" t="n">
        <x:f>IF(OR($N311&lt;&gt;"Finalizado",$Q311&lt;&gt;"Si"),0,Reglas!$B$3)</x:f>
        <x:v>3</x:v>
      </x:c>
      <x:c r="U311" t="n">
        <x:f>IF(OR($N311&lt;&gt;"Finalizado",$Q311&lt;&gt;"Si"),0,IF($I311=$M311,Reglas!$B$4,0))</x:f>
        <x:v>2</x:v>
      </x:c>
      <x:c r="V311" t="n">
        <x:f>IF(OR($N311&lt;&gt;"Finalizado",$Q311&lt;&gt;"Si",$R311&lt;&gt;"Si"),0,IF(AND($F311=$J311,$G311=$K311),Reglas!$B$5,0))</x:f>
        <x:v>0</x:v>
      </x:c>
      <x:c r="W311" t="n">
        <x:f>IF(OR($N311&lt;&gt;"Finalizado",$Q311&lt;&gt;"Si",$R311&lt;&gt;"Si"),0,IF($F311-$G311=$J311-$K311,Reglas!$B$6,0))</x:f>
        <x:v>0</x:v>
      </x:c>
      <x:c r="X311" t="n">
        <x:f>IF(OR($N311&lt;&gt;"Finalizado",$Q311&lt;&gt;"Si",$R311&lt;&gt;"Si"),0,IF($F311=$J311,Reglas!$B$7,0))</x:f>
        <x:v>0</x:v>
      </x:c>
      <x:c r="Y311" t="n">
        <x:f>IF(OR($N311&lt;&gt;"Finalizado",$Q311&lt;&gt;"Si",$R311&lt;&gt;"Si"),0,IF($G311=$K311,Reglas!$B$8,0))</x:f>
        <x:v>0</x:v>
      </x:c>
      <x:c r="Z311" t="n">
        <x:f>SUM($S311:$Y311)</x:f>
        <x:v>10</x:v>
      </x:c>
      <x:c r="AA311" t="str">
        <x:f>IF($N311&lt;&gt;"Finalizado","Resultado pendiente",IF($H311="Sin envio","Sin respuesta",IF($Q311&lt;&gt;"Si","No acerto clasificado","OK")))</x:f>
        <x:v>OK</x:v>
      </x:c>
      <x:c r="AB311" t="str">
        <x:v>Google Forms final + ESPN</x:v>
      </x:c>
      <x:c r="AC311" t="n">
        <x:v>10</x:v>
      </x:c>
      <x:c r="AD311" t="n">
        <x:f>$Z311-$AC311</x:f>
        <x:v>0</x:v>
      </x:c>
    </x:row>
    <x:row r="312" ht="15" hidden="0" customHeight="1">
      <x:c r="A312" t="str">
        <x:v>Tercer puesto</x:v>
      </x:c>
      <x:c r="B312" t="str">
        <x:v>TP</x:v>
      </x:c>
      <x:c r="C312" t="str">
        <x:v>Jean</x:v>
      </x:c>
      <x:c r="D312" t="str">
        <x:v>Inglaterra</x:v>
      </x:c>
      <x:c r="E312" t="str">
        <x:v>Francia</x:v>
      </x:c>
      <x:c r="F312" t="n">
        <x:v>1</x:v>
      </x:c>
      <x:c r="G312" t="n">
        <x:v>2</x:v>
      </x:c>
      <x:c r="H312" t="str">
        <x:v>Francia</x:v>
      </x:c>
      <x:c r="I312" t="str">
        <x:v>90 minutos</x:v>
      </x:c>
      <x:c r="J312" t="n">
        <x:v>6</x:v>
      </x:c>
      <x:c r="K312" t="n">
        <x:v>4</x:v>
      </x:c>
      <x:c r="L312" t="str">
        <x:v>Inglaterra</x:v>
      </x:c>
      <x:c r="M312" t="str">
        <x:v>90 minutos</x:v>
      </x:c>
      <x:c r="N312" t="str">
        <x:v>Finalizado</x:v>
      </x:c>
      <x:c r="O312" t="str">
        <x:f>IF($H312="Sin envio","Sin envio",IF($I312="90 minutos",IF($F312&gt;$G312,"A",IF($G312&gt;$F312,"B","E")),"E"))</x:f>
        <x:v>B</x:v>
      </x:c>
      <x:c r="P312" t="str">
        <x:f>IF($M312="90 minutos",IF($J312&gt;$K312,"A",IF($K312&gt;$J312,"B","E")),"E")</x:f>
        <x:v>A</x:v>
      </x:c>
      <x:c r="Q312" t="str">
        <x:f>IF($H312="Sin envio","No",IF($H312=$L312,"Si","No"))</x:f>
        <x:v>No</x:v>
      </x:c>
      <x:c r="R312" t="str">
        <x:f>IF(AND($I312=$M312,NOT(AND($I312="Penales",$F312&lt;&gt;$G312))),"Si","No")</x:f>
        <x:v>Si</x:v>
      </x:c>
      <x:c r="S312" t="n">
        <x:f>IF(OR($N312&lt;&gt;"Finalizado",$Q312&lt;&gt;"Si"),0,IF($O312=$P312,Reglas!$B$2,0))</x:f>
        <x:v>0</x:v>
      </x:c>
      <x:c r="T312" t="n">
        <x:f>IF(OR($N312&lt;&gt;"Finalizado",$Q312&lt;&gt;"Si"),0,Reglas!$B$3)</x:f>
        <x:v>0</x:v>
      </x:c>
      <x:c r="U312" t="n">
        <x:f>IF(OR($N312&lt;&gt;"Finalizado",$Q312&lt;&gt;"Si"),0,IF($I312=$M312,Reglas!$B$4,0))</x:f>
        <x:v>0</x:v>
      </x:c>
      <x:c r="V312" t="n">
        <x:f>IF(OR($N312&lt;&gt;"Finalizado",$Q312&lt;&gt;"Si",$R312&lt;&gt;"Si"),0,IF(AND($F312=$J312,$G312=$K312),Reglas!$B$5,0))</x:f>
        <x:v>0</x:v>
      </x:c>
      <x:c r="W312" t="n">
        <x:f>IF(OR($N312&lt;&gt;"Finalizado",$Q312&lt;&gt;"Si",$R312&lt;&gt;"Si"),0,IF($F312-$G312=$J312-$K312,Reglas!$B$6,0))</x:f>
        <x:v>0</x:v>
      </x:c>
      <x:c r="X312" t="n">
        <x:f>IF(OR($N312&lt;&gt;"Finalizado",$Q312&lt;&gt;"Si",$R312&lt;&gt;"Si"),0,IF($F312=$J312,Reglas!$B$7,0))</x:f>
        <x:v>0</x:v>
      </x:c>
      <x:c r="Y312" t="n">
        <x:f>IF(OR($N312&lt;&gt;"Finalizado",$Q312&lt;&gt;"Si",$R312&lt;&gt;"Si"),0,IF($G312=$K312,Reglas!$B$8,0))</x:f>
        <x:v>0</x:v>
      </x:c>
      <x:c r="Z312" t="n">
        <x:f>SUM($S312:$Y312)</x:f>
        <x:v>0</x:v>
      </x:c>
      <x:c r="AA312" t="str">
        <x:f>IF($N312&lt;&gt;"Finalizado","Resultado pendiente",IF($H312="Sin envio","Sin respuesta",IF($Q312&lt;&gt;"Si","No acerto clasificado","OK")))</x:f>
        <x:v>No acerto clasificado</x:v>
      </x:c>
      <x:c r="AB312" t="str">
        <x:v>Google Forms final + ESPN</x:v>
      </x:c>
      <x:c r="AC312" t="n">
        <x:v>0</x:v>
      </x:c>
      <x:c r="AD312" t="n">
        <x:f>$Z312-$AC312</x:f>
        <x:v>0</x:v>
      </x:c>
    </x:row>
    <x:row r="313" ht="15" hidden="0" customHeight="1">
      <x:c r="A313" t="str">
        <x:v>Tercer puesto</x:v>
      </x:c>
      <x:c r="B313" t="str">
        <x:v>TP</x:v>
      </x:c>
      <x:c r="C313" t="str">
        <x:v>Juan</x:v>
      </x:c>
      <x:c r="D313" t="str">
        <x:v>Inglaterra</x:v>
      </x:c>
      <x:c r="E313" t="str">
        <x:v>Francia</x:v>
      </x:c>
      <x:c r="F313" t="n">
        <x:v>2</x:v>
      </x:c>
      <x:c r="G313" t="n">
        <x:v>3</x:v>
      </x:c>
      <x:c r="H313" t="str">
        <x:v>Francia</x:v>
      </x:c>
      <x:c r="I313" t="str">
        <x:v>90 minutos</x:v>
      </x:c>
      <x:c r="J313" t="n">
        <x:v>6</x:v>
      </x:c>
      <x:c r="K313" t="n">
        <x:v>4</x:v>
      </x:c>
      <x:c r="L313" t="str">
        <x:v>Inglaterra</x:v>
      </x:c>
      <x:c r="M313" t="str">
        <x:v>90 minutos</x:v>
      </x:c>
      <x:c r="N313" t="str">
        <x:v>Finalizado</x:v>
      </x:c>
      <x:c r="O313" t="str">
        <x:f>IF($H313="Sin envio","Sin envio",IF($I313="90 minutos",IF($F313&gt;$G313,"A",IF($G313&gt;$F313,"B","E")),"E"))</x:f>
        <x:v>B</x:v>
      </x:c>
      <x:c r="P313" t="str">
        <x:f>IF($M313="90 minutos",IF($J313&gt;$K313,"A",IF($K313&gt;$J313,"B","E")),"E")</x:f>
        <x:v>A</x:v>
      </x:c>
      <x:c r="Q313" t="str">
        <x:f>IF($H313="Sin envio","No",IF($H313=$L313,"Si","No"))</x:f>
        <x:v>No</x:v>
      </x:c>
      <x:c r="R313" t="str">
        <x:f>IF(AND($I313=$M313,NOT(AND($I313="Penales",$F313&lt;&gt;$G313))),"Si","No")</x:f>
        <x:v>Si</x:v>
      </x:c>
      <x:c r="S313" t="n">
        <x:f>IF(OR($N313&lt;&gt;"Finalizado",$Q313&lt;&gt;"Si"),0,IF($O313=$P313,Reglas!$B$2,0))</x:f>
        <x:v>0</x:v>
      </x:c>
      <x:c r="T313" t="n">
        <x:f>IF(OR($N313&lt;&gt;"Finalizado",$Q313&lt;&gt;"Si"),0,Reglas!$B$3)</x:f>
        <x:v>0</x:v>
      </x:c>
      <x:c r="U313" t="n">
        <x:f>IF(OR($N313&lt;&gt;"Finalizado",$Q313&lt;&gt;"Si"),0,IF($I313=$M313,Reglas!$B$4,0))</x:f>
        <x:v>0</x:v>
      </x:c>
      <x:c r="V313" t="n">
        <x:f>IF(OR($N313&lt;&gt;"Finalizado",$Q313&lt;&gt;"Si",$R313&lt;&gt;"Si"),0,IF(AND($F313=$J313,$G313=$K313),Reglas!$B$5,0))</x:f>
        <x:v>0</x:v>
      </x:c>
      <x:c r="W313" t="n">
        <x:f>IF(OR($N313&lt;&gt;"Finalizado",$Q313&lt;&gt;"Si",$R313&lt;&gt;"Si"),0,IF($F313-$G313=$J313-$K313,Reglas!$B$6,0))</x:f>
        <x:v>0</x:v>
      </x:c>
      <x:c r="X313" t="n">
        <x:f>IF(OR($N313&lt;&gt;"Finalizado",$Q313&lt;&gt;"Si",$R313&lt;&gt;"Si"),0,IF($F313=$J313,Reglas!$B$7,0))</x:f>
        <x:v>0</x:v>
      </x:c>
      <x:c r="Y313" t="n">
        <x:f>IF(OR($N313&lt;&gt;"Finalizado",$Q313&lt;&gt;"Si",$R313&lt;&gt;"Si"),0,IF($G313=$K313,Reglas!$B$8,0))</x:f>
        <x:v>0</x:v>
      </x:c>
      <x:c r="Z313" t="n">
        <x:f>SUM($S313:$Y313)</x:f>
        <x:v>0</x:v>
      </x:c>
      <x:c r="AA313" t="str">
        <x:f>IF($N313&lt;&gt;"Finalizado","Resultado pendiente",IF($H313="Sin envio","Sin respuesta",IF($Q313&lt;&gt;"Si","No acerto clasificado","OK")))</x:f>
        <x:v>No acerto clasificado</x:v>
      </x:c>
      <x:c r="AB313" t="str">
        <x:v>Google Forms final + ESPN</x:v>
      </x:c>
      <x:c r="AC313" t="n">
        <x:v>0</x:v>
      </x:c>
      <x:c r="AD313" t="n">
        <x:f>$Z313-$AC313</x:f>
        <x:v>0</x:v>
      </x:c>
    </x:row>
    <x:row r="314" ht="15" hidden="0" customHeight="1">
      <x:c r="A314" t="str">
        <x:v>Tercer puesto</x:v>
      </x:c>
      <x:c r="B314" t="str">
        <x:v>TP</x:v>
      </x:c>
      <x:c r="C314" t="str">
        <x:v>Jesús</x:v>
      </x:c>
      <x:c r="D314" t="str">
        <x:v>Inglaterra</x:v>
      </x:c>
      <x:c r="E314" t="str">
        <x:v>Francia</x:v>
      </x:c>
      <x:c r="F314" t="n">
        <x:v>2</x:v>
      </x:c>
      <x:c r="G314" t="n">
        <x:v>1</x:v>
      </x:c>
      <x:c r="H314" t="str">
        <x:v>Francia</x:v>
      </x:c>
      <x:c r="I314" t="str">
        <x:v>90 minutos</x:v>
      </x:c>
      <x:c r="J314" t="n">
        <x:v>6</x:v>
      </x:c>
      <x:c r="K314" t="n">
        <x:v>4</x:v>
      </x:c>
      <x:c r="L314" t="str">
        <x:v>Inglaterra</x:v>
      </x:c>
      <x:c r="M314" t="str">
        <x:v>90 minutos</x:v>
      </x:c>
      <x:c r="N314" t="str">
        <x:v>Finalizado</x:v>
      </x:c>
      <x:c r="O314" t="str">
        <x:f>IF($H314="Sin envio","Sin envio",IF($I314="90 minutos",IF($F314&gt;$G314,"A",IF($G314&gt;$F314,"B","E")),"E"))</x:f>
        <x:v>A</x:v>
      </x:c>
      <x:c r="P314" t="str">
        <x:f>IF($M314="90 minutos",IF($J314&gt;$K314,"A",IF($K314&gt;$J314,"B","E")),"E")</x:f>
        <x:v>A</x:v>
      </x:c>
      <x:c r="Q314" t="str">
        <x:f>IF($H314="Sin envio","No",IF($H314=$L314,"Si","No"))</x:f>
        <x:v>No</x:v>
      </x:c>
      <x:c r="R314" t="str">
        <x:f>IF(AND($I314=$M314,NOT(AND($I314="Penales",$F314&lt;&gt;$G314))),"Si","No")</x:f>
        <x:v>Si</x:v>
      </x:c>
      <x:c r="S314" t="n">
        <x:f>IF(OR($N314&lt;&gt;"Finalizado",$Q314&lt;&gt;"Si"),0,IF($O314=$P314,Reglas!$B$2,0))</x:f>
        <x:v>0</x:v>
      </x:c>
      <x:c r="T314" t="n">
        <x:f>IF(OR($N314&lt;&gt;"Finalizado",$Q314&lt;&gt;"Si"),0,Reglas!$B$3)</x:f>
        <x:v>0</x:v>
      </x:c>
      <x:c r="U314" t="n">
        <x:f>IF(OR($N314&lt;&gt;"Finalizado",$Q314&lt;&gt;"Si"),0,IF($I314=$M314,Reglas!$B$4,0))</x:f>
        <x:v>0</x:v>
      </x:c>
      <x:c r="V314" t="n">
        <x:f>IF(OR($N314&lt;&gt;"Finalizado",$Q314&lt;&gt;"Si",$R314&lt;&gt;"Si"),0,IF(AND($F314=$J314,$G314=$K314),Reglas!$B$5,0))</x:f>
        <x:v>0</x:v>
      </x:c>
      <x:c r="W314" t="n">
        <x:f>IF(OR($N314&lt;&gt;"Finalizado",$Q314&lt;&gt;"Si",$R314&lt;&gt;"Si"),0,IF($F314-$G314=$J314-$K314,Reglas!$B$6,0))</x:f>
        <x:v>0</x:v>
      </x:c>
      <x:c r="X314" t="n">
        <x:f>IF(OR($N314&lt;&gt;"Finalizado",$Q314&lt;&gt;"Si",$R314&lt;&gt;"Si"),0,IF($F314=$J314,Reglas!$B$7,0))</x:f>
        <x:v>0</x:v>
      </x:c>
      <x:c r="Y314" t="n">
        <x:f>IF(OR($N314&lt;&gt;"Finalizado",$Q314&lt;&gt;"Si",$R314&lt;&gt;"Si"),0,IF($G314=$K314,Reglas!$B$8,0))</x:f>
        <x:v>0</x:v>
      </x:c>
      <x:c r="Z314" t="n">
        <x:f>SUM($S314:$Y314)</x:f>
        <x:v>0</x:v>
      </x:c>
      <x:c r="AA314" t="str">
        <x:f>IF($N314&lt;&gt;"Finalizado","Resultado pendiente",IF($H314="Sin envio","Sin respuesta",IF($Q314&lt;&gt;"Si","No acerto clasificado","OK")))</x:f>
        <x:v>No acerto clasificado</x:v>
      </x:c>
      <x:c r="AB314" t="str">
        <x:v>Google Forms final + ESPN</x:v>
      </x:c>
      <x:c r="AC314" t="n">
        <x:v>0</x:v>
      </x:c>
      <x:c r="AD314" t="n">
        <x:f>$Z314-$AC314</x:f>
        <x:v>0</x:v>
      </x:c>
    </x:row>
    <x:row r="315" ht="15" hidden="0" customHeight="1">
      <x:c r="A315" t="str">
        <x:v>Tercer puesto</x:v>
      </x:c>
      <x:c r="B315" t="str">
        <x:v>TP</x:v>
      </x:c>
      <x:c r="C315" t="str">
        <x:v>Diego</x:v>
      </x:c>
      <x:c r="D315" t="str">
        <x:v>Inglaterra</x:v>
      </x:c>
      <x:c r="E315" t="str">
        <x:v>Francia</x:v>
      </x:c>
      <x:c r="F315" t="n">
        <x:v>1</x:v>
      </x:c>
      <x:c r="G315" t="n">
        <x:v>3</x:v>
      </x:c>
      <x:c r="H315" t="str">
        <x:v>Francia</x:v>
      </x:c>
      <x:c r="I315" t="str">
        <x:v>90 minutos</x:v>
      </x:c>
      <x:c r="J315" t="n">
        <x:v>6</x:v>
      </x:c>
      <x:c r="K315" t="n">
        <x:v>4</x:v>
      </x:c>
      <x:c r="L315" t="str">
        <x:v>Inglaterra</x:v>
      </x:c>
      <x:c r="M315" t="str">
        <x:v>90 minutos</x:v>
      </x:c>
      <x:c r="N315" t="str">
        <x:v>Finalizado</x:v>
      </x:c>
      <x:c r="O315" t="str">
        <x:f>IF($H315="Sin envio","Sin envio",IF($I315="90 minutos",IF($F315&gt;$G315,"A",IF($G315&gt;$F315,"B","E")),"E"))</x:f>
        <x:v>B</x:v>
      </x:c>
      <x:c r="P315" t="str">
        <x:f>IF($M315="90 minutos",IF($J315&gt;$K315,"A",IF($K315&gt;$J315,"B","E")),"E")</x:f>
        <x:v>A</x:v>
      </x:c>
      <x:c r="Q315" t="str">
        <x:f>IF($H315="Sin envio","No",IF($H315=$L315,"Si","No"))</x:f>
        <x:v>No</x:v>
      </x:c>
      <x:c r="R315" t="str">
        <x:f>IF(AND($I315=$M315,NOT(AND($I315="Penales",$F315&lt;&gt;$G315))),"Si","No")</x:f>
        <x:v>Si</x:v>
      </x:c>
      <x:c r="S315" t="n">
        <x:f>IF(OR($N315&lt;&gt;"Finalizado",$Q315&lt;&gt;"Si"),0,IF($O315=$P315,Reglas!$B$2,0))</x:f>
        <x:v>0</x:v>
      </x:c>
      <x:c r="T315" t="n">
        <x:f>IF(OR($N315&lt;&gt;"Finalizado",$Q315&lt;&gt;"Si"),0,Reglas!$B$3)</x:f>
        <x:v>0</x:v>
      </x:c>
      <x:c r="U315" t="n">
        <x:f>IF(OR($N315&lt;&gt;"Finalizado",$Q315&lt;&gt;"Si"),0,IF($I315=$M315,Reglas!$B$4,0))</x:f>
        <x:v>0</x:v>
      </x:c>
      <x:c r="V315" t="n">
        <x:f>IF(OR($N315&lt;&gt;"Finalizado",$Q315&lt;&gt;"Si",$R315&lt;&gt;"Si"),0,IF(AND($F315=$J315,$G315=$K315),Reglas!$B$5,0))</x:f>
        <x:v>0</x:v>
      </x:c>
      <x:c r="W315" t="n">
        <x:f>IF(OR($N315&lt;&gt;"Finalizado",$Q315&lt;&gt;"Si",$R315&lt;&gt;"Si"),0,IF($F315-$G315=$J315-$K315,Reglas!$B$6,0))</x:f>
        <x:v>0</x:v>
      </x:c>
      <x:c r="X315" t="n">
        <x:f>IF(OR($N315&lt;&gt;"Finalizado",$Q315&lt;&gt;"Si",$R315&lt;&gt;"Si"),0,IF($F315=$J315,Reglas!$B$7,0))</x:f>
        <x:v>0</x:v>
      </x:c>
      <x:c r="Y315" t="n">
        <x:f>IF(OR($N315&lt;&gt;"Finalizado",$Q315&lt;&gt;"Si",$R315&lt;&gt;"Si"),0,IF($G315=$K315,Reglas!$B$8,0))</x:f>
        <x:v>0</x:v>
      </x:c>
      <x:c r="Z315" t="n">
        <x:f>SUM($S315:$Y315)</x:f>
        <x:v>0</x:v>
      </x:c>
      <x:c r="AA315" t="str">
        <x:f>IF($N315&lt;&gt;"Finalizado","Resultado pendiente",IF($H315="Sin envio","Sin respuesta",IF($Q315&lt;&gt;"Si","No acerto clasificado","OK")))</x:f>
        <x:v>No acerto clasificado</x:v>
      </x:c>
      <x:c r="AB315" t="str">
        <x:v>Google Forms final + ESPN</x:v>
      </x:c>
      <x:c r="AC315" t="n">
        <x:v>0</x:v>
      </x:c>
      <x:c r="AD315" t="n">
        <x:f>$Z315-$AC315</x:f>
        <x:v>0</x:v>
      </x:c>
    </x:row>
    <x:row r="316" ht="15" hidden="0" customHeight="1">
      <x:c r="A316" t="str">
        <x:v>Tercer puesto</x:v>
      </x:c>
      <x:c r="B316" t="str">
        <x:v>TP</x:v>
      </x:c>
      <x:c r="C316" t="str">
        <x:v>Aldo</x:v>
      </x:c>
      <x:c r="D316" t="str">
        <x:v>Inglaterra</x:v>
      </x:c>
      <x:c r="E316" t="str">
        <x:v>Francia</x:v>
      </x:c>
      <x:c r="F316" t="n">
        <x:v>2</x:v>
      </x:c>
      <x:c r="G316" t="n">
        <x:v>1</x:v>
      </x:c>
      <x:c r="H316" t="str">
        <x:v>Inglaterra</x:v>
      </x:c>
      <x:c r="I316" t="str">
        <x:v>Suplementario</x:v>
      </x:c>
      <x:c r="J316" t="n">
        <x:v>6</x:v>
      </x:c>
      <x:c r="K316" t="n">
        <x:v>4</x:v>
      </x:c>
      <x:c r="L316" t="str">
        <x:v>Inglaterra</x:v>
      </x:c>
      <x:c r="M316" t="str">
        <x:v>90 minutos</x:v>
      </x:c>
      <x:c r="N316" t="str">
        <x:v>Finalizado</x:v>
      </x:c>
      <x:c r="O316" t="str">
        <x:f>IF($H316="Sin envio","Sin envio",IF($I316="90 minutos",IF($F316&gt;$G316,"A",IF($G316&gt;$F316,"B","E")),"E"))</x:f>
        <x:v>E</x:v>
      </x:c>
      <x:c r="P316" t="str">
        <x:f>IF($M316="90 minutos",IF($J316&gt;$K316,"A",IF($K316&gt;$J316,"B","E")),"E")</x:f>
        <x:v>A</x:v>
      </x:c>
      <x:c r="Q316" t="str">
        <x:f>IF($H316="Sin envio","No",IF($H316=$L316,"Si","No"))</x:f>
        <x:v>Si</x:v>
      </x:c>
      <x:c r="R316" t="str">
        <x:f>IF(AND($I316=$M316,NOT(AND($I316="Penales",$F316&lt;&gt;$G316))),"Si","No")</x:f>
        <x:v>No</x:v>
      </x:c>
      <x:c r="S316" t="n">
        <x:f>IF(OR($N316&lt;&gt;"Finalizado",$Q316&lt;&gt;"Si"),0,IF($O316=$P316,Reglas!$B$2,0))</x:f>
        <x:v>0</x:v>
      </x:c>
      <x:c r="T316" t="n">
        <x:f>IF(OR($N316&lt;&gt;"Finalizado",$Q316&lt;&gt;"Si"),0,Reglas!$B$3)</x:f>
        <x:v>3</x:v>
      </x:c>
      <x:c r="U316" t="n">
        <x:f>IF(OR($N316&lt;&gt;"Finalizado",$Q316&lt;&gt;"Si"),0,IF($I316=$M316,Reglas!$B$4,0))</x:f>
        <x:v>0</x:v>
      </x:c>
      <x:c r="V316" t="n">
        <x:f>IF(OR($N316&lt;&gt;"Finalizado",$Q316&lt;&gt;"Si",$R316&lt;&gt;"Si"),0,IF(AND($F316=$J316,$G316=$K316),Reglas!$B$5,0))</x:f>
        <x:v>0</x:v>
      </x:c>
      <x:c r="W316" t="n">
        <x:f>IF(OR($N316&lt;&gt;"Finalizado",$Q316&lt;&gt;"Si",$R316&lt;&gt;"Si"),0,IF($F316-$G316=$J316-$K316,Reglas!$B$6,0))</x:f>
        <x:v>0</x:v>
      </x:c>
      <x:c r="X316" t="n">
        <x:f>IF(OR($N316&lt;&gt;"Finalizado",$Q316&lt;&gt;"Si",$R316&lt;&gt;"Si"),0,IF($F316=$J316,Reglas!$B$7,0))</x:f>
        <x:v>0</x:v>
      </x:c>
      <x:c r="Y316" t="n">
        <x:f>IF(OR($N316&lt;&gt;"Finalizado",$Q316&lt;&gt;"Si",$R316&lt;&gt;"Si"),0,IF($G316=$K316,Reglas!$B$8,0))</x:f>
        <x:v>0</x:v>
      </x:c>
      <x:c r="Z316" t="n">
        <x:f>SUM($S316:$Y316)</x:f>
        <x:v>3</x:v>
      </x:c>
      <x:c r="AA316" t="str">
        <x:f>IF($N316&lt;&gt;"Finalizado","Resultado pendiente",IF($H316="Sin envio","Sin respuesta",IF($Q316&lt;&gt;"Si","No acerto clasificado","OK")))</x:f>
        <x:v>OK</x:v>
      </x:c>
      <x:c r="AB316" t="str">
        <x:v>Google Forms final + ESPN</x:v>
      </x:c>
      <x:c r="AC316" t="n">
        <x:v>3</x:v>
      </x:c>
      <x:c r="AD316" t="n">
        <x:f>$Z316-$AC316</x:f>
        <x:v>0</x:v>
      </x:c>
    </x:row>
    <x:row r="317" ht="15" hidden="0" customHeight="1">
      <x:c r="A317" t="str">
        <x:v>Tercer puesto</x:v>
      </x:c>
      <x:c r="B317" t="str">
        <x:v>TP</x:v>
      </x:c>
      <x:c r="C317" t="str">
        <x:v>Javier</x:v>
      </x:c>
      <x:c r="D317" t="str">
        <x:v>Inglaterra</x:v>
      </x:c>
      <x:c r="E317" t="str">
        <x:v>Francia</x:v>
      </x:c>
      <x:c r="F317"/>
      <x:c r="G317"/>
      <x:c r="H317" t="str">
        <x:v>Sin envio</x:v>
      </x:c>
      <x:c r="I317" t="str">
        <x:v>Sin envio</x:v>
      </x:c>
      <x:c r="J317" t="n">
        <x:v>6</x:v>
      </x:c>
      <x:c r="K317" t="n">
        <x:v>4</x:v>
      </x:c>
      <x:c r="L317" t="str">
        <x:v>Inglaterra</x:v>
      </x:c>
      <x:c r="M317" t="str">
        <x:v>90 minutos</x:v>
      </x:c>
      <x:c r="N317" t="str">
        <x:v>Finalizado</x:v>
      </x:c>
      <x:c r="O317" t="str">
        <x:f>IF($H317="Sin envio","Sin envio",IF($I317="90 minutos",IF($F317&gt;$G317,"A",IF($G317&gt;$F317,"B","E")),"E"))</x:f>
        <x:v>Sin envio</x:v>
      </x:c>
      <x:c r="P317" t="str">
        <x:f>IF($M317="90 minutos",IF($J317&gt;$K317,"A",IF($K317&gt;$J317,"B","E")),"E")</x:f>
        <x:v>A</x:v>
      </x:c>
      <x:c r="Q317" t="str">
        <x:f>IF($H317="Sin envio","No",IF($H317=$L317,"Si","No"))</x:f>
        <x:v>No</x:v>
      </x:c>
      <x:c r="R317" t="str">
        <x:f>IF(AND($I317=$M317,NOT(AND($I317="Penales",$F317&lt;&gt;$G317))),"Si","No")</x:f>
        <x:v>No</x:v>
      </x:c>
      <x:c r="S317" t="n">
        <x:f>IF(OR($N317&lt;&gt;"Finalizado",$Q317&lt;&gt;"Si"),0,IF($O317=$P317,Reglas!$B$2,0))</x:f>
        <x:v>0</x:v>
      </x:c>
      <x:c r="T317" t="n">
        <x:f>IF(OR($N317&lt;&gt;"Finalizado",$Q317&lt;&gt;"Si"),0,Reglas!$B$3)</x:f>
        <x:v>0</x:v>
      </x:c>
      <x:c r="U317" t="n">
        <x:f>IF(OR($N317&lt;&gt;"Finalizado",$Q317&lt;&gt;"Si"),0,IF($I317=$M317,Reglas!$B$4,0))</x:f>
        <x:v>0</x:v>
      </x:c>
      <x:c r="V317" t="n">
        <x:f>IF(OR($N317&lt;&gt;"Finalizado",$Q317&lt;&gt;"Si",$R317&lt;&gt;"Si"),0,IF(AND($F317=$J317,$G317=$K317),Reglas!$B$5,0))</x:f>
        <x:v>0</x:v>
      </x:c>
      <x:c r="W317" t="n">
        <x:f>IF(OR($N317&lt;&gt;"Finalizado",$Q317&lt;&gt;"Si",$R317&lt;&gt;"Si"),0,IF($F317-$G317=$J317-$K317,Reglas!$B$6,0))</x:f>
        <x:v>0</x:v>
      </x:c>
      <x:c r="X317" t="n">
        <x:f>IF(OR($N317&lt;&gt;"Finalizado",$Q317&lt;&gt;"Si",$R317&lt;&gt;"Si"),0,IF($F317=$J317,Reglas!$B$7,0))</x:f>
        <x:v>0</x:v>
      </x:c>
      <x:c r="Y317" t="n">
        <x:f>IF(OR($N317&lt;&gt;"Finalizado",$Q317&lt;&gt;"Si",$R317&lt;&gt;"Si"),0,IF($G317=$K317,Reglas!$B$8,0))</x:f>
        <x:v>0</x:v>
      </x:c>
      <x:c r="Z317" t="n">
        <x:f>SUM($S317:$Y317)</x:f>
        <x:v>0</x:v>
      </x:c>
      <x:c r="AA317" t="str">
        <x:f>IF($N317&lt;&gt;"Finalizado","Resultado pendiente",IF($H317="Sin envio","Sin respuesta",IF($Q317&lt;&gt;"Si","No acerto clasificado","OK")))</x:f>
        <x:v>Sin respuesta</x:v>
      </x:c>
      <x:c r="AB317" t="str">
        <x:v>Google Forms final + ESPN</x:v>
      </x:c>
      <x:c r="AC317" t="n">
        <x:v>0</x:v>
      </x:c>
      <x:c r="AD317" t="n">
        <x:f>$Z317-$AC317</x:f>
        <x:v>0</x:v>
      </x:c>
    </x:row>
    <x:row r="318" ht="15" hidden="0" customHeight="1">
      <x:c r="A318" t="str">
        <x:v>Tercer puesto</x:v>
      </x:c>
      <x:c r="B318" t="str">
        <x:v>TP</x:v>
      </x:c>
      <x:c r="C318" t="str">
        <x:v>Gino</x:v>
      </x:c>
      <x:c r="D318" t="str">
        <x:v>Inglaterra</x:v>
      </x:c>
      <x:c r="E318" t="str">
        <x:v>Francia</x:v>
      </x:c>
      <x:c r="F318" t="n">
        <x:v>1</x:v>
      </x:c>
      <x:c r="G318" t="n">
        <x:v>3</x:v>
      </x:c>
      <x:c r="H318" t="str">
        <x:v>Francia</x:v>
      </x:c>
      <x:c r="I318" t="str">
        <x:v>90 minutos</x:v>
      </x:c>
      <x:c r="J318" t="n">
        <x:v>6</x:v>
      </x:c>
      <x:c r="K318" t="n">
        <x:v>4</x:v>
      </x:c>
      <x:c r="L318" t="str">
        <x:v>Inglaterra</x:v>
      </x:c>
      <x:c r="M318" t="str">
        <x:v>90 minutos</x:v>
      </x:c>
      <x:c r="N318" t="str">
        <x:v>Finalizado</x:v>
      </x:c>
      <x:c r="O318" t="str">
        <x:f>IF($H318="Sin envio","Sin envio",IF($I318="90 minutos",IF($F318&gt;$G318,"A",IF($G318&gt;$F318,"B","E")),"E"))</x:f>
        <x:v>B</x:v>
      </x:c>
      <x:c r="P318" t="str">
        <x:f>IF($M318="90 minutos",IF($J318&gt;$K318,"A",IF($K318&gt;$J318,"B","E")),"E")</x:f>
        <x:v>A</x:v>
      </x:c>
      <x:c r="Q318" t="str">
        <x:f>IF($H318="Sin envio","No",IF($H318=$L318,"Si","No"))</x:f>
        <x:v>No</x:v>
      </x:c>
      <x:c r="R318" t="str">
        <x:f>IF(AND($I318=$M318,NOT(AND($I318="Penales",$F318&lt;&gt;$G318))),"Si","No")</x:f>
        <x:v>Si</x:v>
      </x:c>
      <x:c r="S318" t="n">
        <x:f>IF(OR($N318&lt;&gt;"Finalizado",$Q318&lt;&gt;"Si"),0,IF($O318=$P318,Reglas!$B$2,0))</x:f>
        <x:v>0</x:v>
      </x:c>
      <x:c r="T318" t="n">
        <x:f>IF(OR($N318&lt;&gt;"Finalizado",$Q318&lt;&gt;"Si"),0,Reglas!$B$3)</x:f>
        <x:v>0</x:v>
      </x:c>
      <x:c r="U318" t="n">
        <x:f>IF(OR($N318&lt;&gt;"Finalizado",$Q318&lt;&gt;"Si"),0,IF($I318=$M318,Reglas!$B$4,0))</x:f>
        <x:v>0</x:v>
      </x:c>
      <x:c r="V318" t="n">
        <x:f>IF(OR($N318&lt;&gt;"Finalizado",$Q318&lt;&gt;"Si",$R318&lt;&gt;"Si"),0,IF(AND($F318=$J318,$G318=$K318),Reglas!$B$5,0))</x:f>
        <x:v>0</x:v>
      </x:c>
      <x:c r="W318" t="n">
        <x:f>IF(OR($N318&lt;&gt;"Finalizado",$Q318&lt;&gt;"Si",$R318&lt;&gt;"Si"),0,IF($F318-$G318=$J318-$K318,Reglas!$B$6,0))</x:f>
        <x:v>0</x:v>
      </x:c>
      <x:c r="X318" t="n">
        <x:f>IF(OR($N318&lt;&gt;"Finalizado",$Q318&lt;&gt;"Si",$R318&lt;&gt;"Si"),0,IF($F318=$J318,Reglas!$B$7,0))</x:f>
        <x:v>0</x:v>
      </x:c>
      <x:c r="Y318" t="n">
        <x:f>IF(OR($N318&lt;&gt;"Finalizado",$Q318&lt;&gt;"Si",$R318&lt;&gt;"Si"),0,IF($G318=$K318,Reglas!$B$8,0))</x:f>
        <x:v>0</x:v>
      </x:c>
      <x:c r="Z318" t="n">
        <x:f>SUM($S318:$Y318)</x:f>
        <x:v>0</x:v>
      </x:c>
      <x:c r="AA318" t="str">
        <x:f>IF($N318&lt;&gt;"Finalizado","Resultado pendiente",IF($H318="Sin envio","Sin respuesta",IF($Q318&lt;&gt;"Si","No acerto clasificado","OK")))</x:f>
        <x:v>No acerto clasificado</x:v>
      </x:c>
      <x:c r="AB318" t="str">
        <x:v>Google Forms final + ESPN</x:v>
      </x:c>
      <x:c r="AC318" t="n">
        <x:v>0</x:v>
      </x:c>
      <x:c r="AD318" t="n">
        <x:f>$Z318-$AC318</x:f>
        <x:v>0</x:v>
      </x:c>
    </x:row>
    <x:row r="319" ht="15" hidden="0" customHeight="1">
      <x:c r="A319" t="str">
        <x:v>Tercer puesto</x:v>
      </x:c>
      <x:c r="B319" t="str">
        <x:v>TP</x:v>
      </x:c>
      <x:c r="C319" t="str">
        <x:v>Manuel</x:v>
      </x:c>
      <x:c r="D319" t="str">
        <x:v>Inglaterra</x:v>
      </x:c>
      <x:c r="E319" t="str">
        <x:v>Francia</x:v>
      </x:c>
      <x:c r="F319"/>
      <x:c r="G319"/>
      <x:c r="H319" t="str">
        <x:v>Sin envio</x:v>
      </x:c>
      <x:c r="I319" t="str">
        <x:v>Sin envio</x:v>
      </x:c>
      <x:c r="J319" t="n">
        <x:v>6</x:v>
      </x:c>
      <x:c r="K319" t="n">
        <x:v>4</x:v>
      </x:c>
      <x:c r="L319" t="str">
        <x:v>Inglaterra</x:v>
      </x:c>
      <x:c r="M319" t="str">
        <x:v>90 minutos</x:v>
      </x:c>
      <x:c r="N319" t="str">
        <x:v>Finalizado</x:v>
      </x:c>
      <x:c r="O319" t="str">
        <x:f>IF($H319="Sin envio","Sin envio",IF($I319="90 minutos",IF($F319&gt;$G319,"A",IF($G319&gt;$F319,"B","E")),"E"))</x:f>
        <x:v>Sin envio</x:v>
      </x:c>
      <x:c r="P319" t="str">
        <x:f>IF($M319="90 minutos",IF($J319&gt;$K319,"A",IF($K319&gt;$J319,"B","E")),"E")</x:f>
        <x:v>A</x:v>
      </x:c>
      <x:c r="Q319" t="str">
        <x:f>IF($H319="Sin envio","No",IF($H319=$L319,"Si","No"))</x:f>
        <x:v>No</x:v>
      </x:c>
      <x:c r="R319" t="str">
        <x:f>IF(AND($I319=$M319,NOT(AND($I319="Penales",$F319&lt;&gt;$G319))),"Si","No")</x:f>
        <x:v>No</x:v>
      </x:c>
      <x:c r="S319" t="n">
        <x:f>IF(OR($N319&lt;&gt;"Finalizado",$Q319&lt;&gt;"Si"),0,IF($O319=$P319,Reglas!$B$2,0))</x:f>
        <x:v>0</x:v>
      </x:c>
      <x:c r="T319" t="n">
        <x:f>IF(OR($N319&lt;&gt;"Finalizado",$Q319&lt;&gt;"Si"),0,Reglas!$B$3)</x:f>
        <x:v>0</x:v>
      </x:c>
      <x:c r="U319" t="n">
        <x:f>IF(OR($N319&lt;&gt;"Finalizado",$Q319&lt;&gt;"Si"),0,IF($I319=$M319,Reglas!$B$4,0))</x:f>
        <x:v>0</x:v>
      </x:c>
      <x:c r="V319" t="n">
        <x:f>IF(OR($N319&lt;&gt;"Finalizado",$Q319&lt;&gt;"Si",$R319&lt;&gt;"Si"),0,IF(AND($F319=$J319,$G319=$K319),Reglas!$B$5,0))</x:f>
        <x:v>0</x:v>
      </x:c>
      <x:c r="W319" t="n">
        <x:f>IF(OR($N319&lt;&gt;"Finalizado",$Q319&lt;&gt;"Si",$R319&lt;&gt;"Si"),0,IF($F319-$G319=$J319-$K319,Reglas!$B$6,0))</x:f>
        <x:v>0</x:v>
      </x:c>
      <x:c r="X319" t="n">
        <x:f>IF(OR($N319&lt;&gt;"Finalizado",$Q319&lt;&gt;"Si",$R319&lt;&gt;"Si"),0,IF($F319=$J319,Reglas!$B$7,0))</x:f>
        <x:v>0</x:v>
      </x:c>
      <x:c r="Y319" t="n">
        <x:f>IF(OR($N319&lt;&gt;"Finalizado",$Q319&lt;&gt;"Si",$R319&lt;&gt;"Si"),0,IF($G319=$K319,Reglas!$B$8,0))</x:f>
        <x:v>0</x:v>
      </x:c>
      <x:c r="Z319" t="n">
        <x:f>SUM($S319:$Y319)</x:f>
        <x:v>0</x:v>
      </x:c>
      <x:c r="AA319" t="str">
        <x:f>IF($N319&lt;&gt;"Finalizado","Resultado pendiente",IF($H319="Sin envio","Sin respuesta",IF($Q319&lt;&gt;"Si","No acerto clasificado","OK")))</x:f>
        <x:v>Sin respuesta</x:v>
      </x:c>
      <x:c r="AB319" t="str">
        <x:v>Google Forms final + ESPN</x:v>
      </x:c>
      <x:c r="AC319" t="n">
        <x:v>0</x:v>
      </x:c>
      <x:c r="AD319" t="n">
        <x:f>$Z319-$AC319</x:f>
        <x:v>0</x:v>
      </x:c>
    </x:row>
    <x:row r="320" ht="15" hidden="0" customHeight="1">
      <x:c r="A320" t="str">
        <x:v>Tercer puesto</x:v>
      </x:c>
      <x:c r="B320" t="str">
        <x:v>TP</x:v>
      </x:c>
      <x:c r="C320" t="str">
        <x:v>Jorge</x:v>
      </x:c>
      <x:c r="D320" t="str">
        <x:v>Inglaterra</x:v>
      </x:c>
      <x:c r="E320" t="str">
        <x:v>Francia</x:v>
      </x:c>
      <x:c r="F320" t="n">
        <x:v>2</x:v>
      </x:c>
      <x:c r="G320" t="n">
        <x:v>4</x:v>
      </x:c>
      <x:c r="H320" t="str">
        <x:v>Francia</x:v>
      </x:c>
      <x:c r="I320" t="str">
        <x:v>90 minutos</x:v>
      </x:c>
      <x:c r="J320" t="n">
        <x:v>6</x:v>
      </x:c>
      <x:c r="K320" t="n">
        <x:v>4</x:v>
      </x:c>
      <x:c r="L320" t="str">
        <x:v>Inglaterra</x:v>
      </x:c>
      <x:c r="M320" t="str">
        <x:v>90 minutos</x:v>
      </x:c>
      <x:c r="N320" t="str">
        <x:v>Finalizado</x:v>
      </x:c>
      <x:c r="O320" t="str">
        <x:f>IF($H320="Sin envio","Sin envio",IF($I320="90 minutos",IF($F320&gt;$G320,"A",IF($G320&gt;$F320,"B","E")),"E"))</x:f>
        <x:v>B</x:v>
      </x:c>
      <x:c r="P320" t="str">
        <x:f>IF($M320="90 minutos",IF($J320&gt;$K320,"A",IF($K320&gt;$J320,"B","E")),"E")</x:f>
        <x:v>A</x:v>
      </x:c>
      <x:c r="Q320" t="str">
        <x:f>IF($H320="Sin envio","No",IF($H320=$L320,"Si","No"))</x:f>
        <x:v>No</x:v>
      </x:c>
      <x:c r="R320" t="str">
        <x:f>IF(AND($I320=$M320,NOT(AND($I320="Penales",$F320&lt;&gt;$G320))),"Si","No")</x:f>
        <x:v>Si</x:v>
      </x:c>
      <x:c r="S320" t="n">
        <x:f>IF(OR($N320&lt;&gt;"Finalizado",$Q320&lt;&gt;"Si"),0,IF($O320=$P320,Reglas!$B$2,0))</x:f>
        <x:v>0</x:v>
      </x:c>
      <x:c r="T320" t="n">
        <x:f>IF(OR($N320&lt;&gt;"Finalizado",$Q320&lt;&gt;"Si"),0,Reglas!$B$3)</x:f>
        <x:v>0</x:v>
      </x:c>
      <x:c r="U320" t="n">
        <x:f>IF(OR($N320&lt;&gt;"Finalizado",$Q320&lt;&gt;"Si"),0,IF($I320=$M320,Reglas!$B$4,0))</x:f>
        <x:v>0</x:v>
      </x:c>
      <x:c r="V320" t="n">
        <x:f>IF(OR($N320&lt;&gt;"Finalizado",$Q320&lt;&gt;"Si",$R320&lt;&gt;"Si"),0,IF(AND($F320=$J320,$G320=$K320),Reglas!$B$5,0))</x:f>
        <x:v>0</x:v>
      </x:c>
      <x:c r="W320" t="n">
        <x:f>IF(OR($N320&lt;&gt;"Finalizado",$Q320&lt;&gt;"Si",$R320&lt;&gt;"Si"),0,IF($F320-$G320=$J320-$K320,Reglas!$B$6,0))</x:f>
        <x:v>0</x:v>
      </x:c>
      <x:c r="X320" t="n">
        <x:f>IF(OR($N320&lt;&gt;"Finalizado",$Q320&lt;&gt;"Si",$R320&lt;&gt;"Si"),0,IF($F320=$J320,Reglas!$B$7,0))</x:f>
        <x:v>0</x:v>
      </x:c>
      <x:c r="Y320" t="n">
        <x:f>IF(OR($N320&lt;&gt;"Finalizado",$Q320&lt;&gt;"Si",$R320&lt;&gt;"Si"),0,IF($G320=$K320,Reglas!$B$8,0))</x:f>
        <x:v>0</x:v>
      </x:c>
      <x:c r="Z320" t="n">
        <x:f>SUM($S320:$Y320)</x:f>
        <x:v>0</x:v>
      </x:c>
      <x:c r="AA320" t="str">
        <x:f>IF($N320&lt;&gt;"Finalizado","Resultado pendiente",IF($H320="Sin envio","Sin respuesta",IF($Q320&lt;&gt;"Si","No acerto clasificado","OK")))</x:f>
        <x:v>No acerto clasificado</x:v>
      </x:c>
      <x:c r="AB320" t="str">
        <x:v>Google Forms final + ESPN</x:v>
      </x:c>
      <x:c r="AC320" t="n">
        <x:v>0</x:v>
      </x:c>
      <x:c r="AD320" t="n">
        <x:f>$Z320-$AC320</x:f>
        <x:v>0</x:v>
      </x:c>
    </x:row>
    <x:row r="321" ht="15" hidden="0" customHeight="1">
      <x:c r="A321" t="str">
        <x:v>Tercer puesto</x:v>
      </x:c>
      <x:c r="B321" t="str">
        <x:v>TP</x:v>
      </x:c>
      <x:c r="C321" t="str">
        <x:v>Daniel</x:v>
      </x:c>
      <x:c r="D321" t="str">
        <x:v>Inglaterra</x:v>
      </x:c>
      <x:c r="E321" t="str">
        <x:v>Francia</x:v>
      </x:c>
      <x:c r="F321"/>
      <x:c r="G321"/>
      <x:c r="H321" t="str">
        <x:v>Sin envio</x:v>
      </x:c>
      <x:c r="I321" t="str">
        <x:v>Sin envio</x:v>
      </x:c>
      <x:c r="J321" t="n">
        <x:v>6</x:v>
      </x:c>
      <x:c r="K321" t="n">
        <x:v>4</x:v>
      </x:c>
      <x:c r="L321" t="str">
        <x:v>Inglaterra</x:v>
      </x:c>
      <x:c r="M321" t="str">
        <x:v>90 minutos</x:v>
      </x:c>
      <x:c r="N321" t="str">
        <x:v>Finalizado</x:v>
      </x:c>
      <x:c r="O321" t="str">
        <x:f>IF($H321="Sin envio","Sin envio",IF($I321="90 minutos",IF($F321&gt;$G321,"A",IF($G321&gt;$F321,"B","E")),"E"))</x:f>
        <x:v>Sin envio</x:v>
      </x:c>
      <x:c r="P321" t="str">
        <x:f>IF($M321="90 minutos",IF($J321&gt;$K321,"A",IF($K321&gt;$J321,"B","E")),"E")</x:f>
        <x:v>A</x:v>
      </x:c>
      <x:c r="Q321" t="str">
        <x:f>IF($H321="Sin envio","No",IF($H321=$L321,"Si","No"))</x:f>
        <x:v>No</x:v>
      </x:c>
      <x:c r="R321" t="str">
        <x:f>IF(AND($I321=$M321,NOT(AND($I321="Penales",$F321&lt;&gt;$G321))),"Si","No")</x:f>
        <x:v>No</x:v>
      </x:c>
      <x:c r="S321" t="n">
        <x:f>IF(OR($N321&lt;&gt;"Finalizado",$Q321&lt;&gt;"Si"),0,IF($O321=$P321,Reglas!$B$2,0))</x:f>
        <x:v>0</x:v>
      </x:c>
      <x:c r="T321" t="n">
        <x:f>IF(OR($N321&lt;&gt;"Finalizado",$Q321&lt;&gt;"Si"),0,Reglas!$B$3)</x:f>
        <x:v>0</x:v>
      </x:c>
      <x:c r="U321" t="n">
        <x:f>IF(OR($N321&lt;&gt;"Finalizado",$Q321&lt;&gt;"Si"),0,IF($I321=$M321,Reglas!$B$4,0))</x:f>
        <x:v>0</x:v>
      </x:c>
      <x:c r="V321" t="n">
        <x:f>IF(OR($N321&lt;&gt;"Finalizado",$Q321&lt;&gt;"Si",$R321&lt;&gt;"Si"),0,IF(AND($F321=$J321,$G321=$K321),Reglas!$B$5,0))</x:f>
        <x:v>0</x:v>
      </x:c>
      <x:c r="W321" t="n">
        <x:f>IF(OR($N321&lt;&gt;"Finalizado",$Q321&lt;&gt;"Si",$R321&lt;&gt;"Si"),0,IF($F321-$G321=$J321-$K321,Reglas!$B$6,0))</x:f>
        <x:v>0</x:v>
      </x:c>
      <x:c r="X321" t="n">
        <x:f>IF(OR($N321&lt;&gt;"Finalizado",$Q321&lt;&gt;"Si",$R321&lt;&gt;"Si"),0,IF($F321=$J321,Reglas!$B$7,0))</x:f>
        <x:v>0</x:v>
      </x:c>
      <x:c r="Y321" t="n">
        <x:f>IF(OR($N321&lt;&gt;"Finalizado",$Q321&lt;&gt;"Si",$R321&lt;&gt;"Si"),0,IF($G321=$K321,Reglas!$B$8,0))</x:f>
        <x:v>0</x:v>
      </x:c>
      <x:c r="Z321" t="n">
        <x:f>SUM($S321:$Y321)</x:f>
        <x:v>0</x:v>
      </x:c>
      <x:c r="AA321" t="str">
        <x:f>IF($N321&lt;&gt;"Finalizado","Resultado pendiente",IF($H321="Sin envio","Sin respuesta",IF($Q321&lt;&gt;"Si","No acerto clasificado","OK")))</x:f>
        <x:v>Sin respuesta</x:v>
      </x:c>
      <x:c r="AB321" t="str">
        <x:v>Google Forms final + ESPN</x:v>
      </x:c>
      <x:c r="AC321" t="n">
        <x:v>0</x:v>
      </x:c>
      <x:c r="AD321" t="n">
        <x:f>$Z321-$AC321</x:f>
        <x:v>0</x:v>
      </x:c>
    </x:row>
    <x:row r="322" ht="15" hidden="0" customHeight="1">
      <x:c r="A322" t="str">
        <x:v>Tercer puesto</x:v>
      </x:c>
      <x:c r="B322" t="str">
        <x:v>TP</x:v>
      </x:c>
      <x:c r="C322" t="str">
        <x:v>Arthur</x:v>
      </x:c>
      <x:c r="D322" t="str">
        <x:v>Inglaterra</x:v>
      </x:c>
      <x:c r="E322" t="str">
        <x:v>Francia</x:v>
      </x:c>
      <x:c r="F322" t="n">
        <x:v>1</x:v>
      </x:c>
      <x:c r="G322" t="n">
        <x:v>2</x:v>
      </x:c>
      <x:c r="H322" t="str">
        <x:v>Francia</x:v>
      </x:c>
      <x:c r="I322" t="str">
        <x:v>90 minutos</x:v>
      </x:c>
      <x:c r="J322" t="n">
        <x:v>6</x:v>
      </x:c>
      <x:c r="K322" t="n">
        <x:v>4</x:v>
      </x:c>
      <x:c r="L322" t="str">
        <x:v>Inglaterra</x:v>
      </x:c>
      <x:c r="M322" t="str">
        <x:v>90 minutos</x:v>
      </x:c>
      <x:c r="N322" t="str">
        <x:v>Finalizado</x:v>
      </x:c>
      <x:c r="O322" t="str">
        <x:f>IF($H322="Sin envio","Sin envio",IF($I322="90 minutos",IF($F322&gt;$G322,"A",IF($G322&gt;$F322,"B","E")),"E"))</x:f>
        <x:v>B</x:v>
      </x:c>
      <x:c r="P322" t="str">
        <x:f>IF($M322="90 minutos",IF($J322&gt;$K322,"A",IF($K322&gt;$J322,"B","E")),"E")</x:f>
        <x:v>A</x:v>
      </x:c>
      <x:c r="Q322" t="str">
        <x:f>IF($H322="Sin envio","No",IF($H322=$L322,"Si","No"))</x:f>
        <x:v>No</x:v>
      </x:c>
      <x:c r="R322" t="str">
        <x:f>IF(AND($I322=$M322,NOT(AND($I322="Penales",$F322&lt;&gt;$G322))),"Si","No")</x:f>
        <x:v>Si</x:v>
      </x:c>
      <x:c r="S322" t="n">
        <x:f>IF(OR($N322&lt;&gt;"Finalizado",$Q322&lt;&gt;"Si"),0,IF($O322=$P322,Reglas!$B$2,0))</x:f>
        <x:v>0</x:v>
      </x:c>
      <x:c r="T322" t="n">
        <x:f>IF(OR($N322&lt;&gt;"Finalizado",$Q322&lt;&gt;"Si"),0,Reglas!$B$3)</x:f>
        <x:v>0</x:v>
      </x:c>
      <x:c r="U322" t="n">
        <x:f>IF(OR($N322&lt;&gt;"Finalizado",$Q322&lt;&gt;"Si"),0,IF($I322=$M322,Reglas!$B$4,0))</x:f>
        <x:v>0</x:v>
      </x:c>
      <x:c r="V322" t="n">
        <x:f>IF(OR($N322&lt;&gt;"Finalizado",$Q322&lt;&gt;"Si",$R322&lt;&gt;"Si"),0,IF(AND($F322=$J322,$G322=$K322),Reglas!$B$5,0))</x:f>
        <x:v>0</x:v>
      </x:c>
      <x:c r="W322" t="n">
        <x:f>IF(OR($N322&lt;&gt;"Finalizado",$Q322&lt;&gt;"Si",$R322&lt;&gt;"Si"),0,IF($F322-$G322=$J322-$K322,Reglas!$B$6,0))</x:f>
        <x:v>0</x:v>
      </x:c>
      <x:c r="X322" t="n">
        <x:f>IF(OR($N322&lt;&gt;"Finalizado",$Q322&lt;&gt;"Si",$R322&lt;&gt;"Si"),0,IF($F322=$J322,Reglas!$B$7,0))</x:f>
        <x:v>0</x:v>
      </x:c>
      <x:c r="Y322" t="n">
        <x:f>IF(OR($N322&lt;&gt;"Finalizado",$Q322&lt;&gt;"Si",$R322&lt;&gt;"Si"),0,IF($G322=$K322,Reglas!$B$8,0))</x:f>
        <x:v>0</x:v>
      </x:c>
      <x:c r="Z322" t="n">
        <x:f>SUM($S322:$Y322)</x:f>
        <x:v>0</x:v>
      </x:c>
      <x:c r="AA322" t="str">
        <x:f>IF($N322&lt;&gt;"Finalizado","Resultado pendiente",IF($H322="Sin envio","Sin respuesta",IF($Q322&lt;&gt;"Si","No acerto clasificado","OK")))</x:f>
        <x:v>No acerto clasificado</x:v>
      </x:c>
      <x:c r="AB322" t="str">
        <x:v>Google Forms final + ESPN</x:v>
      </x:c>
      <x:c r="AC322" t="n">
        <x:v>0</x:v>
      </x:c>
      <x:c r="AD322" t="n">
        <x:f>$Z322-$AC322</x:f>
        <x:v>0</x:v>
      </x:c>
    </x:row>
    <x:row r="323" ht="15" hidden="0" customHeight="1">
      <x:c r="A323" t="str">
        <x:v>Tercer puesto</x:v>
      </x:c>
      <x:c r="B323" t="str">
        <x:v>TP</x:v>
      </x:c>
      <x:c r="C323" t="str">
        <x:v>José Luis</x:v>
      </x:c>
      <x:c r="D323" t="str">
        <x:v>Inglaterra</x:v>
      </x:c>
      <x:c r="E323" t="str">
        <x:v>Francia</x:v>
      </x:c>
      <x:c r="F323"/>
      <x:c r="G323"/>
      <x:c r="H323" t="str">
        <x:v>Sin envio</x:v>
      </x:c>
      <x:c r="I323" t="str">
        <x:v>Sin envio</x:v>
      </x:c>
      <x:c r="J323" t="n">
        <x:v>6</x:v>
      </x:c>
      <x:c r="K323" t="n">
        <x:v>4</x:v>
      </x:c>
      <x:c r="L323" t="str">
        <x:v>Inglaterra</x:v>
      </x:c>
      <x:c r="M323" t="str">
        <x:v>90 minutos</x:v>
      </x:c>
      <x:c r="N323" t="str">
        <x:v>Finalizado</x:v>
      </x:c>
      <x:c r="O323" t="str">
        <x:f>IF($H323="Sin envio","Sin envio",IF($I323="90 minutos",IF($F323&gt;$G323,"A",IF($G323&gt;$F323,"B","E")),"E"))</x:f>
        <x:v>Sin envio</x:v>
      </x:c>
      <x:c r="P323" t="str">
        <x:f>IF($M323="90 minutos",IF($J323&gt;$K323,"A",IF($K323&gt;$J323,"B","E")),"E")</x:f>
        <x:v>A</x:v>
      </x:c>
      <x:c r="Q323" t="str">
        <x:f>IF($H323="Sin envio","No",IF($H323=$L323,"Si","No"))</x:f>
        <x:v>No</x:v>
      </x:c>
      <x:c r="R323" t="str">
        <x:f>IF(AND($I323=$M323,NOT(AND($I323="Penales",$F323&lt;&gt;$G323))),"Si","No")</x:f>
        <x:v>No</x:v>
      </x:c>
      <x:c r="S323" t="n">
        <x:f>IF(OR($N323&lt;&gt;"Finalizado",$Q323&lt;&gt;"Si"),0,IF($O323=$P323,Reglas!$B$2,0))</x:f>
        <x:v>0</x:v>
      </x:c>
      <x:c r="T323" t="n">
        <x:f>IF(OR($N323&lt;&gt;"Finalizado",$Q323&lt;&gt;"Si"),0,Reglas!$B$3)</x:f>
        <x:v>0</x:v>
      </x:c>
      <x:c r="U323" t="n">
        <x:f>IF(OR($N323&lt;&gt;"Finalizado",$Q323&lt;&gt;"Si"),0,IF($I323=$M323,Reglas!$B$4,0))</x:f>
        <x:v>0</x:v>
      </x:c>
      <x:c r="V323" t="n">
        <x:f>IF(OR($N323&lt;&gt;"Finalizado",$Q323&lt;&gt;"Si",$R323&lt;&gt;"Si"),0,IF(AND($F323=$J323,$G323=$K323),Reglas!$B$5,0))</x:f>
        <x:v>0</x:v>
      </x:c>
      <x:c r="W323" t="n">
        <x:f>IF(OR($N323&lt;&gt;"Finalizado",$Q323&lt;&gt;"Si",$R323&lt;&gt;"Si"),0,IF($F323-$G323=$J323-$K323,Reglas!$B$6,0))</x:f>
        <x:v>0</x:v>
      </x:c>
      <x:c r="X323" t="n">
        <x:f>IF(OR($N323&lt;&gt;"Finalizado",$Q323&lt;&gt;"Si",$R323&lt;&gt;"Si"),0,IF($F323=$J323,Reglas!$B$7,0))</x:f>
        <x:v>0</x:v>
      </x:c>
      <x:c r="Y323" t="n">
        <x:f>IF(OR($N323&lt;&gt;"Finalizado",$Q323&lt;&gt;"Si",$R323&lt;&gt;"Si"),0,IF($G323=$K323,Reglas!$B$8,0))</x:f>
        <x:v>0</x:v>
      </x:c>
      <x:c r="Z323" t="n">
        <x:f>SUM($S323:$Y323)</x:f>
        <x:v>0</x:v>
      </x:c>
      <x:c r="AA323" t="str">
        <x:f>IF($N323&lt;&gt;"Finalizado","Resultado pendiente",IF($H323="Sin envio","Sin respuesta",IF($Q323&lt;&gt;"Si","No acerto clasificado","OK")))</x:f>
        <x:v>Sin respuesta</x:v>
      </x:c>
      <x:c r="AB323" t="str">
        <x:v>Google Forms final + ESPN</x:v>
      </x:c>
      <x:c r="AC323" t="n">
        <x:v>0</x:v>
      </x:c>
      <x:c r="AD323" t="n">
        <x:f>$Z323-$AC323</x:f>
        <x:v>0</x:v>
      </x:c>
    </x:row>
    <x:row r="324" ht="15" hidden="0" customHeight="1">
      <x:c r="A324" t="str">
        <x:v>Tercer puesto</x:v>
      </x:c>
      <x:c r="B324" t="str">
        <x:v>TP</x:v>
      </x:c>
      <x:c r="C324" t="str">
        <x:v>Marcelo</x:v>
      </x:c>
      <x:c r="D324" t="str">
        <x:v>Inglaterra</x:v>
      </x:c>
      <x:c r="E324" t="str">
        <x:v>Francia</x:v>
      </x:c>
      <x:c r="F324"/>
      <x:c r="G324"/>
      <x:c r="H324" t="str">
        <x:v>Sin envio</x:v>
      </x:c>
      <x:c r="I324" t="str">
        <x:v>Sin envio</x:v>
      </x:c>
      <x:c r="J324" t="n">
        <x:v>6</x:v>
      </x:c>
      <x:c r="K324" t="n">
        <x:v>4</x:v>
      </x:c>
      <x:c r="L324" t="str">
        <x:v>Inglaterra</x:v>
      </x:c>
      <x:c r="M324" t="str">
        <x:v>90 minutos</x:v>
      </x:c>
      <x:c r="N324" t="str">
        <x:v>Finalizado</x:v>
      </x:c>
      <x:c r="O324" t="str">
        <x:f>IF($H324="Sin envio","Sin envio",IF($I324="90 minutos",IF($F324&gt;$G324,"A",IF($G324&gt;$F324,"B","E")),"E"))</x:f>
        <x:v>Sin envio</x:v>
      </x:c>
      <x:c r="P324" t="str">
        <x:f>IF($M324="90 minutos",IF($J324&gt;$K324,"A",IF($K324&gt;$J324,"B","E")),"E")</x:f>
        <x:v>A</x:v>
      </x:c>
      <x:c r="Q324" t="str">
        <x:f>IF($H324="Sin envio","No",IF($H324=$L324,"Si","No"))</x:f>
        <x:v>No</x:v>
      </x:c>
      <x:c r="R324" t="str">
        <x:f>IF(AND($I324=$M324,NOT(AND($I324="Penales",$F324&lt;&gt;$G324))),"Si","No")</x:f>
        <x:v>No</x:v>
      </x:c>
      <x:c r="S324" t="n">
        <x:f>IF(OR($N324&lt;&gt;"Finalizado",$Q324&lt;&gt;"Si"),0,IF($O324=$P324,Reglas!$B$2,0))</x:f>
        <x:v>0</x:v>
      </x:c>
      <x:c r="T324" t="n">
        <x:f>IF(OR($N324&lt;&gt;"Finalizado",$Q324&lt;&gt;"Si"),0,Reglas!$B$3)</x:f>
        <x:v>0</x:v>
      </x:c>
      <x:c r="U324" t="n">
        <x:f>IF(OR($N324&lt;&gt;"Finalizado",$Q324&lt;&gt;"Si"),0,IF($I324=$M324,Reglas!$B$4,0))</x:f>
        <x:v>0</x:v>
      </x:c>
      <x:c r="V324" t="n">
        <x:f>IF(OR($N324&lt;&gt;"Finalizado",$Q324&lt;&gt;"Si",$R324&lt;&gt;"Si"),0,IF(AND($F324=$J324,$G324=$K324),Reglas!$B$5,0))</x:f>
        <x:v>0</x:v>
      </x:c>
      <x:c r="W324" t="n">
        <x:f>IF(OR($N324&lt;&gt;"Finalizado",$Q324&lt;&gt;"Si",$R324&lt;&gt;"Si"),0,IF($F324-$G324=$J324-$K324,Reglas!$B$6,0))</x:f>
        <x:v>0</x:v>
      </x:c>
      <x:c r="X324" t="n">
        <x:f>IF(OR($N324&lt;&gt;"Finalizado",$Q324&lt;&gt;"Si",$R324&lt;&gt;"Si"),0,IF($F324=$J324,Reglas!$B$7,0))</x:f>
        <x:v>0</x:v>
      </x:c>
      <x:c r="Y324" t="n">
        <x:f>IF(OR($N324&lt;&gt;"Finalizado",$Q324&lt;&gt;"Si",$R324&lt;&gt;"Si"),0,IF($G324=$K324,Reglas!$B$8,0))</x:f>
        <x:v>0</x:v>
      </x:c>
      <x:c r="Z324" t="n">
        <x:f>SUM($S324:$Y324)</x:f>
        <x:v>0</x:v>
      </x:c>
      <x:c r="AA324" t="str">
        <x:f>IF($N324&lt;&gt;"Finalizado","Resultado pendiente",IF($H324="Sin envio","Sin respuesta",IF($Q324&lt;&gt;"Si","No acerto clasificado","OK")))</x:f>
        <x:v>Sin respuesta</x:v>
      </x:c>
      <x:c r="AB324" t="str">
        <x:v>Google Forms final + ESPN</x:v>
      </x:c>
      <x:c r="AC324" t="n">
        <x:v>0</x:v>
      </x:c>
      <x:c r="AD324" t="n">
        <x:f>$Z324-$AC324</x:f>
        <x:v>0</x:v>
      </x:c>
    </x:row>
    <x:row r="325" ht="15" hidden="0" customHeight="1">
      <x:c r="A325" t="str">
        <x:v>Tercer puesto</x:v>
      </x:c>
      <x:c r="B325" t="str">
        <x:v>TP</x:v>
      </x:c>
      <x:c r="C325" t="str">
        <x:v>Anny</x:v>
      </x:c>
      <x:c r="D325" t="str">
        <x:v>Inglaterra</x:v>
      </x:c>
      <x:c r="E325" t="str">
        <x:v>Francia</x:v>
      </x:c>
      <x:c r="F325" t="n">
        <x:v>2</x:v>
      </x:c>
      <x:c r="G325" t="n">
        <x:v>1</x:v>
      </x:c>
      <x:c r="H325" t="str">
        <x:v>Inglaterra</x:v>
      </x:c>
      <x:c r="I325" t="str">
        <x:v>90 minutos</x:v>
      </x:c>
      <x:c r="J325" t="n">
        <x:v>6</x:v>
      </x:c>
      <x:c r="K325" t="n">
        <x:v>4</x:v>
      </x:c>
      <x:c r="L325" t="str">
        <x:v>Inglaterra</x:v>
      </x:c>
      <x:c r="M325" t="str">
        <x:v>90 minutos</x:v>
      </x:c>
      <x:c r="N325" t="str">
        <x:v>Finalizado</x:v>
      </x:c>
      <x:c r="O325" t="str">
        <x:f>IF($H325="Sin envio","Sin envio",IF($I325="90 minutos",IF($F325&gt;$G325,"A",IF($G325&gt;$F325,"B","E")),"E"))</x:f>
        <x:v>A</x:v>
      </x:c>
      <x:c r="P325" t="str">
        <x:f>IF($M325="90 minutos",IF($J325&gt;$K325,"A",IF($K325&gt;$J325,"B","E")),"E")</x:f>
        <x:v>A</x:v>
      </x:c>
      <x:c r="Q325" t="str">
        <x:f>IF($H325="Sin envio","No",IF($H325=$L325,"Si","No"))</x:f>
        <x:v>Si</x:v>
      </x:c>
      <x:c r="R325" t="str">
        <x:f>IF(AND($I325=$M325,NOT(AND($I325="Penales",$F325&lt;&gt;$G325))),"Si","No")</x:f>
        <x:v>Si</x:v>
      </x:c>
      <x:c r="S325" t="n">
        <x:f>IF(OR($N325&lt;&gt;"Finalizado",$Q325&lt;&gt;"Si"),0,IF($O325=$P325,Reglas!$B$2,0))</x:f>
        <x:v>5</x:v>
      </x:c>
      <x:c r="T325" t="n">
        <x:f>IF(OR($N325&lt;&gt;"Finalizado",$Q325&lt;&gt;"Si"),0,Reglas!$B$3)</x:f>
        <x:v>3</x:v>
      </x:c>
      <x:c r="U325" t="n">
        <x:f>IF(OR($N325&lt;&gt;"Finalizado",$Q325&lt;&gt;"Si"),0,IF($I325=$M325,Reglas!$B$4,0))</x:f>
        <x:v>2</x:v>
      </x:c>
      <x:c r="V325" t="n">
        <x:f>IF(OR($N325&lt;&gt;"Finalizado",$Q325&lt;&gt;"Si",$R325&lt;&gt;"Si"),0,IF(AND($F325=$J325,$G325=$K325),Reglas!$B$5,0))</x:f>
        <x:v>0</x:v>
      </x:c>
      <x:c r="W325" t="n">
        <x:f>IF(OR($N325&lt;&gt;"Finalizado",$Q325&lt;&gt;"Si",$R325&lt;&gt;"Si"),0,IF($F325-$G325=$J325-$K325,Reglas!$B$6,0))</x:f>
        <x:v>0</x:v>
      </x:c>
      <x:c r="X325" t="n">
        <x:f>IF(OR($N325&lt;&gt;"Finalizado",$Q325&lt;&gt;"Si",$R325&lt;&gt;"Si"),0,IF($F325=$J325,Reglas!$B$7,0))</x:f>
        <x:v>0</x:v>
      </x:c>
      <x:c r="Y325" t="n">
        <x:f>IF(OR($N325&lt;&gt;"Finalizado",$Q325&lt;&gt;"Si",$R325&lt;&gt;"Si"),0,IF($G325=$K325,Reglas!$B$8,0))</x:f>
        <x:v>0</x:v>
      </x:c>
      <x:c r="Z325" t="n">
        <x:f>SUM($S325:$Y325)</x:f>
        <x:v>10</x:v>
      </x:c>
      <x:c r="AA325" t="str">
        <x:f>IF($N325&lt;&gt;"Finalizado","Resultado pendiente",IF($H325="Sin envio","Sin respuesta",IF($Q325&lt;&gt;"Si","No acerto clasificado","OK")))</x:f>
        <x:v>OK</x:v>
      </x:c>
      <x:c r="AB325" t="str">
        <x:v>Google Forms final + ESPN</x:v>
      </x:c>
      <x:c r="AC325" t="n">
        <x:v>10</x:v>
      </x:c>
      <x:c r="AD325" t="n">
        <x:f>$Z325-$AC325</x:f>
        <x:v>0</x:v>
      </x:c>
    </x:row>
    <x:row r="326" ht="15" hidden="0" customHeight="1">
      <x:c r="A326" t="str">
        <x:v>Tercer puesto</x:v>
      </x:c>
      <x:c r="B326" t="str">
        <x:v>TP</x:v>
      </x:c>
      <x:c r="C326" t="str">
        <x:v>Moisés</x:v>
      </x:c>
      <x:c r="D326" t="str">
        <x:v>Inglaterra</x:v>
      </x:c>
      <x:c r="E326" t="str">
        <x:v>Francia</x:v>
      </x:c>
      <x:c r="F326"/>
      <x:c r="G326"/>
      <x:c r="H326" t="str">
        <x:v>Sin envio</x:v>
      </x:c>
      <x:c r="I326" t="str">
        <x:v>Sin envio</x:v>
      </x:c>
      <x:c r="J326" t="n">
        <x:v>6</x:v>
      </x:c>
      <x:c r="K326" t="n">
        <x:v>4</x:v>
      </x:c>
      <x:c r="L326" t="str">
        <x:v>Inglaterra</x:v>
      </x:c>
      <x:c r="M326" t="str">
        <x:v>90 minutos</x:v>
      </x:c>
      <x:c r="N326" t="str">
        <x:v>Finalizado</x:v>
      </x:c>
      <x:c r="O326" t="str">
        <x:f>IF($H326="Sin envio","Sin envio",IF($I326="90 minutos",IF($F326&gt;$G326,"A",IF($G326&gt;$F326,"B","E")),"E"))</x:f>
        <x:v>Sin envio</x:v>
      </x:c>
      <x:c r="P326" t="str">
        <x:f>IF($M326="90 minutos",IF($J326&gt;$K326,"A",IF($K326&gt;$J326,"B","E")),"E")</x:f>
        <x:v>A</x:v>
      </x:c>
      <x:c r="Q326" t="str">
        <x:f>IF($H326="Sin envio","No",IF($H326=$L326,"Si","No"))</x:f>
        <x:v>No</x:v>
      </x:c>
      <x:c r="R326" t="str">
        <x:f>IF(AND($I326=$M326,NOT(AND($I326="Penales",$F326&lt;&gt;$G326))),"Si","No")</x:f>
        <x:v>No</x:v>
      </x:c>
      <x:c r="S326" t="n">
        <x:f>IF(OR($N326&lt;&gt;"Finalizado",$Q326&lt;&gt;"Si"),0,IF($O326=$P326,Reglas!$B$2,0))</x:f>
        <x:v>0</x:v>
      </x:c>
      <x:c r="T326" t="n">
        <x:f>IF(OR($N326&lt;&gt;"Finalizado",$Q326&lt;&gt;"Si"),0,Reglas!$B$3)</x:f>
        <x:v>0</x:v>
      </x:c>
      <x:c r="U326" t="n">
        <x:f>IF(OR($N326&lt;&gt;"Finalizado",$Q326&lt;&gt;"Si"),0,IF($I326=$M326,Reglas!$B$4,0))</x:f>
        <x:v>0</x:v>
      </x:c>
      <x:c r="V326" t="n">
        <x:f>IF(OR($N326&lt;&gt;"Finalizado",$Q326&lt;&gt;"Si",$R326&lt;&gt;"Si"),0,IF(AND($F326=$J326,$G326=$K326),Reglas!$B$5,0))</x:f>
        <x:v>0</x:v>
      </x:c>
      <x:c r="W326" t="n">
        <x:f>IF(OR($N326&lt;&gt;"Finalizado",$Q326&lt;&gt;"Si",$R326&lt;&gt;"Si"),0,IF($F326-$G326=$J326-$K326,Reglas!$B$6,0))</x:f>
        <x:v>0</x:v>
      </x:c>
      <x:c r="X326" t="n">
        <x:f>IF(OR($N326&lt;&gt;"Finalizado",$Q326&lt;&gt;"Si",$R326&lt;&gt;"Si"),0,IF($F326=$J326,Reglas!$B$7,0))</x:f>
        <x:v>0</x:v>
      </x:c>
      <x:c r="Y326" t="n">
        <x:f>IF(OR($N326&lt;&gt;"Finalizado",$Q326&lt;&gt;"Si",$R326&lt;&gt;"Si"),0,IF($G326=$K326,Reglas!$B$8,0))</x:f>
        <x:v>0</x:v>
      </x:c>
      <x:c r="Z326" t="n">
        <x:f>SUM($S326:$Y326)</x:f>
        <x:v>0</x:v>
      </x:c>
      <x:c r="AA326" t="str">
        <x:f>IF($N326&lt;&gt;"Finalizado","Resultado pendiente",IF($H326="Sin envio","Sin respuesta",IF($Q326&lt;&gt;"Si","No acerto clasificado","OK")))</x:f>
        <x:v>Sin respuesta</x:v>
      </x:c>
      <x:c r="AB326" t="str">
        <x:v>Google Forms final + ESPN</x:v>
      </x:c>
      <x:c r="AC326" t="n">
        <x:v>0</x:v>
      </x:c>
      <x:c r="AD326" t="n">
        <x:f>$Z326-$AC326</x:f>
        <x:v>0</x:v>
      </x:c>
    </x:row>
    <x:row r="327" ht="15" hidden="0" customHeight="1">
      <x:c r="A327" t="str">
        <x:v>Tercer puesto</x:v>
      </x:c>
      <x:c r="B327" t="str">
        <x:v>TP</x:v>
      </x:c>
      <x:c r="C327" t="str">
        <x:v>Alex</x:v>
      </x:c>
      <x:c r="D327" t="str">
        <x:v>Inglaterra</x:v>
      </x:c>
      <x:c r="E327" t="str">
        <x:v>Francia</x:v>
      </x:c>
      <x:c r="F327" t="n">
        <x:v>3</x:v>
      </x:c>
      <x:c r="G327" t="n">
        <x:v>1</x:v>
      </x:c>
      <x:c r="H327" t="str">
        <x:v>Inglaterra</x:v>
      </x:c>
      <x:c r="I327" t="str">
        <x:v>90 minutos</x:v>
      </x:c>
      <x:c r="J327" t="n">
        <x:v>6</x:v>
      </x:c>
      <x:c r="K327" t="n">
        <x:v>4</x:v>
      </x:c>
      <x:c r="L327" t="str">
        <x:v>Inglaterra</x:v>
      </x:c>
      <x:c r="M327" t="str">
        <x:v>90 minutos</x:v>
      </x:c>
      <x:c r="N327" t="str">
        <x:v>Finalizado</x:v>
      </x:c>
      <x:c r="O327" t="str">
        <x:f>IF($H327="Sin envio","Sin envio",IF($I327="90 minutos",IF($F327&gt;$G327,"A",IF($G327&gt;$F327,"B","E")),"E"))</x:f>
        <x:v>A</x:v>
      </x:c>
      <x:c r="P327" t="str">
        <x:f>IF($M327="90 minutos",IF($J327&gt;$K327,"A",IF($K327&gt;$J327,"B","E")),"E")</x:f>
        <x:v>A</x:v>
      </x:c>
      <x:c r="Q327" t="str">
        <x:f>IF($H327="Sin envio","No",IF($H327=$L327,"Si","No"))</x:f>
        <x:v>Si</x:v>
      </x:c>
      <x:c r="R327" t="str">
        <x:f>IF(AND($I327=$M327,NOT(AND($I327="Penales",$F327&lt;&gt;$G327))),"Si","No")</x:f>
        <x:v>Si</x:v>
      </x:c>
      <x:c r="S327" t="n">
        <x:f>IF(OR($N327&lt;&gt;"Finalizado",$Q327&lt;&gt;"Si"),0,IF($O327=$P327,Reglas!$B$2,0))</x:f>
        <x:v>5</x:v>
      </x:c>
      <x:c r="T327" t="n">
        <x:f>IF(OR($N327&lt;&gt;"Finalizado",$Q327&lt;&gt;"Si"),0,Reglas!$B$3)</x:f>
        <x:v>3</x:v>
      </x:c>
      <x:c r="U327" t="n">
        <x:f>IF(OR($N327&lt;&gt;"Finalizado",$Q327&lt;&gt;"Si"),0,IF($I327=$M327,Reglas!$B$4,0))</x:f>
        <x:v>2</x:v>
      </x:c>
      <x:c r="V327" t="n">
        <x:f>IF(OR($N327&lt;&gt;"Finalizado",$Q327&lt;&gt;"Si",$R327&lt;&gt;"Si"),0,IF(AND($F327=$J327,$G327=$K327),Reglas!$B$5,0))</x:f>
        <x:v>0</x:v>
      </x:c>
      <x:c r="W327" t="n">
        <x:f>IF(OR($N327&lt;&gt;"Finalizado",$Q327&lt;&gt;"Si",$R327&lt;&gt;"Si"),0,IF($F327-$G327=$J327-$K327,Reglas!$B$6,0))</x:f>
        <x:v>2</x:v>
      </x:c>
      <x:c r="X327" t="n">
        <x:f>IF(OR($N327&lt;&gt;"Finalizado",$Q327&lt;&gt;"Si",$R327&lt;&gt;"Si"),0,IF($F327=$J327,Reglas!$B$7,0))</x:f>
        <x:v>0</x:v>
      </x:c>
      <x:c r="Y327" t="n">
        <x:f>IF(OR($N327&lt;&gt;"Finalizado",$Q327&lt;&gt;"Si",$R327&lt;&gt;"Si"),0,IF($G327=$K327,Reglas!$B$8,0))</x:f>
        <x:v>0</x:v>
      </x:c>
      <x:c r="Z327" t="n">
        <x:f>SUM($S327:$Y327)</x:f>
        <x:v>12</x:v>
      </x:c>
      <x:c r="AA327" t="str">
        <x:f>IF($N327&lt;&gt;"Finalizado","Resultado pendiente",IF($H327="Sin envio","Sin respuesta",IF($Q327&lt;&gt;"Si","No acerto clasificado","OK")))</x:f>
        <x:v>OK</x:v>
      </x:c>
      <x:c r="AB327" t="str">
        <x:v>Google Forms final + ESPN</x:v>
      </x:c>
      <x:c r="AC327" t="n">
        <x:v>12</x:v>
      </x:c>
      <x:c r="AD327" t="n">
        <x:f>$Z327-$AC327</x:f>
        <x:v>0</x:v>
      </x:c>
    </x:row>
    <x:row r="328" ht="15" hidden="0" customHeight="1">
      <x:c r="A328" t="str">
        <x:v>Tercer puesto</x:v>
      </x:c>
      <x:c r="B328" t="str">
        <x:v>TP</x:v>
      </x:c>
      <x:c r="C328" t="str">
        <x:v>Omar</x:v>
      </x:c>
      <x:c r="D328" t="str">
        <x:v>Inglaterra</x:v>
      </x:c>
      <x:c r="E328" t="str">
        <x:v>Francia</x:v>
      </x:c>
      <x:c r="F328"/>
      <x:c r="G328"/>
      <x:c r="H328" t="str">
        <x:v>Sin envio</x:v>
      </x:c>
      <x:c r="I328" t="str">
        <x:v>Sin envio</x:v>
      </x:c>
      <x:c r="J328" t="n">
        <x:v>6</x:v>
      </x:c>
      <x:c r="K328" t="n">
        <x:v>4</x:v>
      </x:c>
      <x:c r="L328" t="str">
        <x:v>Inglaterra</x:v>
      </x:c>
      <x:c r="M328" t="str">
        <x:v>90 minutos</x:v>
      </x:c>
      <x:c r="N328" t="str">
        <x:v>Finalizado</x:v>
      </x:c>
      <x:c r="O328" t="str">
        <x:f>IF($H328="Sin envio","Sin envio",IF($I328="90 minutos",IF($F328&gt;$G328,"A",IF($G328&gt;$F328,"B","E")),"E"))</x:f>
        <x:v>Sin envio</x:v>
      </x:c>
      <x:c r="P328" t="str">
        <x:f>IF($M328="90 minutos",IF($J328&gt;$K328,"A",IF($K328&gt;$J328,"B","E")),"E")</x:f>
        <x:v>A</x:v>
      </x:c>
      <x:c r="Q328" t="str">
        <x:f>IF($H328="Sin envio","No",IF($H328=$L328,"Si","No"))</x:f>
        <x:v>No</x:v>
      </x:c>
      <x:c r="R328" t="str">
        <x:f>IF(AND($I328=$M328,NOT(AND($I328="Penales",$F328&lt;&gt;$G328))),"Si","No")</x:f>
        <x:v>No</x:v>
      </x:c>
      <x:c r="S328" t="n">
        <x:f>IF(OR($N328&lt;&gt;"Finalizado",$Q328&lt;&gt;"Si"),0,IF($O328=$P328,Reglas!$B$2,0))</x:f>
        <x:v>0</x:v>
      </x:c>
      <x:c r="T328" t="n">
        <x:f>IF(OR($N328&lt;&gt;"Finalizado",$Q328&lt;&gt;"Si"),0,Reglas!$B$3)</x:f>
        <x:v>0</x:v>
      </x:c>
      <x:c r="U328" t="n">
        <x:f>IF(OR($N328&lt;&gt;"Finalizado",$Q328&lt;&gt;"Si"),0,IF($I328=$M328,Reglas!$B$4,0))</x:f>
        <x:v>0</x:v>
      </x:c>
      <x:c r="V328" t="n">
        <x:f>IF(OR($N328&lt;&gt;"Finalizado",$Q328&lt;&gt;"Si",$R328&lt;&gt;"Si"),0,IF(AND($F328=$J328,$G328=$K328),Reglas!$B$5,0))</x:f>
        <x:v>0</x:v>
      </x:c>
      <x:c r="W328" t="n">
        <x:f>IF(OR($N328&lt;&gt;"Finalizado",$Q328&lt;&gt;"Si",$R328&lt;&gt;"Si"),0,IF($F328-$G328=$J328-$K328,Reglas!$B$6,0))</x:f>
        <x:v>0</x:v>
      </x:c>
      <x:c r="X328" t="n">
        <x:f>IF(OR($N328&lt;&gt;"Finalizado",$Q328&lt;&gt;"Si",$R328&lt;&gt;"Si"),0,IF($F328=$J328,Reglas!$B$7,0))</x:f>
        <x:v>0</x:v>
      </x:c>
      <x:c r="Y328" t="n">
        <x:f>IF(OR($N328&lt;&gt;"Finalizado",$Q328&lt;&gt;"Si",$R328&lt;&gt;"Si"),0,IF($G328=$K328,Reglas!$B$8,0))</x:f>
        <x:v>0</x:v>
      </x:c>
      <x:c r="Z328" t="n">
        <x:f>SUM($S328:$Y328)</x:f>
        <x:v>0</x:v>
      </x:c>
      <x:c r="AA328" t="str">
        <x:f>IF($N328&lt;&gt;"Finalizado","Resultado pendiente",IF($H328="Sin envio","Sin respuesta",IF($Q328&lt;&gt;"Si","No acerto clasificado","OK")))</x:f>
        <x:v>Sin respuesta</x:v>
      </x:c>
      <x:c r="AB328" t="str">
        <x:v>Google Forms final + ESPN</x:v>
      </x:c>
      <x:c r="AC328" t="n">
        <x:v>0</x:v>
      </x:c>
      <x:c r="AD328" t="n">
        <x:f>$Z328-$AC328</x:f>
        <x:v>0</x:v>
      </x:c>
    </x:row>
    <x:row r="329" ht="15" hidden="0" customHeight="1">
      <x:c r="A329" t="str">
        <x:v>Tercer puesto</x:v>
      </x:c>
      <x:c r="B329" t="str">
        <x:v>TP</x:v>
      </x:c>
      <x:c r="C329" t="str">
        <x:v>Fernando</x:v>
      </x:c>
      <x:c r="D329" t="str">
        <x:v>Inglaterra</x:v>
      </x:c>
      <x:c r="E329" t="str">
        <x:v>Francia</x:v>
      </x:c>
      <x:c r="F329" t="n">
        <x:v>1</x:v>
      </x:c>
      <x:c r="G329" t="n">
        <x:v>3</x:v>
      </x:c>
      <x:c r="H329" t="str">
        <x:v>Inglaterra</x:v>
      </x:c>
      <x:c r="I329" t="str">
        <x:v>90 minutos</x:v>
      </x:c>
      <x:c r="J329" t="n">
        <x:v>6</x:v>
      </x:c>
      <x:c r="K329" t="n">
        <x:v>4</x:v>
      </x:c>
      <x:c r="L329" t="str">
        <x:v>Inglaterra</x:v>
      </x:c>
      <x:c r="M329" t="str">
        <x:v>90 minutos</x:v>
      </x:c>
      <x:c r="N329" t="str">
        <x:v>Finalizado</x:v>
      </x:c>
      <x:c r="O329" t="str">
        <x:f>IF($H329="Sin envio","Sin envio",IF($I329="90 minutos",IF($F329&gt;$G329,"A",IF($G329&gt;$F329,"B","E")),"E"))</x:f>
        <x:v>B</x:v>
      </x:c>
      <x:c r="P329" t="str">
        <x:f>IF($M329="90 minutos",IF($J329&gt;$K329,"A",IF($K329&gt;$J329,"B","E")),"E")</x:f>
        <x:v>A</x:v>
      </x:c>
      <x:c r="Q329" t="str">
        <x:f>IF($H329="Sin envio","No",IF($H329=$L329,"Si","No"))</x:f>
        <x:v>Si</x:v>
      </x:c>
      <x:c r="R329" t="str">
        <x:f>IF(AND($I329=$M329,NOT(AND($I329="Penales",$F329&lt;&gt;$G329))),"Si","No")</x:f>
        <x:v>Si</x:v>
      </x:c>
      <x:c r="S329" t="n">
        <x:f>IF(OR($N329&lt;&gt;"Finalizado",$Q329&lt;&gt;"Si"),0,IF($O329=$P329,Reglas!$B$2,0))</x:f>
        <x:v>0</x:v>
      </x:c>
      <x:c r="T329" t="n">
        <x:f>IF(OR($N329&lt;&gt;"Finalizado",$Q329&lt;&gt;"Si"),0,Reglas!$B$3)</x:f>
        <x:v>3</x:v>
      </x:c>
      <x:c r="U329" t="n">
        <x:f>IF(OR($N329&lt;&gt;"Finalizado",$Q329&lt;&gt;"Si"),0,IF($I329=$M329,Reglas!$B$4,0))</x:f>
        <x:v>2</x:v>
      </x:c>
      <x:c r="V329" t="n">
        <x:f>IF(OR($N329&lt;&gt;"Finalizado",$Q329&lt;&gt;"Si",$R329&lt;&gt;"Si"),0,IF(AND($F329=$J329,$G329=$K329),Reglas!$B$5,0))</x:f>
        <x:v>0</x:v>
      </x:c>
      <x:c r="W329" t="n">
        <x:f>IF(OR($N329&lt;&gt;"Finalizado",$Q329&lt;&gt;"Si",$R329&lt;&gt;"Si"),0,IF($F329-$G329=$J329-$K329,Reglas!$B$6,0))</x:f>
        <x:v>0</x:v>
      </x:c>
      <x:c r="X329" t="n">
        <x:f>IF(OR($N329&lt;&gt;"Finalizado",$Q329&lt;&gt;"Si",$R329&lt;&gt;"Si"),0,IF($F329=$J329,Reglas!$B$7,0))</x:f>
        <x:v>0</x:v>
      </x:c>
      <x:c r="Y329" t="n">
        <x:f>IF(OR($N329&lt;&gt;"Finalizado",$Q329&lt;&gt;"Si",$R329&lt;&gt;"Si"),0,IF($G329=$K329,Reglas!$B$8,0))</x:f>
        <x:v>0</x:v>
      </x:c>
      <x:c r="Z329" t="n">
        <x:f>SUM($S329:$Y329)</x:f>
        <x:v>5</x:v>
      </x:c>
      <x:c r="AA329" t="str">
        <x:f>IF($N329&lt;&gt;"Finalizado","Resultado pendiente",IF($H329="Sin envio","Sin respuesta",IF($Q329&lt;&gt;"Si","No acerto clasificado","OK")))</x:f>
        <x:v>OK</x:v>
      </x:c>
      <x:c r="AB329" t="str">
        <x:v>Google Forms final + ESPN</x:v>
      </x:c>
      <x:c r="AC329" t="n">
        <x:v>5</x:v>
      </x:c>
      <x:c r="AD329" t="n">
        <x:f>$Z329-$AC329</x:f>
        <x:v>0</x:v>
      </x:c>
    </x:row>
    <x:row r="330" ht="15" hidden="0" customHeight="1">
      <x:c r="A330" t="str">
        <x:v>Tercer puesto</x:v>
      </x:c>
      <x:c r="B330" t="str">
        <x:v>TP</x:v>
      </x:c>
      <x:c r="C330" t="str">
        <x:v>Diana</x:v>
      </x:c>
      <x:c r="D330" t="str">
        <x:v>Inglaterra</x:v>
      </x:c>
      <x:c r="E330" t="str">
        <x:v>Francia</x:v>
      </x:c>
      <x:c r="F330"/>
      <x:c r="G330"/>
      <x:c r="H330" t="str">
        <x:v>Sin envio</x:v>
      </x:c>
      <x:c r="I330" t="str">
        <x:v>Sin envio</x:v>
      </x:c>
      <x:c r="J330" t="n">
        <x:v>6</x:v>
      </x:c>
      <x:c r="K330" t="n">
        <x:v>4</x:v>
      </x:c>
      <x:c r="L330" t="str">
        <x:v>Inglaterra</x:v>
      </x:c>
      <x:c r="M330" t="str">
        <x:v>90 minutos</x:v>
      </x:c>
      <x:c r="N330" t="str">
        <x:v>Finalizado</x:v>
      </x:c>
      <x:c r="O330" t="str">
        <x:f>IF($H330="Sin envio","Sin envio",IF($I330="90 minutos",IF($F330&gt;$G330,"A",IF($G330&gt;$F330,"B","E")),"E"))</x:f>
        <x:v>Sin envio</x:v>
      </x:c>
      <x:c r="P330" t="str">
        <x:f>IF($M330="90 minutos",IF($J330&gt;$K330,"A",IF($K330&gt;$J330,"B","E")),"E")</x:f>
        <x:v>A</x:v>
      </x:c>
      <x:c r="Q330" t="str">
        <x:f>IF($H330="Sin envio","No",IF($H330=$L330,"Si","No"))</x:f>
        <x:v>No</x:v>
      </x:c>
      <x:c r="R330" t="str">
        <x:f>IF(AND($I330=$M330,NOT(AND($I330="Penales",$F330&lt;&gt;$G330))),"Si","No")</x:f>
        <x:v>No</x:v>
      </x:c>
      <x:c r="S330" t="n">
        <x:f>IF(OR($N330&lt;&gt;"Finalizado",$Q330&lt;&gt;"Si"),0,IF($O330=$P330,Reglas!$B$2,0))</x:f>
        <x:v>0</x:v>
      </x:c>
      <x:c r="T330" t="n">
        <x:f>IF(OR($N330&lt;&gt;"Finalizado",$Q330&lt;&gt;"Si"),0,Reglas!$B$3)</x:f>
        <x:v>0</x:v>
      </x:c>
      <x:c r="U330" t="n">
        <x:f>IF(OR($N330&lt;&gt;"Finalizado",$Q330&lt;&gt;"Si"),0,IF($I330=$M330,Reglas!$B$4,0))</x:f>
        <x:v>0</x:v>
      </x:c>
      <x:c r="V330" t="n">
        <x:f>IF(OR($N330&lt;&gt;"Finalizado",$Q330&lt;&gt;"Si",$R330&lt;&gt;"Si"),0,IF(AND($F330=$J330,$G330=$K330),Reglas!$B$5,0))</x:f>
        <x:v>0</x:v>
      </x:c>
      <x:c r="W330" t="n">
        <x:f>IF(OR($N330&lt;&gt;"Finalizado",$Q330&lt;&gt;"Si",$R330&lt;&gt;"Si"),0,IF($F330-$G330=$J330-$K330,Reglas!$B$6,0))</x:f>
        <x:v>0</x:v>
      </x:c>
      <x:c r="X330" t="n">
        <x:f>IF(OR($N330&lt;&gt;"Finalizado",$Q330&lt;&gt;"Si",$R330&lt;&gt;"Si"),0,IF($F330=$J330,Reglas!$B$7,0))</x:f>
        <x:v>0</x:v>
      </x:c>
      <x:c r="Y330" t="n">
        <x:f>IF(OR($N330&lt;&gt;"Finalizado",$Q330&lt;&gt;"Si",$R330&lt;&gt;"Si"),0,IF($G330=$K330,Reglas!$B$8,0))</x:f>
        <x:v>0</x:v>
      </x:c>
      <x:c r="Z330" t="n">
        <x:f>SUM($S330:$Y330)</x:f>
        <x:v>0</x:v>
      </x:c>
      <x:c r="AA330" t="str">
        <x:f>IF($N330&lt;&gt;"Finalizado","Resultado pendiente",IF($H330="Sin envio","Sin respuesta",IF($Q330&lt;&gt;"Si","No acerto clasificado","OK")))</x:f>
        <x:v>Sin respuesta</x:v>
      </x:c>
      <x:c r="AB330" t="str">
        <x:v>Google Forms final + ESPN</x:v>
      </x:c>
      <x:c r="AC330" t="n">
        <x:v>0</x:v>
      </x:c>
      <x:c r="AD330" t="n">
        <x:f>$Z330-$AC330</x:f>
        <x:v>0</x:v>
      </x:c>
    </x:row>
    <x:row r="331" ht="15" hidden="0" customHeight="1">
      <x:c r="A331" t="str">
        <x:v>Tercer puesto</x:v>
      </x:c>
      <x:c r="B331" t="str">
        <x:v>TP</x:v>
      </x:c>
      <x:c r="C331" t="str">
        <x:v>Óscar</x:v>
      </x:c>
      <x:c r="D331" t="str">
        <x:v>Inglaterra</x:v>
      </x:c>
      <x:c r="E331" t="str">
        <x:v>Francia</x:v>
      </x:c>
      <x:c r="F331" t="n">
        <x:v>1</x:v>
      </x:c>
      <x:c r="G331" t="n">
        <x:v>2</x:v>
      </x:c>
      <x:c r="H331" t="str">
        <x:v>Francia</x:v>
      </x:c>
      <x:c r="I331" t="str">
        <x:v>90 minutos</x:v>
      </x:c>
      <x:c r="J331" t="n">
        <x:v>6</x:v>
      </x:c>
      <x:c r="K331" t="n">
        <x:v>4</x:v>
      </x:c>
      <x:c r="L331" t="str">
        <x:v>Inglaterra</x:v>
      </x:c>
      <x:c r="M331" t="str">
        <x:v>90 minutos</x:v>
      </x:c>
      <x:c r="N331" t="str">
        <x:v>Finalizado</x:v>
      </x:c>
      <x:c r="O331" t="str">
        <x:f>IF($H331="Sin envio","Sin envio",IF($I331="90 minutos",IF($F331&gt;$G331,"A",IF($G331&gt;$F331,"B","E")),"E"))</x:f>
        <x:v>B</x:v>
      </x:c>
      <x:c r="P331" t="str">
        <x:f>IF($M331="90 minutos",IF($J331&gt;$K331,"A",IF($K331&gt;$J331,"B","E")),"E")</x:f>
        <x:v>A</x:v>
      </x:c>
      <x:c r="Q331" t="str">
        <x:f>IF($H331="Sin envio","No",IF($H331=$L331,"Si","No"))</x:f>
        <x:v>No</x:v>
      </x:c>
      <x:c r="R331" t="str">
        <x:f>IF(AND($I331=$M331,NOT(AND($I331="Penales",$F331&lt;&gt;$G331))),"Si","No")</x:f>
        <x:v>Si</x:v>
      </x:c>
      <x:c r="S331" t="n">
        <x:f>IF(OR($N331&lt;&gt;"Finalizado",$Q331&lt;&gt;"Si"),0,IF($O331=$P331,Reglas!$B$2,0))</x:f>
        <x:v>0</x:v>
      </x:c>
      <x:c r="T331" t="n">
        <x:f>IF(OR($N331&lt;&gt;"Finalizado",$Q331&lt;&gt;"Si"),0,Reglas!$B$3)</x:f>
        <x:v>0</x:v>
      </x:c>
      <x:c r="U331" t="n">
        <x:f>IF(OR($N331&lt;&gt;"Finalizado",$Q331&lt;&gt;"Si"),0,IF($I331=$M331,Reglas!$B$4,0))</x:f>
        <x:v>0</x:v>
      </x:c>
      <x:c r="V331" t="n">
        <x:f>IF(OR($N331&lt;&gt;"Finalizado",$Q331&lt;&gt;"Si",$R331&lt;&gt;"Si"),0,IF(AND($F331=$J331,$G331=$K331),Reglas!$B$5,0))</x:f>
        <x:v>0</x:v>
      </x:c>
      <x:c r="W331" t="n">
        <x:f>IF(OR($N331&lt;&gt;"Finalizado",$Q331&lt;&gt;"Si",$R331&lt;&gt;"Si"),0,IF($F331-$G331=$J331-$K331,Reglas!$B$6,0))</x:f>
        <x:v>0</x:v>
      </x:c>
      <x:c r="X331" t="n">
        <x:f>IF(OR($N331&lt;&gt;"Finalizado",$Q331&lt;&gt;"Si",$R331&lt;&gt;"Si"),0,IF($F331=$J331,Reglas!$B$7,0))</x:f>
        <x:v>0</x:v>
      </x:c>
      <x:c r="Y331" t="n">
        <x:f>IF(OR($N331&lt;&gt;"Finalizado",$Q331&lt;&gt;"Si",$R331&lt;&gt;"Si"),0,IF($G331=$K331,Reglas!$B$8,0))</x:f>
        <x:v>0</x:v>
      </x:c>
      <x:c r="Z331" t="n">
        <x:f>SUM($S331:$Y331)</x:f>
        <x:v>0</x:v>
      </x:c>
      <x:c r="AA331" t="str">
        <x:f>IF($N331&lt;&gt;"Finalizado","Resultado pendiente",IF($H331="Sin envio","Sin respuesta",IF($Q331&lt;&gt;"Si","No acerto clasificado","OK")))</x:f>
        <x:v>No acerto clasificado</x:v>
      </x:c>
      <x:c r="AB331" t="str">
        <x:v>Google Forms final + ESPN</x:v>
      </x:c>
      <x:c r="AC331" t="n">
        <x:v>0</x:v>
      </x:c>
      <x:c r="AD331" t="n">
        <x:f>$Z331-$AC331</x:f>
        <x:v>0</x:v>
      </x:c>
    </x:row>
    <x:row r="332" ht="15" hidden="0" customHeight="1">
      <x:c r="A332" t="str">
        <x:v>Final</x:v>
      </x:c>
      <x:c r="B332" t="str">
        <x:v>F</x:v>
      </x:c>
      <x:c r="C332" t="str">
        <x:v>Freddy</x:v>
      </x:c>
      <x:c r="D332" t="str">
        <x:v>Espana</x:v>
      </x:c>
      <x:c r="E332" t="str">
        <x:v>Argentina</x:v>
      </x:c>
      <x:c r="F332" t="n">
        <x:v>2</x:v>
      </x:c>
      <x:c r="G332" t="n">
        <x:v>3</x:v>
      </x:c>
      <x:c r="H332" t="str">
        <x:v>Argentina</x:v>
      </x:c>
      <x:c r="I332" t="str">
        <x:v>90 minutos</x:v>
      </x:c>
      <x:c r="J332" t="n">
        <x:v>1</x:v>
      </x:c>
      <x:c r="K332" t="n">
        <x:v>0</x:v>
      </x:c>
      <x:c r="L332" t="str">
        <x:v>Espana</x:v>
      </x:c>
      <x:c r="M332" t="str">
        <x:v>Suplementario</x:v>
      </x:c>
      <x:c r="N332" t="str">
        <x:v>Finalizado</x:v>
      </x:c>
      <x:c r="O332" t="str">
        <x:f>IF($H332="Sin envio","Sin envio",IF($I332="90 minutos",IF($F332&gt;$G332,"A",IF($G332&gt;$F332,"B","E")),"E"))</x:f>
        <x:v>B</x:v>
      </x:c>
      <x:c r="P332" t="str">
        <x:f>IF($M332="90 minutos",IF($J332&gt;$K332,"A",IF($K332&gt;$J332,"B","E")),"E")</x:f>
        <x:v>E</x:v>
      </x:c>
      <x:c r="Q332" t="str">
        <x:f>IF($H332="Sin envio","No",IF($H332=$L332,"Si","No"))</x:f>
        <x:v>No</x:v>
      </x:c>
      <x:c r="R332" t="str">
        <x:f>IF(AND($I332=$M332,NOT(AND($I332="Penales",$F332&lt;&gt;$G332))),"Si","No")</x:f>
        <x:v>No</x:v>
      </x:c>
      <x:c r="S332" t="n">
        <x:f>IF(OR($N332&lt;&gt;"Finalizado",$Q332&lt;&gt;"Si"),0,IF($O332=$P332,Reglas!$B$2,0))</x:f>
        <x:v>0</x:v>
      </x:c>
      <x:c r="T332" t="n">
        <x:f>IF(OR($N332&lt;&gt;"Finalizado",$Q332&lt;&gt;"Si"),0,Reglas!$B$3)</x:f>
        <x:v>0</x:v>
      </x:c>
      <x:c r="U332" t="n">
        <x:f>IF(OR($N332&lt;&gt;"Finalizado",$Q332&lt;&gt;"Si"),0,IF($I332=$M332,Reglas!$B$4,0))</x:f>
        <x:v>0</x:v>
      </x:c>
      <x:c r="V332" t="n">
        <x:f>IF(OR($N332&lt;&gt;"Finalizado",$Q332&lt;&gt;"Si",$R332&lt;&gt;"Si"),0,IF(AND($F332=$J332,$G332=$K332),Reglas!$B$5,0))</x:f>
        <x:v>0</x:v>
      </x:c>
      <x:c r="W332" t="n">
        <x:f>IF(OR($N332&lt;&gt;"Finalizado",$Q332&lt;&gt;"Si",$R332&lt;&gt;"Si"),0,IF($F332-$G332=$J332-$K332,Reglas!$B$6,0))</x:f>
        <x:v>0</x:v>
      </x:c>
      <x:c r="X332" t="n">
        <x:f>IF(OR($N332&lt;&gt;"Finalizado",$Q332&lt;&gt;"Si",$R332&lt;&gt;"Si"),0,IF($F332=$J332,Reglas!$B$7,0))</x:f>
        <x:v>0</x:v>
      </x:c>
      <x:c r="Y332" t="n">
        <x:f>IF(OR($N332&lt;&gt;"Finalizado",$Q332&lt;&gt;"Si",$R332&lt;&gt;"Si"),0,IF($G332=$K332,Reglas!$B$8,0))</x:f>
        <x:v>0</x:v>
      </x:c>
      <x:c r="Z332" t="n">
        <x:f>SUM($S332:$Y332)</x:f>
        <x:v>0</x:v>
      </x:c>
      <x:c r="AA332" t="str">
        <x:f>IF($N332&lt;&gt;"Finalizado","Resultado pendiente",IF($H332="Sin envio","Sin respuesta",IF($Q332&lt;&gt;"Si","No acerto clasificado","OK")))</x:f>
        <x:v>No acerto clasificado</x:v>
      </x:c>
      <x:c r="AB332" t="str">
        <x:v>Google Forms final + ESPN</x:v>
      </x:c>
      <x:c r="AC332" t="n">
        <x:v>0</x:v>
      </x:c>
      <x:c r="AD332" t="n">
        <x:f>$Z332-$AC332</x:f>
        <x:v>0</x:v>
      </x:c>
    </x:row>
    <x:row r="333" ht="15" hidden="0" customHeight="1">
      <x:c r="A333" t="str">
        <x:v>Final</x:v>
      </x:c>
      <x:c r="B333" t="str">
        <x:v>F</x:v>
      </x:c>
      <x:c r="C333" t="str">
        <x:v>Gabriela</x:v>
      </x:c>
      <x:c r="D333" t="str">
        <x:v>Espana</x:v>
      </x:c>
      <x:c r="E333" t="str">
        <x:v>Argentina</x:v>
      </x:c>
      <x:c r="F333" t="n">
        <x:v>3</x:v>
      </x:c>
      <x:c r="G333" t="n">
        <x:v>1</x:v>
      </x:c>
      <x:c r="H333" t="str">
        <x:v>Espana</x:v>
      </x:c>
      <x:c r="I333" t="str">
        <x:v>Suplementario</x:v>
      </x:c>
      <x:c r="J333" t="n">
        <x:v>1</x:v>
      </x:c>
      <x:c r="K333" t="n">
        <x:v>0</x:v>
      </x:c>
      <x:c r="L333" t="str">
        <x:v>Espana</x:v>
      </x:c>
      <x:c r="M333" t="str">
        <x:v>Suplementario</x:v>
      </x:c>
      <x:c r="N333" t="str">
        <x:v>Finalizado</x:v>
      </x:c>
      <x:c r="O333" t="str">
        <x:f>IF($H333="Sin envio","Sin envio",IF($I333="90 minutos",IF($F333&gt;$G333,"A",IF($G333&gt;$F333,"B","E")),"E"))</x:f>
        <x:v>E</x:v>
      </x:c>
      <x:c r="P333" t="str">
        <x:f>IF($M333="90 minutos",IF($J333&gt;$K333,"A",IF($K333&gt;$J333,"B","E")),"E")</x:f>
        <x:v>E</x:v>
      </x:c>
      <x:c r="Q333" t="str">
        <x:f>IF($H333="Sin envio","No",IF($H333=$L333,"Si","No"))</x:f>
        <x:v>Si</x:v>
      </x:c>
      <x:c r="R333" t="str">
        <x:f>IF(AND($I333=$M333,NOT(AND($I333="Penales",$F333&lt;&gt;$G333))),"Si","No")</x:f>
        <x:v>Si</x:v>
      </x:c>
      <x:c r="S333" t="n">
        <x:f>IF(OR($N333&lt;&gt;"Finalizado",$Q333&lt;&gt;"Si"),0,IF($O333=$P333,Reglas!$B$2,0))</x:f>
        <x:v>5</x:v>
      </x:c>
      <x:c r="T333" t="n">
        <x:f>IF(OR($N333&lt;&gt;"Finalizado",$Q333&lt;&gt;"Si"),0,Reglas!$B$3)</x:f>
        <x:v>3</x:v>
      </x:c>
      <x:c r="U333" t="n">
        <x:f>IF(OR($N333&lt;&gt;"Finalizado",$Q333&lt;&gt;"Si"),0,IF($I333=$M333,Reglas!$B$4,0))</x:f>
        <x:v>2</x:v>
      </x:c>
      <x:c r="V333" t="n">
        <x:f>IF(OR($N333&lt;&gt;"Finalizado",$Q333&lt;&gt;"Si",$R333&lt;&gt;"Si"),0,IF(AND($F333=$J333,$G333=$K333),Reglas!$B$5,0))</x:f>
        <x:v>0</x:v>
      </x:c>
      <x:c r="W333" t="n">
        <x:f>IF(OR($N333&lt;&gt;"Finalizado",$Q333&lt;&gt;"Si",$R333&lt;&gt;"Si"),0,IF($F333-$G333=$J333-$K333,Reglas!$B$6,0))</x:f>
        <x:v>0</x:v>
      </x:c>
      <x:c r="X333" t="n">
        <x:f>IF(OR($N333&lt;&gt;"Finalizado",$Q333&lt;&gt;"Si",$R333&lt;&gt;"Si"),0,IF($F333=$J333,Reglas!$B$7,0))</x:f>
        <x:v>0</x:v>
      </x:c>
      <x:c r="Y333" t="n">
        <x:f>IF(OR($N333&lt;&gt;"Finalizado",$Q333&lt;&gt;"Si",$R333&lt;&gt;"Si"),0,IF($G333=$K333,Reglas!$B$8,0))</x:f>
        <x:v>0</x:v>
      </x:c>
      <x:c r="Z333" t="n">
        <x:f>SUM($S333:$Y333)</x:f>
        <x:v>10</x:v>
      </x:c>
      <x:c r="AA333" t="str">
        <x:f>IF($N333&lt;&gt;"Finalizado","Resultado pendiente",IF($H333="Sin envio","Sin respuesta",IF($Q333&lt;&gt;"Si","No acerto clasificado","OK")))</x:f>
        <x:v>OK</x:v>
      </x:c>
      <x:c r="AB333" t="str">
        <x:v>Google Forms final + ESPN</x:v>
      </x:c>
      <x:c r="AC333" t="n">
        <x:v>10</x:v>
      </x:c>
      <x:c r="AD333" t="n">
        <x:f>$Z333-$AC333</x:f>
        <x:v>0</x:v>
      </x:c>
    </x:row>
    <x:row r="334" ht="15" hidden="0" customHeight="1">
      <x:c r="A334" t="str">
        <x:v>Final</x:v>
      </x:c>
      <x:c r="B334" t="str">
        <x:v>F</x:v>
      </x:c>
      <x:c r="C334" t="str">
        <x:v>Jean</x:v>
      </x:c>
      <x:c r="D334" t="str">
        <x:v>Espana</x:v>
      </x:c>
      <x:c r="E334" t="str">
        <x:v>Argentina</x:v>
      </x:c>
      <x:c r="F334" t="n">
        <x:v>1</x:v>
      </x:c>
      <x:c r="G334" t="n">
        <x:v>2</x:v>
      </x:c>
      <x:c r="H334" t="str">
        <x:v>Argentina</x:v>
      </x:c>
      <x:c r="I334" t="str">
        <x:v>90 minutos</x:v>
      </x:c>
      <x:c r="J334" t="n">
        <x:v>1</x:v>
      </x:c>
      <x:c r="K334" t="n">
        <x:v>0</x:v>
      </x:c>
      <x:c r="L334" t="str">
        <x:v>Espana</x:v>
      </x:c>
      <x:c r="M334" t="str">
        <x:v>Suplementario</x:v>
      </x:c>
      <x:c r="N334" t="str">
        <x:v>Finalizado</x:v>
      </x:c>
      <x:c r="O334" t="str">
        <x:f>IF($H334="Sin envio","Sin envio",IF($I334="90 minutos",IF($F334&gt;$G334,"A",IF($G334&gt;$F334,"B","E")),"E"))</x:f>
        <x:v>B</x:v>
      </x:c>
      <x:c r="P334" t="str">
        <x:f>IF($M334="90 minutos",IF($J334&gt;$K334,"A",IF($K334&gt;$J334,"B","E")),"E")</x:f>
        <x:v>E</x:v>
      </x:c>
      <x:c r="Q334" t="str">
        <x:f>IF($H334="Sin envio","No",IF($H334=$L334,"Si","No"))</x:f>
        <x:v>No</x:v>
      </x:c>
      <x:c r="R334" t="str">
        <x:f>IF(AND($I334=$M334,NOT(AND($I334="Penales",$F334&lt;&gt;$G334))),"Si","No")</x:f>
        <x:v>No</x:v>
      </x:c>
      <x:c r="S334" t="n">
        <x:f>IF(OR($N334&lt;&gt;"Finalizado",$Q334&lt;&gt;"Si"),0,IF($O334=$P334,Reglas!$B$2,0))</x:f>
        <x:v>0</x:v>
      </x:c>
      <x:c r="T334" t="n">
        <x:f>IF(OR($N334&lt;&gt;"Finalizado",$Q334&lt;&gt;"Si"),0,Reglas!$B$3)</x:f>
        <x:v>0</x:v>
      </x:c>
      <x:c r="U334" t="n">
        <x:f>IF(OR($N334&lt;&gt;"Finalizado",$Q334&lt;&gt;"Si"),0,IF($I334=$M334,Reglas!$B$4,0))</x:f>
        <x:v>0</x:v>
      </x:c>
      <x:c r="V334" t="n">
        <x:f>IF(OR($N334&lt;&gt;"Finalizado",$Q334&lt;&gt;"Si",$R334&lt;&gt;"Si"),0,IF(AND($F334=$J334,$G334=$K334),Reglas!$B$5,0))</x:f>
        <x:v>0</x:v>
      </x:c>
      <x:c r="W334" t="n">
        <x:f>IF(OR($N334&lt;&gt;"Finalizado",$Q334&lt;&gt;"Si",$R334&lt;&gt;"Si"),0,IF($F334-$G334=$J334-$K334,Reglas!$B$6,0))</x:f>
        <x:v>0</x:v>
      </x:c>
      <x:c r="X334" t="n">
        <x:f>IF(OR($N334&lt;&gt;"Finalizado",$Q334&lt;&gt;"Si",$R334&lt;&gt;"Si"),0,IF($F334=$J334,Reglas!$B$7,0))</x:f>
        <x:v>0</x:v>
      </x:c>
      <x:c r="Y334" t="n">
        <x:f>IF(OR($N334&lt;&gt;"Finalizado",$Q334&lt;&gt;"Si",$R334&lt;&gt;"Si"),0,IF($G334=$K334,Reglas!$B$8,0))</x:f>
        <x:v>0</x:v>
      </x:c>
      <x:c r="Z334" t="n">
        <x:f>SUM($S334:$Y334)</x:f>
        <x:v>0</x:v>
      </x:c>
      <x:c r="AA334" t="str">
        <x:f>IF($N334&lt;&gt;"Finalizado","Resultado pendiente",IF($H334="Sin envio","Sin respuesta",IF($Q334&lt;&gt;"Si","No acerto clasificado","OK")))</x:f>
        <x:v>No acerto clasificado</x:v>
      </x:c>
      <x:c r="AB334" t="str">
        <x:v>Google Forms final + ESPN</x:v>
      </x:c>
      <x:c r="AC334" t="n">
        <x:v>0</x:v>
      </x:c>
      <x:c r="AD334" t="n">
        <x:f>$Z334-$AC334</x:f>
        <x:v>0</x:v>
      </x:c>
    </x:row>
    <x:row r="335" ht="15" hidden="0" customHeight="1">
      <x:c r="A335" t="str">
        <x:v>Final</x:v>
      </x:c>
      <x:c r="B335" t="str">
        <x:v>F</x:v>
      </x:c>
      <x:c r="C335" t="str">
        <x:v>Juan</x:v>
      </x:c>
      <x:c r="D335" t="str">
        <x:v>Espana</x:v>
      </x:c>
      <x:c r="E335" t="str">
        <x:v>Argentina</x:v>
      </x:c>
      <x:c r="F335" t="n">
        <x:v>1</x:v>
      </x:c>
      <x:c r="G335" t="n">
        <x:v>2</x:v>
      </x:c>
      <x:c r="H335" t="str">
        <x:v>Argentina</x:v>
      </x:c>
      <x:c r="I335" t="str">
        <x:v>90 minutos</x:v>
      </x:c>
      <x:c r="J335" t="n">
        <x:v>1</x:v>
      </x:c>
      <x:c r="K335" t="n">
        <x:v>0</x:v>
      </x:c>
      <x:c r="L335" t="str">
        <x:v>Espana</x:v>
      </x:c>
      <x:c r="M335" t="str">
        <x:v>Suplementario</x:v>
      </x:c>
      <x:c r="N335" t="str">
        <x:v>Finalizado</x:v>
      </x:c>
      <x:c r="O335" t="str">
        <x:f>IF($H335="Sin envio","Sin envio",IF($I335="90 minutos",IF($F335&gt;$G335,"A",IF($G335&gt;$F335,"B","E")),"E"))</x:f>
        <x:v>B</x:v>
      </x:c>
      <x:c r="P335" t="str">
        <x:f>IF($M335="90 minutos",IF($J335&gt;$K335,"A",IF($K335&gt;$J335,"B","E")),"E")</x:f>
        <x:v>E</x:v>
      </x:c>
      <x:c r="Q335" t="str">
        <x:f>IF($H335="Sin envio","No",IF($H335=$L335,"Si","No"))</x:f>
        <x:v>No</x:v>
      </x:c>
      <x:c r="R335" t="str">
        <x:f>IF(AND($I335=$M335,NOT(AND($I335="Penales",$F335&lt;&gt;$G335))),"Si","No")</x:f>
        <x:v>No</x:v>
      </x:c>
      <x:c r="S335" t="n">
        <x:f>IF(OR($N335&lt;&gt;"Finalizado",$Q335&lt;&gt;"Si"),0,IF($O335=$P335,Reglas!$B$2,0))</x:f>
        <x:v>0</x:v>
      </x:c>
      <x:c r="T335" t="n">
        <x:f>IF(OR($N335&lt;&gt;"Finalizado",$Q335&lt;&gt;"Si"),0,Reglas!$B$3)</x:f>
        <x:v>0</x:v>
      </x:c>
      <x:c r="U335" t="n">
        <x:f>IF(OR($N335&lt;&gt;"Finalizado",$Q335&lt;&gt;"Si"),0,IF($I335=$M335,Reglas!$B$4,0))</x:f>
        <x:v>0</x:v>
      </x:c>
      <x:c r="V335" t="n">
        <x:f>IF(OR($N335&lt;&gt;"Finalizado",$Q335&lt;&gt;"Si",$R335&lt;&gt;"Si"),0,IF(AND($F335=$J335,$G335=$K335),Reglas!$B$5,0))</x:f>
        <x:v>0</x:v>
      </x:c>
      <x:c r="W335" t="n">
        <x:f>IF(OR($N335&lt;&gt;"Finalizado",$Q335&lt;&gt;"Si",$R335&lt;&gt;"Si"),0,IF($F335-$G335=$J335-$K335,Reglas!$B$6,0))</x:f>
        <x:v>0</x:v>
      </x:c>
      <x:c r="X335" t="n">
        <x:f>IF(OR($N335&lt;&gt;"Finalizado",$Q335&lt;&gt;"Si",$R335&lt;&gt;"Si"),0,IF($F335=$J335,Reglas!$B$7,0))</x:f>
        <x:v>0</x:v>
      </x:c>
      <x:c r="Y335" t="n">
        <x:f>IF(OR($N335&lt;&gt;"Finalizado",$Q335&lt;&gt;"Si",$R335&lt;&gt;"Si"),0,IF($G335=$K335,Reglas!$B$8,0))</x:f>
        <x:v>0</x:v>
      </x:c>
      <x:c r="Z335" t="n">
        <x:f>SUM($S335:$Y335)</x:f>
        <x:v>0</x:v>
      </x:c>
      <x:c r="AA335" t="str">
        <x:f>IF($N335&lt;&gt;"Finalizado","Resultado pendiente",IF($H335="Sin envio","Sin respuesta",IF($Q335&lt;&gt;"Si","No acerto clasificado","OK")))</x:f>
        <x:v>No acerto clasificado</x:v>
      </x:c>
      <x:c r="AB335" t="str">
        <x:v>Google Forms final + ESPN</x:v>
      </x:c>
      <x:c r="AC335" t="n">
        <x:v>0</x:v>
      </x:c>
      <x:c r="AD335" t="n">
        <x:f>$Z335-$AC335</x:f>
        <x:v>0</x:v>
      </x:c>
    </x:row>
    <x:row r="336" ht="15" hidden="0" customHeight="1">
      <x:c r="A336" t="str">
        <x:v>Final</x:v>
      </x:c>
      <x:c r="B336" t="str">
        <x:v>F</x:v>
      </x:c>
      <x:c r="C336" t="str">
        <x:v>Jesús</x:v>
      </x:c>
      <x:c r="D336" t="str">
        <x:v>Espana</x:v>
      </x:c>
      <x:c r="E336" t="str">
        <x:v>Argentina</x:v>
      </x:c>
      <x:c r="F336" t="n">
        <x:v>2</x:v>
      </x:c>
      <x:c r="G336" t="n">
        <x:v>1</x:v>
      </x:c>
      <x:c r="H336" t="str">
        <x:v>Espana</x:v>
      </x:c>
      <x:c r="I336" t="str">
        <x:v>90 minutos</x:v>
      </x:c>
      <x:c r="J336" t="n">
        <x:v>1</x:v>
      </x:c>
      <x:c r="K336" t="n">
        <x:v>0</x:v>
      </x:c>
      <x:c r="L336" t="str">
        <x:v>Espana</x:v>
      </x:c>
      <x:c r="M336" t="str">
        <x:v>Suplementario</x:v>
      </x:c>
      <x:c r="N336" t="str">
        <x:v>Finalizado</x:v>
      </x:c>
      <x:c r="O336" t="str">
        <x:f>IF($H336="Sin envio","Sin envio",IF($I336="90 minutos",IF($F336&gt;$G336,"A",IF($G336&gt;$F336,"B","E")),"E"))</x:f>
        <x:v>A</x:v>
      </x:c>
      <x:c r="P336" t="str">
        <x:f>IF($M336="90 minutos",IF($J336&gt;$K336,"A",IF($K336&gt;$J336,"B","E")),"E")</x:f>
        <x:v>E</x:v>
      </x:c>
      <x:c r="Q336" t="str">
        <x:f>IF($H336="Sin envio","No",IF($H336=$L336,"Si","No"))</x:f>
        <x:v>Si</x:v>
      </x:c>
      <x:c r="R336" t="str">
        <x:f>IF(AND($I336=$M336,NOT(AND($I336="Penales",$F336&lt;&gt;$G336))),"Si","No")</x:f>
        <x:v>No</x:v>
      </x:c>
      <x:c r="S336" t="n">
        <x:f>IF(OR($N336&lt;&gt;"Finalizado",$Q336&lt;&gt;"Si"),0,IF($O336=$P336,Reglas!$B$2,0))</x:f>
        <x:v>0</x:v>
      </x:c>
      <x:c r="T336" t="n">
        <x:f>IF(OR($N336&lt;&gt;"Finalizado",$Q336&lt;&gt;"Si"),0,Reglas!$B$3)</x:f>
        <x:v>3</x:v>
      </x:c>
      <x:c r="U336" t="n">
        <x:f>IF(OR($N336&lt;&gt;"Finalizado",$Q336&lt;&gt;"Si"),0,IF($I336=$M336,Reglas!$B$4,0))</x:f>
        <x:v>0</x:v>
      </x:c>
      <x:c r="V336" t="n">
        <x:f>IF(OR($N336&lt;&gt;"Finalizado",$Q336&lt;&gt;"Si",$R336&lt;&gt;"Si"),0,IF(AND($F336=$J336,$G336=$K336),Reglas!$B$5,0))</x:f>
        <x:v>0</x:v>
      </x:c>
      <x:c r="W336" t="n">
        <x:f>IF(OR($N336&lt;&gt;"Finalizado",$Q336&lt;&gt;"Si",$R336&lt;&gt;"Si"),0,IF($F336-$G336=$J336-$K336,Reglas!$B$6,0))</x:f>
        <x:v>0</x:v>
      </x:c>
      <x:c r="X336" t="n">
        <x:f>IF(OR($N336&lt;&gt;"Finalizado",$Q336&lt;&gt;"Si",$R336&lt;&gt;"Si"),0,IF($F336=$J336,Reglas!$B$7,0))</x:f>
        <x:v>0</x:v>
      </x:c>
      <x:c r="Y336" t="n">
        <x:f>IF(OR($N336&lt;&gt;"Finalizado",$Q336&lt;&gt;"Si",$R336&lt;&gt;"Si"),0,IF($G336=$K336,Reglas!$B$8,0))</x:f>
        <x:v>0</x:v>
      </x:c>
      <x:c r="Z336" t="n">
        <x:f>SUM($S336:$Y336)</x:f>
        <x:v>3</x:v>
      </x:c>
      <x:c r="AA336" t="str">
        <x:f>IF($N336&lt;&gt;"Finalizado","Resultado pendiente",IF($H336="Sin envio","Sin respuesta",IF($Q336&lt;&gt;"Si","No acerto clasificado","OK")))</x:f>
        <x:v>OK</x:v>
      </x:c>
      <x:c r="AB336" t="str">
        <x:v>Google Forms final + ESPN</x:v>
      </x:c>
      <x:c r="AC336" t="n">
        <x:v>3</x:v>
      </x:c>
      <x:c r="AD336" t="n">
        <x:f>$Z336-$AC336</x:f>
        <x:v>0</x:v>
      </x:c>
    </x:row>
    <x:row r="337" ht="15" hidden="0" customHeight="1">
      <x:c r="A337" t="str">
        <x:v>Final</x:v>
      </x:c>
      <x:c r="B337" t="str">
        <x:v>F</x:v>
      </x:c>
      <x:c r="C337" t="str">
        <x:v>Diego</x:v>
      </x:c>
      <x:c r="D337" t="str">
        <x:v>Espana</x:v>
      </x:c>
      <x:c r="E337" t="str">
        <x:v>Argentina</x:v>
      </x:c>
      <x:c r="F337" t="n">
        <x:v>1</x:v>
      </x:c>
      <x:c r="G337" t="n">
        <x:v>2</x:v>
      </x:c>
      <x:c r="H337" t="str">
        <x:v>Argentina</x:v>
      </x:c>
      <x:c r="I337" t="str">
        <x:v>90 minutos</x:v>
      </x:c>
      <x:c r="J337" t="n">
        <x:v>1</x:v>
      </x:c>
      <x:c r="K337" t="n">
        <x:v>0</x:v>
      </x:c>
      <x:c r="L337" t="str">
        <x:v>Espana</x:v>
      </x:c>
      <x:c r="M337" t="str">
        <x:v>Suplementario</x:v>
      </x:c>
      <x:c r="N337" t="str">
        <x:v>Finalizado</x:v>
      </x:c>
      <x:c r="O337" t="str">
        <x:f>IF($H337="Sin envio","Sin envio",IF($I337="90 minutos",IF($F337&gt;$G337,"A",IF($G337&gt;$F337,"B","E")),"E"))</x:f>
        <x:v>B</x:v>
      </x:c>
      <x:c r="P337" t="str">
        <x:f>IF($M337="90 minutos",IF($J337&gt;$K337,"A",IF($K337&gt;$J337,"B","E")),"E")</x:f>
        <x:v>E</x:v>
      </x:c>
      <x:c r="Q337" t="str">
        <x:f>IF($H337="Sin envio","No",IF($H337=$L337,"Si","No"))</x:f>
        <x:v>No</x:v>
      </x:c>
      <x:c r="R337" t="str">
        <x:f>IF(AND($I337=$M337,NOT(AND($I337="Penales",$F337&lt;&gt;$G337))),"Si","No")</x:f>
        <x:v>No</x:v>
      </x:c>
      <x:c r="S337" t="n">
        <x:f>IF(OR($N337&lt;&gt;"Finalizado",$Q337&lt;&gt;"Si"),0,IF($O337=$P337,Reglas!$B$2,0))</x:f>
        <x:v>0</x:v>
      </x:c>
      <x:c r="T337" t="n">
        <x:f>IF(OR($N337&lt;&gt;"Finalizado",$Q337&lt;&gt;"Si"),0,Reglas!$B$3)</x:f>
        <x:v>0</x:v>
      </x:c>
      <x:c r="U337" t="n">
        <x:f>IF(OR($N337&lt;&gt;"Finalizado",$Q337&lt;&gt;"Si"),0,IF($I337=$M337,Reglas!$B$4,0))</x:f>
        <x:v>0</x:v>
      </x:c>
      <x:c r="V337" t="n">
        <x:f>IF(OR($N337&lt;&gt;"Finalizado",$Q337&lt;&gt;"Si",$R337&lt;&gt;"Si"),0,IF(AND($F337=$J337,$G337=$K337),Reglas!$B$5,0))</x:f>
        <x:v>0</x:v>
      </x:c>
      <x:c r="W337" t="n">
        <x:f>IF(OR($N337&lt;&gt;"Finalizado",$Q337&lt;&gt;"Si",$R337&lt;&gt;"Si"),0,IF($F337-$G337=$J337-$K337,Reglas!$B$6,0))</x:f>
        <x:v>0</x:v>
      </x:c>
      <x:c r="X337" t="n">
        <x:f>IF(OR($N337&lt;&gt;"Finalizado",$Q337&lt;&gt;"Si",$R337&lt;&gt;"Si"),0,IF($F337=$J337,Reglas!$B$7,0))</x:f>
        <x:v>0</x:v>
      </x:c>
      <x:c r="Y337" t="n">
        <x:f>IF(OR($N337&lt;&gt;"Finalizado",$Q337&lt;&gt;"Si",$R337&lt;&gt;"Si"),0,IF($G337=$K337,Reglas!$B$8,0))</x:f>
        <x:v>0</x:v>
      </x:c>
      <x:c r="Z337" t="n">
        <x:f>SUM($S337:$Y337)</x:f>
        <x:v>0</x:v>
      </x:c>
      <x:c r="AA337" t="str">
        <x:f>IF($N337&lt;&gt;"Finalizado","Resultado pendiente",IF($H337="Sin envio","Sin respuesta",IF($Q337&lt;&gt;"Si","No acerto clasificado","OK")))</x:f>
        <x:v>No acerto clasificado</x:v>
      </x:c>
      <x:c r="AB337" t="str">
        <x:v>Google Forms final + ESPN</x:v>
      </x:c>
      <x:c r="AC337" t="n">
        <x:v>0</x:v>
      </x:c>
      <x:c r="AD337" t="n">
        <x:f>$Z337-$AC337</x:f>
        <x:v>0</x:v>
      </x:c>
    </x:row>
    <x:row r="338" ht="15" hidden="0" customHeight="1">
      <x:c r="A338" t="str">
        <x:v>Final</x:v>
      </x:c>
      <x:c r="B338" t="str">
        <x:v>F</x:v>
      </x:c>
      <x:c r="C338" t="str">
        <x:v>Aldo</x:v>
      </x:c>
      <x:c r="D338" t="str">
        <x:v>Espana</x:v>
      </x:c>
      <x:c r="E338" t="str">
        <x:v>Argentina</x:v>
      </x:c>
      <x:c r="F338" t="n">
        <x:v>2</x:v>
      </x:c>
      <x:c r="G338" t="n">
        <x:v>1</x:v>
      </x:c>
      <x:c r="H338" t="str">
        <x:v>Espana</x:v>
      </x:c>
      <x:c r="I338" t="str">
        <x:v>Suplementario</x:v>
      </x:c>
      <x:c r="J338" t="n">
        <x:v>1</x:v>
      </x:c>
      <x:c r="K338" t="n">
        <x:v>0</x:v>
      </x:c>
      <x:c r="L338" t="str">
        <x:v>Espana</x:v>
      </x:c>
      <x:c r="M338" t="str">
        <x:v>Suplementario</x:v>
      </x:c>
      <x:c r="N338" t="str">
        <x:v>Finalizado</x:v>
      </x:c>
      <x:c r="O338" t="str">
        <x:f>IF($H338="Sin envio","Sin envio",IF($I338="90 minutos",IF($F338&gt;$G338,"A",IF($G338&gt;$F338,"B","E")),"E"))</x:f>
        <x:v>E</x:v>
      </x:c>
      <x:c r="P338" t="str">
        <x:f>IF($M338="90 minutos",IF($J338&gt;$K338,"A",IF($K338&gt;$J338,"B","E")),"E")</x:f>
        <x:v>E</x:v>
      </x:c>
      <x:c r="Q338" t="str">
        <x:f>IF($H338="Sin envio","No",IF($H338=$L338,"Si","No"))</x:f>
        <x:v>Si</x:v>
      </x:c>
      <x:c r="R338" t="str">
        <x:f>IF(AND($I338=$M338,NOT(AND($I338="Penales",$F338&lt;&gt;$G338))),"Si","No")</x:f>
        <x:v>Si</x:v>
      </x:c>
      <x:c r="S338" t="n">
        <x:f>IF(OR($N338&lt;&gt;"Finalizado",$Q338&lt;&gt;"Si"),0,IF($O338=$P338,Reglas!$B$2,0))</x:f>
        <x:v>5</x:v>
      </x:c>
      <x:c r="T338" t="n">
        <x:f>IF(OR($N338&lt;&gt;"Finalizado",$Q338&lt;&gt;"Si"),0,Reglas!$B$3)</x:f>
        <x:v>3</x:v>
      </x:c>
      <x:c r="U338" t="n">
        <x:f>IF(OR($N338&lt;&gt;"Finalizado",$Q338&lt;&gt;"Si"),0,IF($I338=$M338,Reglas!$B$4,0))</x:f>
        <x:v>2</x:v>
      </x:c>
      <x:c r="V338" t="n">
        <x:f>IF(OR($N338&lt;&gt;"Finalizado",$Q338&lt;&gt;"Si",$R338&lt;&gt;"Si"),0,IF(AND($F338=$J338,$G338=$K338),Reglas!$B$5,0))</x:f>
        <x:v>0</x:v>
      </x:c>
      <x:c r="W338" t="n">
        <x:f>IF(OR($N338&lt;&gt;"Finalizado",$Q338&lt;&gt;"Si",$R338&lt;&gt;"Si"),0,IF($F338-$G338=$J338-$K338,Reglas!$B$6,0))</x:f>
        <x:v>2</x:v>
      </x:c>
      <x:c r="X338" t="n">
        <x:f>IF(OR($N338&lt;&gt;"Finalizado",$Q338&lt;&gt;"Si",$R338&lt;&gt;"Si"),0,IF($F338=$J338,Reglas!$B$7,0))</x:f>
        <x:v>0</x:v>
      </x:c>
      <x:c r="Y338" t="n">
        <x:f>IF(OR($N338&lt;&gt;"Finalizado",$Q338&lt;&gt;"Si",$R338&lt;&gt;"Si"),0,IF($G338=$K338,Reglas!$B$8,0))</x:f>
        <x:v>0</x:v>
      </x:c>
      <x:c r="Z338" t="n">
        <x:f>SUM($S338:$Y338)</x:f>
        <x:v>12</x:v>
      </x:c>
      <x:c r="AA338" t="str">
        <x:f>IF($N338&lt;&gt;"Finalizado","Resultado pendiente",IF($H338="Sin envio","Sin respuesta",IF($Q338&lt;&gt;"Si","No acerto clasificado","OK")))</x:f>
        <x:v>OK</x:v>
      </x:c>
      <x:c r="AB338" t="str">
        <x:v>Google Forms final + ESPN</x:v>
      </x:c>
      <x:c r="AC338" t="n">
        <x:v>12</x:v>
      </x:c>
      <x:c r="AD338" t="n">
        <x:f>$Z338-$AC338</x:f>
        <x:v>0</x:v>
      </x:c>
    </x:row>
    <x:row r="339" ht="15" hidden="0" customHeight="1">
      <x:c r="A339" t="str">
        <x:v>Final</x:v>
      </x:c>
      <x:c r="B339" t="str">
        <x:v>F</x:v>
      </x:c>
      <x:c r="C339" t="str">
        <x:v>Javier</x:v>
      </x:c>
      <x:c r="D339" t="str">
        <x:v>Espana</x:v>
      </x:c>
      <x:c r="E339" t="str">
        <x:v>Argentina</x:v>
      </x:c>
      <x:c r="F339"/>
      <x:c r="G339"/>
      <x:c r="H339" t="str">
        <x:v>Sin envio</x:v>
      </x:c>
      <x:c r="I339" t="str">
        <x:v>Sin envio</x:v>
      </x:c>
      <x:c r="J339" t="n">
        <x:v>1</x:v>
      </x:c>
      <x:c r="K339" t="n">
        <x:v>0</x:v>
      </x:c>
      <x:c r="L339" t="str">
        <x:v>Espana</x:v>
      </x:c>
      <x:c r="M339" t="str">
        <x:v>Suplementario</x:v>
      </x:c>
      <x:c r="N339" t="str">
        <x:v>Finalizado</x:v>
      </x:c>
      <x:c r="O339" t="str">
        <x:f>IF($H339="Sin envio","Sin envio",IF($I339="90 minutos",IF($F339&gt;$G339,"A",IF($G339&gt;$F339,"B","E")),"E"))</x:f>
        <x:v>Sin envio</x:v>
      </x:c>
      <x:c r="P339" t="str">
        <x:f>IF($M339="90 minutos",IF($J339&gt;$K339,"A",IF($K339&gt;$J339,"B","E")),"E")</x:f>
        <x:v>E</x:v>
      </x:c>
      <x:c r="Q339" t="str">
        <x:f>IF($H339="Sin envio","No",IF($H339=$L339,"Si","No"))</x:f>
        <x:v>No</x:v>
      </x:c>
      <x:c r="R339" t="str">
        <x:f>IF(AND($I339=$M339,NOT(AND($I339="Penales",$F339&lt;&gt;$G339))),"Si","No")</x:f>
        <x:v>No</x:v>
      </x:c>
      <x:c r="S339" t="n">
        <x:f>IF(OR($N339&lt;&gt;"Finalizado",$Q339&lt;&gt;"Si"),0,IF($O339=$P339,Reglas!$B$2,0))</x:f>
        <x:v>0</x:v>
      </x:c>
      <x:c r="T339" t="n">
        <x:f>IF(OR($N339&lt;&gt;"Finalizado",$Q339&lt;&gt;"Si"),0,Reglas!$B$3)</x:f>
        <x:v>0</x:v>
      </x:c>
      <x:c r="U339" t="n">
        <x:f>IF(OR($N339&lt;&gt;"Finalizado",$Q339&lt;&gt;"Si"),0,IF($I339=$M339,Reglas!$B$4,0))</x:f>
        <x:v>0</x:v>
      </x:c>
      <x:c r="V339" t="n">
        <x:f>IF(OR($N339&lt;&gt;"Finalizado",$Q339&lt;&gt;"Si",$R339&lt;&gt;"Si"),0,IF(AND($F339=$J339,$G339=$K339),Reglas!$B$5,0))</x:f>
        <x:v>0</x:v>
      </x:c>
      <x:c r="W339" t="n">
        <x:f>IF(OR($N339&lt;&gt;"Finalizado",$Q339&lt;&gt;"Si",$R339&lt;&gt;"Si"),0,IF($F339-$G339=$J339-$K339,Reglas!$B$6,0))</x:f>
        <x:v>0</x:v>
      </x:c>
      <x:c r="X339" t="n">
        <x:f>IF(OR($N339&lt;&gt;"Finalizado",$Q339&lt;&gt;"Si",$R339&lt;&gt;"Si"),0,IF($F339=$J339,Reglas!$B$7,0))</x:f>
        <x:v>0</x:v>
      </x:c>
      <x:c r="Y339" t="n">
        <x:f>IF(OR($N339&lt;&gt;"Finalizado",$Q339&lt;&gt;"Si",$R339&lt;&gt;"Si"),0,IF($G339=$K339,Reglas!$B$8,0))</x:f>
        <x:v>0</x:v>
      </x:c>
      <x:c r="Z339" t="n">
        <x:f>SUM($S339:$Y339)</x:f>
        <x:v>0</x:v>
      </x:c>
      <x:c r="AA339" t="str">
        <x:f>IF($N339&lt;&gt;"Finalizado","Resultado pendiente",IF($H339="Sin envio","Sin respuesta",IF($Q339&lt;&gt;"Si","No acerto clasificado","OK")))</x:f>
        <x:v>Sin respuesta</x:v>
      </x:c>
      <x:c r="AB339" t="str">
        <x:v>Google Forms final + ESPN</x:v>
      </x:c>
      <x:c r="AC339" t="n">
        <x:v>0</x:v>
      </x:c>
      <x:c r="AD339" t="n">
        <x:f>$Z339-$AC339</x:f>
        <x:v>0</x:v>
      </x:c>
    </x:row>
    <x:row r="340" ht="15" hidden="0" customHeight="1">
      <x:c r="A340" t="str">
        <x:v>Final</x:v>
      </x:c>
      <x:c r="B340" t="str">
        <x:v>F</x:v>
      </x:c>
      <x:c r="C340" t="str">
        <x:v>Gino</x:v>
      </x:c>
      <x:c r="D340" t="str">
        <x:v>Espana</x:v>
      </x:c>
      <x:c r="E340" t="str">
        <x:v>Argentina</x:v>
      </x:c>
      <x:c r="F340" t="n">
        <x:v>1</x:v>
      </x:c>
      <x:c r="G340" t="n">
        <x:v>2</x:v>
      </x:c>
      <x:c r="H340" t="str">
        <x:v>Argentina</x:v>
      </x:c>
      <x:c r="I340" t="str">
        <x:v>90 minutos</x:v>
      </x:c>
      <x:c r="J340" t="n">
        <x:v>1</x:v>
      </x:c>
      <x:c r="K340" t="n">
        <x:v>0</x:v>
      </x:c>
      <x:c r="L340" t="str">
        <x:v>Espana</x:v>
      </x:c>
      <x:c r="M340" t="str">
        <x:v>Suplementario</x:v>
      </x:c>
      <x:c r="N340" t="str">
        <x:v>Finalizado</x:v>
      </x:c>
      <x:c r="O340" t="str">
        <x:f>IF($H340="Sin envio","Sin envio",IF($I340="90 minutos",IF($F340&gt;$G340,"A",IF($G340&gt;$F340,"B","E")),"E"))</x:f>
        <x:v>B</x:v>
      </x:c>
      <x:c r="P340" t="str">
        <x:f>IF($M340="90 minutos",IF($J340&gt;$K340,"A",IF($K340&gt;$J340,"B","E")),"E")</x:f>
        <x:v>E</x:v>
      </x:c>
      <x:c r="Q340" t="str">
        <x:f>IF($H340="Sin envio","No",IF($H340=$L340,"Si","No"))</x:f>
        <x:v>No</x:v>
      </x:c>
      <x:c r="R340" t="str">
        <x:f>IF(AND($I340=$M340,NOT(AND($I340="Penales",$F340&lt;&gt;$G340))),"Si","No")</x:f>
        <x:v>No</x:v>
      </x:c>
      <x:c r="S340" t="n">
        <x:f>IF(OR($N340&lt;&gt;"Finalizado",$Q340&lt;&gt;"Si"),0,IF($O340=$P340,Reglas!$B$2,0))</x:f>
        <x:v>0</x:v>
      </x:c>
      <x:c r="T340" t="n">
        <x:f>IF(OR($N340&lt;&gt;"Finalizado",$Q340&lt;&gt;"Si"),0,Reglas!$B$3)</x:f>
        <x:v>0</x:v>
      </x:c>
      <x:c r="U340" t="n">
        <x:f>IF(OR($N340&lt;&gt;"Finalizado",$Q340&lt;&gt;"Si"),0,IF($I340=$M340,Reglas!$B$4,0))</x:f>
        <x:v>0</x:v>
      </x:c>
      <x:c r="V340" t="n">
        <x:f>IF(OR($N340&lt;&gt;"Finalizado",$Q340&lt;&gt;"Si",$R340&lt;&gt;"Si"),0,IF(AND($F340=$J340,$G340=$K340),Reglas!$B$5,0))</x:f>
        <x:v>0</x:v>
      </x:c>
      <x:c r="W340" t="n">
        <x:f>IF(OR($N340&lt;&gt;"Finalizado",$Q340&lt;&gt;"Si",$R340&lt;&gt;"Si"),0,IF($F340-$G340=$J340-$K340,Reglas!$B$6,0))</x:f>
        <x:v>0</x:v>
      </x:c>
      <x:c r="X340" t="n">
        <x:f>IF(OR($N340&lt;&gt;"Finalizado",$Q340&lt;&gt;"Si",$R340&lt;&gt;"Si"),0,IF($F340=$J340,Reglas!$B$7,0))</x:f>
        <x:v>0</x:v>
      </x:c>
      <x:c r="Y340" t="n">
        <x:f>IF(OR($N340&lt;&gt;"Finalizado",$Q340&lt;&gt;"Si",$R340&lt;&gt;"Si"),0,IF($G340=$K340,Reglas!$B$8,0))</x:f>
        <x:v>0</x:v>
      </x:c>
      <x:c r="Z340" t="n">
        <x:f>SUM($S340:$Y340)</x:f>
        <x:v>0</x:v>
      </x:c>
      <x:c r="AA340" t="str">
        <x:f>IF($N340&lt;&gt;"Finalizado","Resultado pendiente",IF($H340="Sin envio","Sin respuesta",IF($Q340&lt;&gt;"Si","No acerto clasificado","OK")))</x:f>
        <x:v>No acerto clasificado</x:v>
      </x:c>
      <x:c r="AB340" t="str">
        <x:v>Google Forms final + ESPN</x:v>
      </x:c>
      <x:c r="AC340" t="n">
        <x:v>0</x:v>
      </x:c>
      <x:c r="AD340" t="n">
        <x:f>$Z340-$AC340</x:f>
        <x:v>0</x:v>
      </x:c>
    </x:row>
    <x:row r="341" ht="15" hidden="0" customHeight="1">
      <x:c r="A341" t="str">
        <x:v>Final</x:v>
      </x:c>
      <x:c r="B341" t="str">
        <x:v>F</x:v>
      </x:c>
      <x:c r="C341" t="str">
        <x:v>Manuel</x:v>
      </x:c>
      <x:c r="D341" t="str">
        <x:v>Espana</x:v>
      </x:c>
      <x:c r="E341" t="str">
        <x:v>Argentina</x:v>
      </x:c>
      <x:c r="F341"/>
      <x:c r="G341"/>
      <x:c r="H341" t="str">
        <x:v>Sin envio</x:v>
      </x:c>
      <x:c r="I341" t="str">
        <x:v>Sin envio</x:v>
      </x:c>
      <x:c r="J341" t="n">
        <x:v>1</x:v>
      </x:c>
      <x:c r="K341" t="n">
        <x:v>0</x:v>
      </x:c>
      <x:c r="L341" t="str">
        <x:v>Espana</x:v>
      </x:c>
      <x:c r="M341" t="str">
        <x:v>Suplementario</x:v>
      </x:c>
      <x:c r="N341" t="str">
        <x:v>Finalizado</x:v>
      </x:c>
      <x:c r="O341" t="str">
        <x:f>IF($H341="Sin envio","Sin envio",IF($I341="90 minutos",IF($F341&gt;$G341,"A",IF($G341&gt;$F341,"B","E")),"E"))</x:f>
        <x:v>Sin envio</x:v>
      </x:c>
      <x:c r="P341" t="str">
        <x:f>IF($M341="90 minutos",IF($J341&gt;$K341,"A",IF($K341&gt;$J341,"B","E")),"E")</x:f>
        <x:v>E</x:v>
      </x:c>
      <x:c r="Q341" t="str">
        <x:f>IF($H341="Sin envio","No",IF($H341=$L341,"Si","No"))</x:f>
        <x:v>No</x:v>
      </x:c>
      <x:c r="R341" t="str">
        <x:f>IF(AND($I341=$M341,NOT(AND($I341="Penales",$F341&lt;&gt;$G341))),"Si","No")</x:f>
        <x:v>No</x:v>
      </x:c>
      <x:c r="S341" t="n">
        <x:f>IF(OR($N341&lt;&gt;"Finalizado",$Q341&lt;&gt;"Si"),0,IF($O341=$P341,Reglas!$B$2,0))</x:f>
        <x:v>0</x:v>
      </x:c>
      <x:c r="T341" t="n">
        <x:f>IF(OR($N341&lt;&gt;"Finalizado",$Q341&lt;&gt;"Si"),0,Reglas!$B$3)</x:f>
        <x:v>0</x:v>
      </x:c>
      <x:c r="U341" t="n">
        <x:f>IF(OR($N341&lt;&gt;"Finalizado",$Q341&lt;&gt;"Si"),0,IF($I341=$M341,Reglas!$B$4,0))</x:f>
        <x:v>0</x:v>
      </x:c>
      <x:c r="V341" t="n">
        <x:f>IF(OR($N341&lt;&gt;"Finalizado",$Q341&lt;&gt;"Si",$R341&lt;&gt;"Si"),0,IF(AND($F341=$J341,$G341=$K341),Reglas!$B$5,0))</x:f>
        <x:v>0</x:v>
      </x:c>
      <x:c r="W341" t="n">
        <x:f>IF(OR($N341&lt;&gt;"Finalizado",$Q341&lt;&gt;"Si",$R341&lt;&gt;"Si"),0,IF($F341-$G341=$J341-$K341,Reglas!$B$6,0))</x:f>
        <x:v>0</x:v>
      </x:c>
      <x:c r="X341" t="n">
        <x:f>IF(OR($N341&lt;&gt;"Finalizado",$Q341&lt;&gt;"Si",$R341&lt;&gt;"Si"),0,IF($F341=$J341,Reglas!$B$7,0))</x:f>
        <x:v>0</x:v>
      </x:c>
      <x:c r="Y341" t="n">
        <x:f>IF(OR($N341&lt;&gt;"Finalizado",$Q341&lt;&gt;"Si",$R341&lt;&gt;"Si"),0,IF($G341=$K341,Reglas!$B$8,0))</x:f>
        <x:v>0</x:v>
      </x:c>
      <x:c r="Z341" t="n">
        <x:f>SUM($S341:$Y341)</x:f>
        <x:v>0</x:v>
      </x:c>
      <x:c r="AA341" t="str">
        <x:f>IF($N341&lt;&gt;"Finalizado","Resultado pendiente",IF($H341="Sin envio","Sin respuesta",IF($Q341&lt;&gt;"Si","No acerto clasificado","OK")))</x:f>
        <x:v>Sin respuesta</x:v>
      </x:c>
      <x:c r="AB341" t="str">
        <x:v>Google Forms final + ESPN</x:v>
      </x:c>
      <x:c r="AC341" t="n">
        <x:v>0</x:v>
      </x:c>
      <x:c r="AD341" t="n">
        <x:f>$Z341-$AC341</x:f>
        <x:v>0</x:v>
      </x:c>
    </x:row>
    <x:row r="342" ht="15" hidden="0" customHeight="1">
      <x:c r="A342" t="str">
        <x:v>Final</x:v>
      </x:c>
      <x:c r="B342" t="str">
        <x:v>F</x:v>
      </x:c>
      <x:c r="C342" t="str">
        <x:v>Jorge</x:v>
      </x:c>
      <x:c r="D342" t="str">
        <x:v>Espana</x:v>
      </x:c>
      <x:c r="E342" t="str">
        <x:v>Argentina</x:v>
      </x:c>
      <x:c r="F342" t="n">
        <x:v>3</x:v>
      </x:c>
      <x:c r="G342" t="n">
        <x:v>1</x:v>
      </x:c>
      <x:c r="H342" t="str">
        <x:v>Espana</x:v>
      </x:c>
      <x:c r="I342" t="str">
        <x:v>90 minutos</x:v>
      </x:c>
      <x:c r="J342" t="n">
        <x:v>1</x:v>
      </x:c>
      <x:c r="K342" t="n">
        <x:v>0</x:v>
      </x:c>
      <x:c r="L342" t="str">
        <x:v>Espana</x:v>
      </x:c>
      <x:c r="M342" t="str">
        <x:v>Suplementario</x:v>
      </x:c>
      <x:c r="N342" t="str">
        <x:v>Finalizado</x:v>
      </x:c>
      <x:c r="O342" t="str">
        <x:f>IF($H342="Sin envio","Sin envio",IF($I342="90 minutos",IF($F342&gt;$G342,"A",IF($G342&gt;$F342,"B","E")),"E"))</x:f>
        <x:v>A</x:v>
      </x:c>
      <x:c r="P342" t="str">
        <x:f>IF($M342="90 minutos",IF($J342&gt;$K342,"A",IF($K342&gt;$J342,"B","E")),"E")</x:f>
        <x:v>E</x:v>
      </x:c>
      <x:c r="Q342" t="str">
        <x:f>IF($H342="Sin envio","No",IF($H342=$L342,"Si","No"))</x:f>
        <x:v>Si</x:v>
      </x:c>
      <x:c r="R342" t="str">
        <x:f>IF(AND($I342=$M342,NOT(AND($I342="Penales",$F342&lt;&gt;$G342))),"Si","No")</x:f>
        <x:v>No</x:v>
      </x:c>
      <x:c r="S342" t="n">
        <x:f>IF(OR($N342&lt;&gt;"Finalizado",$Q342&lt;&gt;"Si"),0,IF($O342=$P342,Reglas!$B$2,0))</x:f>
        <x:v>0</x:v>
      </x:c>
      <x:c r="T342" t="n">
        <x:f>IF(OR($N342&lt;&gt;"Finalizado",$Q342&lt;&gt;"Si"),0,Reglas!$B$3)</x:f>
        <x:v>3</x:v>
      </x:c>
      <x:c r="U342" t="n">
        <x:f>IF(OR($N342&lt;&gt;"Finalizado",$Q342&lt;&gt;"Si"),0,IF($I342=$M342,Reglas!$B$4,0))</x:f>
        <x:v>0</x:v>
      </x:c>
      <x:c r="V342" t="n">
        <x:f>IF(OR($N342&lt;&gt;"Finalizado",$Q342&lt;&gt;"Si",$R342&lt;&gt;"Si"),0,IF(AND($F342=$J342,$G342=$K342),Reglas!$B$5,0))</x:f>
        <x:v>0</x:v>
      </x:c>
      <x:c r="W342" t="n">
        <x:f>IF(OR($N342&lt;&gt;"Finalizado",$Q342&lt;&gt;"Si",$R342&lt;&gt;"Si"),0,IF($F342-$G342=$J342-$K342,Reglas!$B$6,0))</x:f>
        <x:v>0</x:v>
      </x:c>
      <x:c r="X342" t="n">
        <x:f>IF(OR($N342&lt;&gt;"Finalizado",$Q342&lt;&gt;"Si",$R342&lt;&gt;"Si"),0,IF($F342=$J342,Reglas!$B$7,0))</x:f>
        <x:v>0</x:v>
      </x:c>
      <x:c r="Y342" t="n">
        <x:f>IF(OR($N342&lt;&gt;"Finalizado",$Q342&lt;&gt;"Si",$R342&lt;&gt;"Si"),0,IF($G342=$K342,Reglas!$B$8,0))</x:f>
        <x:v>0</x:v>
      </x:c>
      <x:c r="Z342" t="n">
        <x:f>SUM($S342:$Y342)</x:f>
        <x:v>3</x:v>
      </x:c>
      <x:c r="AA342" t="str">
        <x:f>IF($N342&lt;&gt;"Finalizado","Resultado pendiente",IF($H342="Sin envio","Sin respuesta",IF($Q342&lt;&gt;"Si","No acerto clasificado","OK")))</x:f>
        <x:v>OK</x:v>
      </x:c>
      <x:c r="AB342" t="str">
        <x:v>Google Forms final + ESPN</x:v>
      </x:c>
      <x:c r="AC342" t="n">
        <x:v>3</x:v>
      </x:c>
      <x:c r="AD342" t="n">
        <x:f>$Z342-$AC342</x:f>
        <x:v>0</x:v>
      </x:c>
    </x:row>
    <x:row r="343" ht="15" hidden="0" customHeight="1">
      <x:c r="A343" t="str">
        <x:v>Final</x:v>
      </x:c>
      <x:c r="B343" t="str">
        <x:v>F</x:v>
      </x:c>
      <x:c r="C343" t="str">
        <x:v>Daniel</x:v>
      </x:c>
      <x:c r="D343" t="str">
        <x:v>Espana</x:v>
      </x:c>
      <x:c r="E343" t="str">
        <x:v>Argentina</x:v>
      </x:c>
      <x:c r="F343"/>
      <x:c r="G343"/>
      <x:c r="H343" t="str">
        <x:v>Sin envio</x:v>
      </x:c>
      <x:c r="I343" t="str">
        <x:v>Sin envio</x:v>
      </x:c>
      <x:c r="J343" t="n">
        <x:v>1</x:v>
      </x:c>
      <x:c r="K343" t="n">
        <x:v>0</x:v>
      </x:c>
      <x:c r="L343" t="str">
        <x:v>Espana</x:v>
      </x:c>
      <x:c r="M343" t="str">
        <x:v>Suplementario</x:v>
      </x:c>
      <x:c r="N343" t="str">
        <x:v>Finalizado</x:v>
      </x:c>
      <x:c r="O343" t="str">
        <x:f>IF($H343="Sin envio","Sin envio",IF($I343="90 minutos",IF($F343&gt;$G343,"A",IF($G343&gt;$F343,"B","E")),"E"))</x:f>
        <x:v>Sin envio</x:v>
      </x:c>
      <x:c r="P343" t="str">
        <x:f>IF($M343="90 minutos",IF($J343&gt;$K343,"A",IF($K343&gt;$J343,"B","E")),"E")</x:f>
        <x:v>E</x:v>
      </x:c>
      <x:c r="Q343" t="str">
        <x:f>IF($H343="Sin envio","No",IF($H343=$L343,"Si","No"))</x:f>
        <x:v>No</x:v>
      </x:c>
      <x:c r="R343" t="str">
        <x:f>IF(AND($I343=$M343,NOT(AND($I343="Penales",$F343&lt;&gt;$G343))),"Si","No")</x:f>
        <x:v>No</x:v>
      </x:c>
      <x:c r="S343" t="n">
        <x:f>IF(OR($N343&lt;&gt;"Finalizado",$Q343&lt;&gt;"Si"),0,IF($O343=$P343,Reglas!$B$2,0))</x:f>
        <x:v>0</x:v>
      </x:c>
      <x:c r="T343" t="n">
        <x:f>IF(OR($N343&lt;&gt;"Finalizado",$Q343&lt;&gt;"Si"),0,Reglas!$B$3)</x:f>
        <x:v>0</x:v>
      </x:c>
      <x:c r="U343" t="n">
        <x:f>IF(OR($N343&lt;&gt;"Finalizado",$Q343&lt;&gt;"Si"),0,IF($I343=$M343,Reglas!$B$4,0))</x:f>
        <x:v>0</x:v>
      </x:c>
      <x:c r="V343" t="n">
        <x:f>IF(OR($N343&lt;&gt;"Finalizado",$Q343&lt;&gt;"Si",$R343&lt;&gt;"Si"),0,IF(AND($F343=$J343,$G343=$K343),Reglas!$B$5,0))</x:f>
        <x:v>0</x:v>
      </x:c>
      <x:c r="W343" t="n">
        <x:f>IF(OR($N343&lt;&gt;"Finalizado",$Q343&lt;&gt;"Si",$R343&lt;&gt;"Si"),0,IF($F343-$G343=$J343-$K343,Reglas!$B$6,0))</x:f>
        <x:v>0</x:v>
      </x:c>
      <x:c r="X343" t="n">
        <x:f>IF(OR($N343&lt;&gt;"Finalizado",$Q343&lt;&gt;"Si",$R343&lt;&gt;"Si"),0,IF($F343=$J343,Reglas!$B$7,0))</x:f>
        <x:v>0</x:v>
      </x:c>
      <x:c r="Y343" t="n">
        <x:f>IF(OR($N343&lt;&gt;"Finalizado",$Q343&lt;&gt;"Si",$R343&lt;&gt;"Si"),0,IF($G343=$K343,Reglas!$B$8,0))</x:f>
        <x:v>0</x:v>
      </x:c>
      <x:c r="Z343" t="n">
        <x:f>SUM($S343:$Y343)</x:f>
        <x:v>0</x:v>
      </x:c>
      <x:c r="AA343" t="str">
        <x:f>IF($N343&lt;&gt;"Finalizado","Resultado pendiente",IF($H343="Sin envio","Sin respuesta",IF($Q343&lt;&gt;"Si","No acerto clasificado","OK")))</x:f>
        <x:v>Sin respuesta</x:v>
      </x:c>
      <x:c r="AB343" t="str">
        <x:v>Google Forms final + ESPN</x:v>
      </x:c>
      <x:c r="AC343" t="n">
        <x:v>0</x:v>
      </x:c>
      <x:c r="AD343" t="n">
        <x:f>$Z343-$AC343</x:f>
        <x:v>0</x:v>
      </x:c>
    </x:row>
    <x:row r="344" ht="15" hidden="0" customHeight="1">
      <x:c r="A344" t="str">
        <x:v>Final</x:v>
      </x:c>
      <x:c r="B344" t="str">
        <x:v>F</x:v>
      </x:c>
      <x:c r="C344" t="str">
        <x:v>Arthur</x:v>
      </x:c>
      <x:c r="D344" t="str">
        <x:v>Espana</x:v>
      </x:c>
      <x:c r="E344" t="str">
        <x:v>Argentina</x:v>
      </x:c>
      <x:c r="F344" t="n">
        <x:v>3</x:v>
      </x:c>
      <x:c r="G344" t="n">
        <x:v>2</x:v>
      </x:c>
      <x:c r="H344" t="str">
        <x:v>Espana</x:v>
      </x:c>
      <x:c r="I344" t="str">
        <x:v>Suplementario</x:v>
      </x:c>
      <x:c r="J344" t="n">
        <x:v>1</x:v>
      </x:c>
      <x:c r="K344" t="n">
        <x:v>0</x:v>
      </x:c>
      <x:c r="L344" t="str">
        <x:v>Espana</x:v>
      </x:c>
      <x:c r="M344" t="str">
        <x:v>Suplementario</x:v>
      </x:c>
      <x:c r="N344" t="str">
        <x:v>Finalizado</x:v>
      </x:c>
      <x:c r="O344" t="str">
        <x:f>IF($H344="Sin envio","Sin envio",IF($I344="90 minutos",IF($F344&gt;$G344,"A",IF($G344&gt;$F344,"B","E")),"E"))</x:f>
        <x:v>E</x:v>
      </x:c>
      <x:c r="P344" t="str">
        <x:f>IF($M344="90 minutos",IF($J344&gt;$K344,"A",IF($K344&gt;$J344,"B","E")),"E")</x:f>
        <x:v>E</x:v>
      </x:c>
      <x:c r="Q344" t="str">
        <x:f>IF($H344="Sin envio","No",IF($H344=$L344,"Si","No"))</x:f>
        <x:v>Si</x:v>
      </x:c>
      <x:c r="R344" t="str">
        <x:f>IF(AND($I344=$M344,NOT(AND($I344="Penales",$F344&lt;&gt;$G344))),"Si","No")</x:f>
        <x:v>Si</x:v>
      </x:c>
      <x:c r="S344" t="n">
        <x:f>IF(OR($N344&lt;&gt;"Finalizado",$Q344&lt;&gt;"Si"),0,IF($O344=$P344,Reglas!$B$2,0))</x:f>
        <x:v>5</x:v>
      </x:c>
      <x:c r="T344" t="n">
        <x:f>IF(OR($N344&lt;&gt;"Finalizado",$Q344&lt;&gt;"Si"),0,Reglas!$B$3)</x:f>
        <x:v>3</x:v>
      </x:c>
      <x:c r="U344" t="n">
        <x:f>IF(OR($N344&lt;&gt;"Finalizado",$Q344&lt;&gt;"Si"),0,IF($I344=$M344,Reglas!$B$4,0))</x:f>
        <x:v>2</x:v>
      </x:c>
      <x:c r="V344" t="n">
        <x:f>IF(OR($N344&lt;&gt;"Finalizado",$Q344&lt;&gt;"Si",$R344&lt;&gt;"Si"),0,IF(AND($F344=$J344,$G344=$K344),Reglas!$B$5,0))</x:f>
        <x:v>0</x:v>
      </x:c>
      <x:c r="W344" t="n">
        <x:f>IF(OR($N344&lt;&gt;"Finalizado",$Q344&lt;&gt;"Si",$R344&lt;&gt;"Si"),0,IF($F344-$G344=$J344-$K344,Reglas!$B$6,0))</x:f>
        <x:v>2</x:v>
      </x:c>
      <x:c r="X344" t="n">
        <x:f>IF(OR($N344&lt;&gt;"Finalizado",$Q344&lt;&gt;"Si",$R344&lt;&gt;"Si"),0,IF($F344=$J344,Reglas!$B$7,0))</x:f>
        <x:v>0</x:v>
      </x:c>
      <x:c r="Y344" t="n">
        <x:f>IF(OR($N344&lt;&gt;"Finalizado",$Q344&lt;&gt;"Si",$R344&lt;&gt;"Si"),0,IF($G344=$K344,Reglas!$B$8,0))</x:f>
        <x:v>0</x:v>
      </x:c>
      <x:c r="Z344" t="n">
        <x:f>SUM($S344:$Y344)</x:f>
        <x:v>12</x:v>
      </x:c>
      <x:c r="AA344" t="str">
        <x:f>IF($N344&lt;&gt;"Finalizado","Resultado pendiente",IF($H344="Sin envio","Sin respuesta",IF($Q344&lt;&gt;"Si","No acerto clasificado","OK")))</x:f>
        <x:v>OK</x:v>
      </x:c>
      <x:c r="AB344" t="str">
        <x:v>Google Forms final + ESPN</x:v>
      </x:c>
      <x:c r="AC344" t="n">
        <x:v>12</x:v>
      </x:c>
      <x:c r="AD344" t="n">
        <x:f>$Z344-$AC344</x:f>
        <x:v>0</x:v>
      </x:c>
    </x:row>
    <x:row r="345" ht="15" hidden="0" customHeight="1">
      <x:c r="A345" t="str">
        <x:v>Final</x:v>
      </x:c>
      <x:c r="B345" t="str">
        <x:v>F</x:v>
      </x:c>
      <x:c r="C345" t="str">
        <x:v>José Luis</x:v>
      </x:c>
      <x:c r="D345" t="str">
        <x:v>Espana</x:v>
      </x:c>
      <x:c r="E345" t="str">
        <x:v>Argentina</x:v>
      </x:c>
      <x:c r="F345"/>
      <x:c r="G345"/>
      <x:c r="H345" t="str">
        <x:v>Sin envio</x:v>
      </x:c>
      <x:c r="I345" t="str">
        <x:v>Sin envio</x:v>
      </x:c>
      <x:c r="J345" t="n">
        <x:v>1</x:v>
      </x:c>
      <x:c r="K345" t="n">
        <x:v>0</x:v>
      </x:c>
      <x:c r="L345" t="str">
        <x:v>Espana</x:v>
      </x:c>
      <x:c r="M345" t="str">
        <x:v>Suplementario</x:v>
      </x:c>
      <x:c r="N345" t="str">
        <x:v>Finalizado</x:v>
      </x:c>
      <x:c r="O345" t="str">
        <x:f>IF($H345="Sin envio","Sin envio",IF($I345="90 minutos",IF($F345&gt;$G345,"A",IF($G345&gt;$F345,"B","E")),"E"))</x:f>
        <x:v>Sin envio</x:v>
      </x:c>
      <x:c r="P345" t="str">
        <x:f>IF($M345="90 minutos",IF($J345&gt;$K345,"A",IF($K345&gt;$J345,"B","E")),"E")</x:f>
        <x:v>E</x:v>
      </x:c>
      <x:c r="Q345" t="str">
        <x:f>IF($H345="Sin envio","No",IF($H345=$L345,"Si","No"))</x:f>
        <x:v>No</x:v>
      </x:c>
      <x:c r="R345" t="str">
        <x:f>IF(AND($I345=$M345,NOT(AND($I345="Penales",$F345&lt;&gt;$G345))),"Si","No")</x:f>
        <x:v>No</x:v>
      </x:c>
      <x:c r="S345" t="n">
        <x:f>IF(OR($N345&lt;&gt;"Finalizado",$Q345&lt;&gt;"Si"),0,IF($O345=$P345,Reglas!$B$2,0))</x:f>
        <x:v>0</x:v>
      </x:c>
      <x:c r="T345" t="n">
        <x:f>IF(OR($N345&lt;&gt;"Finalizado",$Q345&lt;&gt;"Si"),0,Reglas!$B$3)</x:f>
        <x:v>0</x:v>
      </x:c>
      <x:c r="U345" t="n">
        <x:f>IF(OR($N345&lt;&gt;"Finalizado",$Q345&lt;&gt;"Si"),0,IF($I345=$M345,Reglas!$B$4,0))</x:f>
        <x:v>0</x:v>
      </x:c>
      <x:c r="V345" t="n">
        <x:f>IF(OR($N345&lt;&gt;"Finalizado",$Q345&lt;&gt;"Si",$R345&lt;&gt;"Si"),0,IF(AND($F345=$J345,$G345=$K345),Reglas!$B$5,0))</x:f>
        <x:v>0</x:v>
      </x:c>
      <x:c r="W345" t="n">
        <x:f>IF(OR($N345&lt;&gt;"Finalizado",$Q345&lt;&gt;"Si",$R345&lt;&gt;"Si"),0,IF($F345-$G345=$J345-$K345,Reglas!$B$6,0))</x:f>
        <x:v>0</x:v>
      </x:c>
      <x:c r="X345" t="n">
        <x:f>IF(OR($N345&lt;&gt;"Finalizado",$Q345&lt;&gt;"Si",$R345&lt;&gt;"Si"),0,IF($F345=$J345,Reglas!$B$7,0))</x:f>
        <x:v>0</x:v>
      </x:c>
      <x:c r="Y345" t="n">
        <x:f>IF(OR($N345&lt;&gt;"Finalizado",$Q345&lt;&gt;"Si",$R345&lt;&gt;"Si"),0,IF($G345=$K345,Reglas!$B$8,0))</x:f>
        <x:v>0</x:v>
      </x:c>
      <x:c r="Z345" t="n">
        <x:f>SUM($S345:$Y345)</x:f>
        <x:v>0</x:v>
      </x:c>
      <x:c r="AA345" t="str">
        <x:f>IF($N345&lt;&gt;"Finalizado","Resultado pendiente",IF($H345="Sin envio","Sin respuesta",IF($Q345&lt;&gt;"Si","No acerto clasificado","OK")))</x:f>
        <x:v>Sin respuesta</x:v>
      </x:c>
      <x:c r="AB345" t="str">
        <x:v>Google Forms final + ESPN</x:v>
      </x:c>
      <x:c r="AC345" t="n">
        <x:v>0</x:v>
      </x:c>
      <x:c r="AD345" t="n">
        <x:f>$Z345-$AC345</x:f>
        <x:v>0</x:v>
      </x:c>
    </x:row>
    <x:row r="346" ht="15" hidden="0" customHeight="1">
      <x:c r="A346" t="str">
        <x:v>Final</x:v>
      </x:c>
      <x:c r="B346" t="str">
        <x:v>F</x:v>
      </x:c>
      <x:c r="C346" t="str">
        <x:v>Marcelo</x:v>
      </x:c>
      <x:c r="D346" t="str">
        <x:v>Espana</x:v>
      </x:c>
      <x:c r="E346" t="str">
        <x:v>Argentina</x:v>
      </x:c>
      <x:c r="F346"/>
      <x:c r="G346"/>
      <x:c r="H346" t="str">
        <x:v>Sin envio</x:v>
      </x:c>
      <x:c r="I346" t="str">
        <x:v>Sin envio</x:v>
      </x:c>
      <x:c r="J346" t="n">
        <x:v>1</x:v>
      </x:c>
      <x:c r="K346" t="n">
        <x:v>0</x:v>
      </x:c>
      <x:c r="L346" t="str">
        <x:v>Espana</x:v>
      </x:c>
      <x:c r="M346" t="str">
        <x:v>Suplementario</x:v>
      </x:c>
      <x:c r="N346" t="str">
        <x:v>Finalizado</x:v>
      </x:c>
      <x:c r="O346" t="str">
        <x:f>IF($H346="Sin envio","Sin envio",IF($I346="90 minutos",IF($F346&gt;$G346,"A",IF($G346&gt;$F346,"B","E")),"E"))</x:f>
        <x:v>Sin envio</x:v>
      </x:c>
      <x:c r="P346" t="str">
        <x:f>IF($M346="90 minutos",IF($J346&gt;$K346,"A",IF($K346&gt;$J346,"B","E")),"E")</x:f>
        <x:v>E</x:v>
      </x:c>
      <x:c r="Q346" t="str">
        <x:f>IF($H346="Sin envio","No",IF($H346=$L346,"Si","No"))</x:f>
        <x:v>No</x:v>
      </x:c>
      <x:c r="R346" t="str">
        <x:f>IF(AND($I346=$M346,NOT(AND($I346="Penales",$F346&lt;&gt;$G346))),"Si","No")</x:f>
        <x:v>No</x:v>
      </x:c>
      <x:c r="S346" t="n">
        <x:f>IF(OR($N346&lt;&gt;"Finalizado",$Q346&lt;&gt;"Si"),0,IF($O346=$P346,Reglas!$B$2,0))</x:f>
        <x:v>0</x:v>
      </x:c>
      <x:c r="T346" t="n">
        <x:f>IF(OR($N346&lt;&gt;"Finalizado",$Q346&lt;&gt;"Si"),0,Reglas!$B$3)</x:f>
        <x:v>0</x:v>
      </x:c>
      <x:c r="U346" t="n">
        <x:f>IF(OR($N346&lt;&gt;"Finalizado",$Q346&lt;&gt;"Si"),0,IF($I346=$M346,Reglas!$B$4,0))</x:f>
        <x:v>0</x:v>
      </x:c>
      <x:c r="V346" t="n">
        <x:f>IF(OR($N346&lt;&gt;"Finalizado",$Q346&lt;&gt;"Si",$R346&lt;&gt;"Si"),0,IF(AND($F346=$J346,$G346=$K346),Reglas!$B$5,0))</x:f>
        <x:v>0</x:v>
      </x:c>
      <x:c r="W346" t="n">
        <x:f>IF(OR($N346&lt;&gt;"Finalizado",$Q346&lt;&gt;"Si",$R346&lt;&gt;"Si"),0,IF($F346-$G346=$J346-$K346,Reglas!$B$6,0))</x:f>
        <x:v>0</x:v>
      </x:c>
      <x:c r="X346" t="n">
        <x:f>IF(OR($N346&lt;&gt;"Finalizado",$Q346&lt;&gt;"Si",$R346&lt;&gt;"Si"),0,IF($F346=$J346,Reglas!$B$7,0))</x:f>
        <x:v>0</x:v>
      </x:c>
      <x:c r="Y346" t="n">
        <x:f>IF(OR($N346&lt;&gt;"Finalizado",$Q346&lt;&gt;"Si",$R346&lt;&gt;"Si"),0,IF($G346=$K346,Reglas!$B$8,0))</x:f>
        <x:v>0</x:v>
      </x:c>
      <x:c r="Z346" t="n">
        <x:f>SUM($S346:$Y346)</x:f>
        <x:v>0</x:v>
      </x:c>
      <x:c r="AA346" t="str">
        <x:f>IF($N346&lt;&gt;"Finalizado","Resultado pendiente",IF($H346="Sin envio","Sin respuesta",IF($Q346&lt;&gt;"Si","No acerto clasificado","OK")))</x:f>
        <x:v>Sin respuesta</x:v>
      </x:c>
      <x:c r="AB346" t="str">
        <x:v>Google Forms final + ESPN</x:v>
      </x:c>
      <x:c r="AC346" t="n">
        <x:v>0</x:v>
      </x:c>
      <x:c r="AD346" t="n">
        <x:f>$Z346-$AC346</x:f>
        <x:v>0</x:v>
      </x:c>
    </x:row>
    <x:row r="347" ht="15" hidden="0" customHeight="1">
      <x:c r="A347" t="str">
        <x:v>Final</x:v>
      </x:c>
      <x:c r="B347" t="str">
        <x:v>F</x:v>
      </x:c>
      <x:c r="C347" t="str">
        <x:v>Anny</x:v>
      </x:c>
      <x:c r="D347" t="str">
        <x:v>Espana</x:v>
      </x:c>
      <x:c r="E347" t="str">
        <x:v>Argentina</x:v>
      </x:c>
      <x:c r="F347" t="n">
        <x:v>1</x:v>
      </x:c>
      <x:c r="G347" t="n">
        <x:v>3</x:v>
      </x:c>
      <x:c r="H347" t="str">
        <x:v>Argentina</x:v>
      </x:c>
      <x:c r="I347" t="str">
        <x:v>90 minutos</x:v>
      </x:c>
      <x:c r="J347" t="n">
        <x:v>1</x:v>
      </x:c>
      <x:c r="K347" t="n">
        <x:v>0</x:v>
      </x:c>
      <x:c r="L347" t="str">
        <x:v>Espana</x:v>
      </x:c>
      <x:c r="M347" t="str">
        <x:v>Suplementario</x:v>
      </x:c>
      <x:c r="N347" t="str">
        <x:v>Finalizado</x:v>
      </x:c>
      <x:c r="O347" t="str">
        <x:f>IF($H347="Sin envio","Sin envio",IF($I347="90 minutos",IF($F347&gt;$G347,"A",IF($G347&gt;$F347,"B","E")),"E"))</x:f>
        <x:v>B</x:v>
      </x:c>
      <x:c r="P347" t="str">
        <x:f>IF($M347="90 minutos",IF($J347&gt;$K347,"A",IF($K347&gt;$J347,"B","E")),"E")</x:f>
        <x:v>E</x:v>
      </x:c>
      <x:c r="Q347" t="str">
        <x:f>IF($H347="Sin envio","No",IF($H347=$L347,"Si","No"))</x:f>
        <x:v>No</x:v>
      </x:c>
      <x:c r="R347" t="str">
        <x:f>IF(AND($I347=$M347,NOT(AND($I347="Penales",$F347&lt;&gt;$G347))),"Si","No")</x:f>
        <x:v>No</x:v>
      </x:c>
      <x:c r="S347" t="n">
        <x:f>IF(OR($N347&lt;&gt;"Finalizado",$Q347&lt;&gt;"Si"),0,IF($O347=$P347,Reglas!$B$2,0))</x:f>
        <x:v>0</x:v>
      </x:c>
      <x:c r="T347" t="n">
        <x:f>IF(OR($N347&lt;&gt;"Finalizado",$Q347&lt;&gt;"Si"),0,Reglas!$B$3)</x:f>
        <x:v>0</x:v>
      </x:c>
      <x:c r="U347" t="n">
        <x:f>IF(OR($N347&lt;&gt;"Finalizado",$Q347&lt;&gt;"Si"),0,IF($I347=$M347,Reglas!$B$4,0))</x:f>
        <x:v>0</x:v>
      </x:c>
      <x:c r="V347" t="n">
        <x:f>IF(OR($N347&lt;&gt;"Finalizado",$Q347&lt;&gt;"Si",$R347&lt;&gt;"Si"),0,IF(AND($F347=$J347,$G347=$K347),Reglas!$B$5,0))</x:f>
        <x:v>0</x:v>
      </x:c>
      <x:c r="W347" t="n">
        <x:f>IF(OR($N347&lt;&gt;"Finalizado",$Q347&lt;&gt;"Si",$R347&lt;&gt;"Si"),0,IF($F347-$G347=$J347-$K347,Reglas!$B$6,0))</x:f>
        <x:v>0</x:v>
      </x:c>
      <x:c r="X347" t="n">
        <x:f>IF(OR($N347&lt;&gt;"Finalizado",$Q347&lt;&gt;"Si",$R347&lt;&gt;"Si"),0,IF($F347=$J347,Reglas!$B$7,0))</x:f>
        <x:v>0</x:v>
      </x:c>
      <x:c r="Y347" t="n">
        <x:f>IF(OR($N347&lt;&gt;"Finalizado",$Q347&lt;&gt;"Si",$R347&lt;&gt;"Si"),0,IF($G347=$K347,Reglas!$B$8,0))</x:f>
        <x:v>0</x:v>
      </x:c>
      <x:c r="Z347" t="n">
        <x:f>SUM($S347:$Y347)</x:f>
        <x:v>0</x:v>
      </x:c>
      <x:c r="AA347" t="str">
        <x:f>IF($N347&lt;&gt;"Finalizado","Resultado pendiente",IF($H347="Sin envio","Sin respuesta",IF($Q347&lt;&gt;"Si","No acerto clasificado","OK")))</x:f>
        <x:v>No acerto clasificado</x:v>
      </x:c>
      <x:c r="AB347" t="str">
        <x:v>Google Forms final + ESPN</x:v>
      </x:c>
      <x:c r="AC347" t="n">
        <x:v>0</x:v>
      </x:c>
      <x:c r="AD347" t="n">
        <x:f>$Z347-$AC347</x:f>
        <x:v>0</x:v>
      </x:c>
    </x:row>
    <x:row r="348" ht="15" hidden="0" customHeight="1">
      <x:c r="A348" t="str">
        <x:v>Final</x:v>
      </x:c>
      <x:c r="B348" t="str">
        <x:v>F</x:v>
      </x:c>
      <x:c r="C348" t="str">
        <x:v>Moisés</x:v>
      </x:c>
      <x:c r="D348" t="str">
        <x:v>Espana</x:v>
      </x:c>
      <x:c r="E348" t="str">
        <x:v>Argentina</x:v>
      </x:c>
      <x:c r="F348"/>
      <x:c r="G348"/>
      <x:c r="H348" t="str">
        <x:v>Sin envio</x:v>
      </x:c>
      <x:c r="I348" t="str">
        <x:v>Sin envio</x:v>
      </x:c>
      <x:c r="J348" t="n">
        <x:v>1</x:v>
      </x:c>
      <x:c r="K348" t="n">
        <x:v>0</x:v>
      </x:c>
      <x:c r="L348" t="str">
        <x:v>Espana</x:v>
      </x:c>
      <x:c r="M348" t="str">
        <x:v>Suplementario</x:v>
      </x:c>
      <x:c r="N348" t="str">
        <x:v>Finalizado</x:v>
      </x:c>
      <x:c r="O348" t="str">
        <x:f>IF($H348="Sin envio","Sin envio",IF($I348="90 minutos",IF($F348&gt;$G348,"A",IF($G348&gt;$F348,"B","E")),"E"))</x:f>
        <x:v>Sin envio</x:v>
      </x:c>
      <x:c r="P348" t="str">
        <x:f>IF($M348="90 minutos",IF($J348&gt;$K348,"A",IF($K348&gt;$J348,"B","E")),"E")</x:f>
        <x:v>E</x:v>
      </x:c>
      <x:c r="Q348" t="str">
        <x:f>IF($H348="Sin envio","No",IF($H348=$L348,"Si","No"))</x:f>
        <x:v>No</x:v>
      </x:c>
      <x:c r="R348" t="str">
        <x:f>IF(AND($I348=$M348,NOT(AND($I348="Penales",$F348&lt;&gt;$G348))),"Si","No")</x:f>
        <x:v>No</x:v>
      </x:c>
      <x:c r="S348" t="n">
        <x:f>IF(OR($N348&lt;&gt;"Finalizado",$Q348&lt;&gt;"Si"),0,IF($O348=$P348,Reglas!$B$2,0))</x:f>
        <x:v>0</x:v>
      </x:c>
      <x:c r="T348" t="n">
        <x:f>IF(OR($N348&lt;&gt;"Finalizado",$Q348&lt;&gt;"Si"),0,Reglas!$B$3)</x:f>
        <x:v>0</x:v>
      </x:c>
      <x:c r="U348" t="n">
        <x:f>IF(OR($N348&lt;&gt;"Finalizado",$Q348&lt;&gt;"Si"),0,IF($I348=$M348,Reglas!$B$4,0))</x:f>
        <x:v>0</x:v>
      </x:c>
      <x:c r="V348" t="n">
        <x:f>IF(OR($N348&lt;&gt;"Finalizado",$Q348&lt;&gt;"Si",$R348&lt;&gt;"Si"),0,IF(AND($F348=$J348,$G348=$K348),Reglas!$B$5,0))</x:f>
        <x:v>0</x:v>
      </x:c>
      <x:c r="W348" t="n">
        <x:f>IF(OR($N348&lt;&gt;"Finalizado",$Q348&lt;&gt;"Si",$R348&lt;&gt;"Si"),0,IF($F348-$G348=$J348-$K348,Reglas!$B$6,0))</x:f>
        <x:v>0</x:v>
      </x:c>
      <x:c r="X348" t="n">
        <x:f>IF(OR($N348&lt;&gt;"Finalizado",$Q348&lt;&gt;"Si",$R348&lt;&gt;"Si"),0,IF($F348=$J348,Reglas!$B$7,0))</x:f>
        <x:v>0</x:v>
      </x:c>
      <x:c r="Y348" t="n">
        <x:f>IF(OR($N348&lt;&gt;"Finalizado",$Q348&lt;&gt;"Si",$R348&lt;&gt;"Si"),0,IF($G348=$K348,Reglas!$B$8,0))</x:f>
        <x:v>0</x:v>
      </x:c>
      <x:c r="Z348" t="n">
        <x:f>SUM($S348:$Y348)</x:f>
        <x:v>0</x:v>
      </x:c>
      <x:c r="AA348" t="str">
        <x:f>IF($N348&lt;&gt;"Finalizado","Resultado pendiente",IF($H348="Sin envio","Sin respuesta",IF($Q348&lt;&gt;"Si","No acerto clasificado","OK")))</x:f>
        <x:v>Sin respuesta</x:v>
      </x:c>
      <x:c r="AB348" t="str">
        <x:v>Google Forms final + ESPN</x:v>
      </x:c>
      <x:c r="AC348" t="n">
        <x:v>0</x:v>
      </x:c>
      <x:c r="AD348" t="n">
        <x:f>$Z348-$AC348</x:f>
        <x:v>0</x:v>
      </x:c>
    </x:row>
    <x:row r="349" ht="15" hidden="0" customHeight="1">
      <x:c r="A349" t="str">
        <x:v>Final</x:v>
      </x:c>
      <x:c r="B349" t="str">
        <x:v>F</x:v>
      </x:c>
      <x:c r="C349" t="str">
        <x:v>Alex</x:v>
      </x:c>
      <x:c r="D349" t="str">
        <x:v>Espana</x:v>
      </x:c>
      <x:c r="E349" t="str">
        <x:v>Argentina</x:v>
      </x:c>
      <x:c r="F349" t="n">
        <x:v>2</x:v>
      </x:c>
      <x:c r="G349" t="n">
        <x:v>3</x:v>
      </x:c>
      <x:c r="H349" t="str">
        <x:v>Argentina</x:v>
      </x:c>
      <x:c r="I349" t="str">
        <x:v>Suplementario</x:v>
      </x:c>
      <x:c r="J349" t="n">
        <x:v>1</x:v>
      </x:c>
      <x:c r="K349" t="n">
        <x:v>0</x:v>
      </x:c>
      <x:c r="L349" t="str">
        <x:v>Espana</x:v>
      </x:c>
      <x:c r="M349" t="str">
        <x:v>Suplementario</x:v>
      </x:c>
      <x:c r="N349" t="str">
        <x:v>Finalizado</x:v>
      </x:c>
      <x:c r="O349" t="str">
        <x:f>IF($H349="Sin envio","Sin envio",IF($I349="90 minutos",IF($F349&gt;$G349,"A",IF($G349&gt;$F349,"B","E")),"E"))</x:f>
        <x:v>E</x:v>
      </x:c>
      <x:c r="P349" t="str">
        <x:f>IF($M349="90 minutos",IF($J349&gt;$K349,"A",IF($K349&gt;$J349,"B","E")),"E")</x:f>
        <x:v>E</x:v>
      </x:c>
      <x:c r="Q349" t="str">
        <x:f>IF($H349="Sin envio","No",IF($H349=$L349,"Si","No"))</x:f>
        <x:v>No</x:v>
      </x:c>
      <x:c r="R349" t="str">
        <x:f>IF(AND($I349=$M349,NOT(AND($I349="Penales",$F349&lt;&gt;$G349))),"Si","No")</x:f>
        <x:v>Si</x:v>
      </x:c>
      <x:c r="S349" t="n">
        <x:f>IF(OR($N349&lt;&gt;"Finalizado",$Q349&lt;&gt;"Si"),0,IF($O349=$P349,Reglas!$B$2,0))</x:f>
        <x:v>0</x:v>
      </x:c>
      <x:c r="T349" t="n">
        <x:f>IF(OR($N349&lt;&gt;"Finalizado",$Q349&lt;&gt;"Si"),0,Reglas!$B$3)</x:f>
        <x:v>0</x:v>
      </x:c>
      <x:c r="U349" t="n">
        <x:f>IF(OR($N349&lt;&gt;"Finalizado",$Q349&lt;&gt;"Si"),0,IF($I349=$M349,Reglas!$B$4,0))</x:f>
        <x:v>0</x:v>
      </x:c>
      <x:c r="V349" t="n">
        <x:f>IF(OR($N349&lt;&gt;"Finalizado",$Q349&lt;&gt;"Si",$R349&lt;&gt;"Si"),0,IF(AND($F349=$J349,$G349=$K349),Reglas!$B$5,0))</x:f>
        <x:v>0</x:v>
      </x:c>
      <x:c r="W349" t="n">
        <x:f>IF(OR($N349&lt;&gt;"Finalizado",$Q349&lt;&gt;"Si",$R349&lt;&gt;"Si"),0,IF($F349-$G349=$J349-$K349,Reglas!$B$6,0))</x:f>
        <x:v>0</x:v>
      </x:c>
      <x:c r="X349" t="n">
        <x:f>IF(OR($N349&lt;&gt;"Finalizado",$Q349&lt;&gt;"Si",$R349&lt;&gt;"Si"),0,IF($F349=$J349,Reglas!$B$7,0))</x:f>
        <x:v>0</x:v>
      </x:c>
      <x:c r="Y349" t="n">
        <x:f>IF(OR($N349&lt;&gt;"Finalizado",$Q349&lt;&gt;"Si",$R349&lt;&gt;"Si"),0,IF($G349=$K349,Reglas!$B$8,0))</x:f>
        <x:v>0</x:v>
      </x:c>
      <x:c r="Z349" t="n">
        <x:f>SUM($S349:$Y349)</x:f>
        <x:v>0</x:v>
      </x:c>
      <x:c r="AA349" t="str">
        <x:f>IF($N349&lt;&gt;"Finalizado","Resultado pendiente",IF($H349="Sin envio","Sin respuesta",IF($Q349&lt;&gt;"Si","No acerto clasificado","OK")))</x:f>
        <x:v>No acerto clasificado</x:v>
      </x:c>
      <x:c r="AB349" t="str">
        <x:v>Google Forms final + ESPN</x:v>
      </x:c>
      <x:c r="AC349" t="n">
        <x:v>0</x:v>
      </x:c>
      <x:c r="AD349" t="n">
        <x:f>$Z349-$AC349</x:f>
        <x:v>0</x:v>
      </x:c>
    </x:row>
    <x:row r="350" ht="15" hidden="0" customHeight="1">
      <x:c r="A350" t="str">
        <x:v>Final</x:v>
      </x:c>
      <x:c r="B350" t="str">
        <x:v>F</x:v>
      </x:c>
      <x:c r="C350" t="str">
        <x:v>Omar</x:v>
      </x:c>
      <x:c r="D350" t="str">
        <x:v>Espana</x:v>
      </x:c>
      <x:c r="E350" t="str">
        <x:v>Argentina</x:v>
      </x:c>
      <x:c r="F350"/>
      <x:c r="G350"/>
      <x:c r="H350" t="str">
        <x:v>Sin envio</x:v>
      </x:c>
      <x:c r="I350" t="str">
        <x:v>Sin envio</x:v>
      </x:c>
      <x:c r="J350" t="n">
        <x:v>1</x:v>
      </x:c>
      <x:c r="K350" t="n">
        <x:v>0</x:v>
      </x:c>
      <x:c r="L350" t="str">
        <x:v>Espana</x:v>
      </x:c>
      <x:c r="M350" t="str">
        <x:v>Suplementario</x:v>
      </x:c>
      <x:c r="N350" t="str">
        <x:v>Finalizado</x:v>
      </x:c>
      <x:c r="O350" t="str">
        <x:f>IF($H350="Sin envio","Sin envio",IF($I350="90 minutos",IF($F350&gt;$G350,"A",IF($G350&gt;$F350,"B","E")),"E"))</x:f>
        <x:v>Sin envio</x:v>
      </x:c>
      <x:c r="P350" t="str">
        <x:f>IF($M350="90 minutos",IF($J350&gt;$K350,"A",IF($K350&gt;$J350,"B","E")),"E")</x:f>
        <x:v>E</x:v>
      </x:c>
      <x:c r="Q350" t="str">
        <x:f>IF($H350="Sin envio","No",IF($H350=$L350,"Si","No"))</x:f>
        <x:v>No</x:v>
      </x:c>
      <x:c r="R350" t="str">
        <x:f>IF(AND($I350=$M350,NOT(AND($I350="Penales",$F350&lt;&gt;$G350))),"Si","No")</x:f>
        <x:v>No</x:v>
      </x:c>
      <x:c r="S350" t="n">
        <x:f>IF(OR($N350&lt;&gt;"Finalizado",$Q350&lt;&gt;"Si"),0,IF($O350=$P350,Reglas!$B$2,0))</x:f>
        <x:v>0</x:v>
      </x:c>
      <x:c r="T350" t="n">
        <x:f>IF(OR($N350&lt;&gt;"Finalizado",$Q350&lt;&gt;"Si"),0,Reglas!$B$3)</x:f>
        <x:v>0</x:v>
      </x:c>
      <x:c r="U350" t="n">
        <x:f>IF(OR($N350&lt;&gt;"Finalizado",$Q350&lt;&gt;"Si"),0,IF($I350=$M350,Reglas!$B$4,0))</x:f>
        <x:v>0</x:v>
      </x:c>
      <x:c r="V350" t="n">
        <x:f>IF(OR($N350&lt;&gt;"Finalizado",$Q350&lt;&gt;"Si",$R350&lt;&gt;"Si"),0,IF(AND($F350=$J350,$G350=$K350),Reglas!$B$5,0))</x:f>
        <x:v>0</x:v>
      </x:c>
      <x:c r="W350" t="n">
        <x:f>IF(OR($N350&lt;&gt;"Finalizado",$Q350&lt;&gt;"Si",$R350&lt;&gt;"Si"),0,IF($F350-$G350=$J350-$K350,Reglas!$B$6,0))</x:f>
        <x:v>0</x:v>
      </x:c>
      <x:c r="X350" t="n">
        <x:f>IF(OR($N350&lt;&gt;"Finalizado",$Q350&lt;&gt;"Si",$R350&lt;&gt;"Si"),0,IF($F350=$J350,Reglas!$B$7,0))</x:f>
        <x:v>0</x:v>
      </x:c>
      <x:c r="Y350" t="n">
        <x:f>IF(OR($N350&lt;&gt;"Finalizado",$Q350&lt;&gt;"Si",$R350&lt;&gt;"Si"),0,IF($G350=$K350,Reglas!$B$8,0))</x:f>
        <x:v>0</x:v>
      </x:c>
      <x:c r="Z350" t="n">
        <x:f>SUM($S350:$Y350)</x:f>
        <x:v>0</x:v>
      </x:c>
      <x:c r="AA350" t="str">
        <x:f>IF($N350&lt;&gt;"Finalizado","Resultado pendiente",IF($H350="Sin envio","Sin respuesta",IF($Q350&lt;&gt;"Si","No acerto clasificado","OK")))</x:f>
        <x:v>Sin respuesta</x:v>
      </x:c>
      <x:c r="AB350" t="str">
        <x:v>Google Forms final + ESPN</x:v>
      </x:c>
      <x:c r="AC350" t="n">
        <x:v>0</x:v>
      </x:c>
      <x:c r="AD350" t="n">
        <x:f>$Z350-$AC350</x:f>
        <x:v>0</x:v>
      </x:c>
    </x:row>
    <x:row r="351" ht="15" hidden="0" customHeight="1">
      <x:c r="A351" t="str">
        <x:v>Final</x:v>
      </x:c>
      <x:c r="B351" t="str">
        <x:v>F</x:v>
      </x:c>
      <x:c r="C351" t="str">
        <x:v>Fernando</x:v>
      </x:c>
      <x:c r="D351" t="str">
        <x:v>Espana</x:v>
      </x:c>
      <x:c r="E351" t="str">
        <x:v>Argentina</x:v>
      </x:c>
      <x:c r="F351" t="n">
        <x:v>1</x:v>
      </x:c>
      <x:c r="G351" t="n">
        <x:v>2</x:v>
      </x:c>
      <x:c r="H351" t="str">
        <x:v>Argentina</x:v>
      </x:c>
      <x:c r="I351" t="str">
        <x:v>Suplementario</x:v>
      </x:c>
      <x:c r="J351" t="n">
        <x:v>1</x:v>
      </x:c>
      <x:c r="K351" t="n">
        <x:v>0</x:v>
      </x:c>
      <x:c r="L351" t="str">
        <x:v>Espana</x:v>
      </x:c>
      <x:c r="M351" t="str">
        <x:v>Suplementario</x:v>
      </x:c>
      <x:c r="N351" t="str">
        <x:v>Finalizado</x:v>
      </x:c>
      <x:c r="O351" t="str">
        <x:f>IF($H351="Sin envio","Sin envio",IF($I351="90 minutos",IF($F351&gt;$G351,"A",IF($G351&gt;$F351,"B","E")),"E"))</x:f>
        <x:v>E</x:v>
      </x:c>
      <x:c r="P351" t="str">
        <x:f>IF($M351="90 minutos",IF($J351&gt;$K351,"A",IF($K351&gt;$J351,"B","E")),"E")</x:f>
        <x:v>E</x:v>
      </x:c>
      <x:c r="Q351" t="str">
        <x:f>IF($H351="Sin envio","No",IF($H351=$L351,"Si","No"))</x:f>
        <x:v>No</x:v>
      </x:c>
      <x:c r="R351" t="str">
        <x:f>IF(AND($I351=$M351,NOT(AND($I351="Penales",$F351&lt;&gt;$G351))),"Si","No")</x:f>
        <x:v>Si</x:v>
      </x:c>
      <x:c r="S351" t="n">
        <x:f>IF(OR($N351&lt;&gt;"Finalizado",$Q351&lt;&gt;"Si"),0,IF($O351=$P351,Reglas!$B$2,0))</x:f>
        <x:v>0</x:v>
      </x:c>
      <x:c r="T351" t="n">
        <x:f>IF(OR($N351&lt;&gt;"Finalizado",$Q351&lt;&gt;"Si"),0,Reglas!$B$3)</x:f>
        <x:v>0</x:v>
      </x:c>
      <x:c r="U351" t="n">
        <x:f>IF(OR($N351&lt;&gt;"Finalizado",$Q351&lt;&gt;"Si"),0,IF($I351=$M351,Reglas!$B$4,0))</x:f>
        <x:v>0</x:v>
      </x:c>
      <x:c r="V351" t="n">
        <x:f>IF(OR($N351&lt;&gt;"Finalizado",$Q351&lt;&gt;"Si",$R351&lt;&gt;"Si"),0,IF(AND($F351=$J351,$G351=$K351),Reglas!$B$5,0))</x:f>
        <x:v>0</x:v>
      </x:c>
      <x:c r="W351" t="n">
        <x:f>IF(OR($N351&lt;&gt;"Finalizado",$Q351&lt;&gt;"Si",$R351&lt;&gt;"Si"),0,IF($F351-$G351=$J351-$K351,Reglas!$B$6,0))</x:f>
        <x:v>0</x:v>
      </x:c>
      <x:c r="X351" t="n">
        <x:f>IF(OR($N351&lt;&gt;"Finalizado",$Q351&lt;&gt;"Si",$R351&lt;&gt;"Si"),0,IF($F351=$J351,Reglas!$B$7,0))</x:f>
        <x:v>0</x:v>
      </x:c>
      <x:c r="Y351" t="n">
        <x:f>IF(OR($N351&lt;&gt;"Finalizado",$Q351&lt;&gt;"Si",$R351&lt;&gt;"Si"),0,IF($G351=$K351,Reglas!$B$8,0))</x:f>
        <x:v>0</x:v>
      </x:c>
      <x:c r="Z351" t="n">
        <x:f>SUM($S351:$Y351)</x:f>
        <x:v>0</x:v>
      </x:c>
      <x:c r="AA351" t="str">
        <x:f>IF($N351&lt;&gt;"Finalizado","Resultado pendiente",IF($H351="Sin envio","Sin respuesta",IF($Q351&lt;&gt;"Si","No acerto clasificado","OK")))</x:f>
        <x:v>No acerto clasificado</x:v>
      </x:c>
      <x:c r="AB351" t="str">
        <x:v>Google Forms final + ESPN</x:v>
      </x:c>
      <x:c r="AC351" t="n">
        <x:v>0</x:v>
      </x:c>
      <x:c r="AD351" t="n">
        <x:f>$Z351-$AC351</x:f>
        <x:v>0</x:v>
      </x:c>
    </x:row>
    <x:row r="352" ht="15" hidden="0" customHeight="1">
      <x:c r="A352" t="str">
        <x:v>Final</x:v>
      </x:c>
      <x:c r="B352" t="str">
        <x:v>F</x:v>
      </x:c>
      <x:c r="C352" t="str">
        <x:v>Diana</x:v>
      </x:c>
      <x:c r="D352" t="str">
        <x:v>Espana</x:v>
      </x:c>
      <x:c r="E352" t="str">
        <x:v>Argentina</x:v>
      </x:c>
      <x:c r="F352"/>
      <x:c r="G352"/>
      <x:c r="H352" t="str">
        <x:v>Sin envio</x:v>
      </x:c>
      <x:c r="I352" t="str">
        <x:v>Sin envio</x:v>
      </x:c>
      <x:c r="J352" t="n">
        <x:v>1</x:v>
      </x:c>
      <x:c r="K352" t="n">
        <x:v>0</x:v>
      </x:c>
      <x:c r="L352" t="str">
        <x:v>Espana</x:v>
      </x:c>
      <x:c r="M352" t="str">
        <x:v>Suplementario</x:v>
      </x:c>
      <x:c r="N352" t="str">
        <x:v>Finalizado</x:v>
      </x:c>
      <x:c r="O352" t="str">
        <x:f>IF($H352="Sin envio","Sin envio",IF($I352="90 minutos",IF($F352&gt;$G352,"A",IF($G352&gt;$F352,"B","E")),"E"))</x:f>
        <x:v>Sin envio</x:v>
      </x:c>
      <x:c r="P352" t="str">
        <x:f>IF($M352="90 minutos",IF($J352&gt;$K352,"A",IF($K352&gt;$J352,"B","E")),"E")</x:f>
        <x:v>E</x:v>
      </x:c>
      <x:c r="Q352" t="str">
        <x:f>IF($H352="Sin envio","No",IF($H352=$L352,"Si","No"))</x:f>
        <x:v>No</x:v>
      </x:c>
      <x:c r="R352" t="str">
        <x:f>IF(AND($I352=$M352,NOT(AND($I352="Penales",$F352&lt;&gt;$G352))),"Si","No")</x:f>
        <x:v>No</x:v>
      </x:c>
      <x:c r="S352" t="n">
        <x:f>IF(OR($N352&lt;&gt;"Finalizado",$Q352&lt;&gt;"Si"),0,IF($O352=$P352,Reglas!$B$2,0))</x:f>
        <x:v>0</x:v>
      </x:c>
      <x:c r="T352" t="n">
        <x:f>IF(OR($N352&lt;&gt;"Finalizado",$Q352&lt;&gt;"Si"),0,Reglas!$B$3)</x:f>
        <x:v>0</x:v>
      </x:c>
      <x:c r="U352" t="n">
        <x:f>IF(OR($N352&lt;&gt;"Finalizado",$Q352&lt;&gt;"Si"),0,IF($I352=$M352,Reglas!$B$4,0))</x:f>
        <x:v>0</x:v>
      </x:c>
      <x:c r="V352" t="n">
        <x:f>IF(OR($N352&lt;&gt;"Finalizado",$Q352&lt;&gt;"Si",$R352&lt;&gt;"Si"),0,IF(AND($F352=$J352,$G352=$K352),Reglas!$B$5,0))</x:f>
        <x:v>0</x:v>
      </x:c>
      <x:c r="W352" t="n">
        <x:f>IF(OR($N352&lt;&gt;"Finalizado",$Q352&lt;&gt;"Si",$R352&lt;&gt;"Si"),0,IF($F352-$G352=$J352-$K352,Reglas!$B$6,0))</x:f>
        <x:v>0</x:v>
      </x:c>
      <x:c r="X352" t="n">
        <x:f>IF(OR($N352&lt;&gt;"Finalizado",$Q352&lt;&gt;"Si",$R352&lt;&gt;"Si"),0,IF($F352=$J352,Reglas!$B$7,0))</x:f>
        <x:v>0</x:v>
      </x:c>
      <x:c r="Y352" t="n">
        <x:f>IF(OR($N352&lt;&gt;"Finalizado",$Q352&lt;&gt;"Si",$R352&lt;&gt;"Si"),0,IF($G352=$K352,Reglas!$B$8,0))</x:f>
        <x:v>0</x:v>
      </x:c>
      <x:c r="Z352" t="n">
        <x:f>SUM($S352:$Y352)</x:f>
        <x:v>0</x:v>
      </x:c>
      <x:c r="AA352" t="str">
        <x:f>IF($N352&lt;&gt;"Finalizado","Resultado pendiente",IF($H352="Sin envio","Sin respuesta",IF($Q352&lt;&gt;"Si","No acerto clasificado","OK")))</x:f>
        <x:v>Sin respuesta</x:v>
      </x:c>
      <x:c r="AB352" t="str">
        <x:v>Google Forms final + ESPN</x:v>
      </x:c>
      <x:c r="AC352" t="n">
        <x:v>0</x:v>
      </x:c>
      <x:c r="AD352" t="n">
        <x:f>$Z352-$AC352</x:f>
        <x:v>0</x:v>
      </x:c>
    </x:row>
    <x:row r="353" ht="15" hidden="0" customHeight="1">
      <x:c r="A353" t="str">
        <x:v>Final</x:v>
      </x:c>
      <x:c r="B353" t="str">
        <x:v>F</x:v>
      </x:c>
      <x:c r="C353" t="str">
        <x:v>Óscar</x:v>
      </x:c>
      <x:c r="D353" t="str">
        <x:v>Espana</x:v>
      </x:c>
      <x:c r="E353" t="str">
        <x:v>Argentina</x:v>
      </x:c>
      <x:c r="F353" t="n">
        <x:v>1</x:v>
      </x:c>
      <x:c r="G353" t="n">
        <x:v>2</x:v>
      </x:c>
      <x:c r="H353" t="str">
        <x:v>Argentina</x:v>
      </x:c>
      <x:c r="I353" t="str">
        <x:v>90 minutos</x:v>
      </x:c>
      <x:c r="J353" t="n">
        <x:v>1</x:v>
      </x:c>
      <x:c r="K353" t="n">
        <x:v>0</x:v>
      </x:c>
      <x:c r="L353" t="str">
        <x:v>Espana</x:v>
      </x:c>
      <x:c r="M353" t="str">
        <x:v>Suplementario</x:v>
      </x:c>
      <x:c r="N353" t="str">
        <x:v>Finalizado</x:v>
      </x:c>
      <x:c r="O353" t="str">
        <x:f>IF($H353="Sin envio","Sin envio",IF($I353="90 minutos",IF($F353&gt;$G353,"A",IF($G353&gt;$F353,"B","E")),"E"))</x:f>
        <x:v>B</x:v>
      </x:c>
      <x:c r="P353" t="str">
        <x:f>IF($M353="90 minutos",IF($J353&gt;$K353,"A",IF($K353&gt;$J353,"B","E")),"E")</x:f>
        <x:v>E</x:v>
      </x:c>
      <x:c r="Q353" t="str">
        <x:f>IF($H353="Sin envio","No",IF($H353=$L353,"Si","No"))</x:f>
        <x:v>No</x:v>
      </x:c>
      <x:c r="R353" t="str">
        <x:f>IF(AND($I353=$M353,NOT(AND($I353="Penales",$F353&lt;&gt;$G353))),"Si","No")</x:f>
        <x:v>No</x:v>
      </x:c>
      <x:c r="S353" t="n">
        <x:f>IF(OR($N353&lt;&gt;"Finalizado",$Q353&lt;&gt;"Si"),0,IF($O353=$P353,Reglas!$B$2,0))</x:f>
        <x:v>0</x:v>
      </x:c>
      <x:c r="T353" t="n">
        <x:f>IF(OR($N353&lt;&gt;"Finalizado",$Q353&lt;&gt;"Si"),0,Reglas!$B$3)</x:f>
        <x:v>0</x:v>
      </x:c>
      <x:c r="U353" t="n">
        <x:f>IF(OR($N353&lt;&gt;"Finalizado",$Q353&lt;&gt;"Si"),0,IF($I353=$M353,Reglas!$B$4,0))</x:f>
        <x:v>0</x:v>
      </x:c>
      <x:c r="V353" t="n">
        <x:f>IF(OR($N353&lt;&gt;"Finalizado",$Q353&lt;&gt;"Si",$R353&lt;&gt;"Si"),0,IF(AND($F353=$J353,$G353=$K353),Reglas!$B$5,0))</x:f>
        <x:v>0</x:v>
      </x:c>
      <x:c r="W353" t="n">
        <x:f>IF(OR($N353&lt;&gt;"Finalizado",$Q353&lt;&gt;"Si",$R353&lt;&gt;"Si"),0,IF($F353-$G353=$J353-$K353,Reglas!$B$6,0))</x:f>
        <x:v>0</x:v>
      </x:c>
      <x:c r="X353" t="n">
        <x:f>IF(OR($N353&lt;&gt;"Finalizado",$Q353&lt;&gt;"Si",$R353&lt;&gt;"Si"),0,IF($F353=$J353,Reglas!$B$7,0))</x:f>
        <x:v>0</x:v>
      </x:c>
      <x:c r="Y353" t="n">
        <x:f>IF(OR($N353&lt;&gt;"Finalizado",$Q353&lt;&gt;"Si",$R353&lt;&gt;"Si"),0,IF($G353=$K353,Reglas!$B$8,0))</x:f>
        <x:v>0</x:v>
      </x:c>
      <x:c r="Z353" t="n">
        <x:f>SUM($S353:$Y353)</x:f>
        <x:v>0</x:v>
      </x:c>
      <x:c r="AA353" t="str">
        <x:f>IF($N353&lt;&gt;"Finalizado","Resultado pendiente",IF($H353="Sin envio","Sin respuesta",IF($Q353&lt;&gt;"Si","No acerto clasificado","OK")))</x:f>
        <x:v>No acerto clasificado</x:v>
      </x:c>
      <x:c r="AB353" t="str">
        <x:v>Google Forms final + ESPN</x:v>
      </x:c>
      <x:c r="AC353" t="n">
        <x:v>0</x:v>
      </x:c>
      <x:c r="AD353" t="n">
        <x:f>$Z353-$AC353</x:f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10" hidden="0" customWidth="1"/>
    <x:col min="3" max="3" width="15.75" hidden="0" customWidth="1"/>
    <x:col min="4" max="4" width="17.3799991607666" hidden="0" customWidth="1"/>
    <x:col min="5" max="5" width="15.25" hidden="0" customWidth="1"/>
    <x:col min="6" max="6" width="17.6299991607666" hidden="0" customWidth="1"/>
    <x:col min="7" max="7" width="15.75" hidden="0" customWidth="1"/>
  </x:cols>
  <x:sheetData>
    <x:row r="1" ht="15" hidden="0" customHeight="1">
      <x:c r="A1" s="3" t="str">
        <x:v>Participante</x:v>
      </x:c>
      <x:c r="B1" s="3" t="str">
        <x:v>Total puntos</x:v>
      </x:c>
      <x:c r="C1" s="3" t="str">
        <x:v>Marcadores exactos</x:v>
      </x:c>
      <x:c r="D1" s="3" t="str">
        <x:v>Clasificados acertados</x:v>
      </x:c>
      <x:c r="E1" s="3" t="str">
        <x:v>Metodos acertados</x:v>
      </x:c>
      <x:c r="F1" s="3" t="str">
        <x:v>Resultado 90 acertado</x:v>
      </x:c>
      <x:c r="G1" s="3" t="str">
        <x:v>Partidos pendientes</x:v>
      </x:c>
    </x:row>
    <x:row r="2" ht="15" hidden="0" customHeight="1">
      <x:c r="A2" t="str">
        <x:v>Jean</x:v>
      </x:c>
      <x:c r="B2" t="str">
        <x:v>75</x:v>
      </x:c>
      <x:c r="C2" t="str">
        <x:v>1</x:v>
      </x:c>
      <x:c r="D2" t="str">
        <x:v>6</x:v>
      </x:c>
      <x:c r="E2" t="str">
        <x:v>7</x:v>
      </x:c>
      <x:c r="F2" t="str">
        <x:v>6</x:v>
      </x:c>
      <x:c r="G2" t="str">
        <x:v>0</x:v>
      </x:c>
    </x:row>
    <x:row r="3" ht="15" hidden="0" customHeight="1">
      <x:c r="A3" t="str">
        <x:v>Freddy</x:v>
      </x:c>
      <x:c r="B3" t="str">
        <x:v>70</x:v>
      </x:c>
      <x:c r="C3" t="str">
        <x:v>0</x:v>
      </x:c>
      <x:c r="D3" t="str">
        <x:v>6</x:v>
      </x:c>
      <x:c r="E3" t="str">
        <x:v>7</x:v>
      </x:c>
      <x:c r="F3" t="str">
        <x:v>6</x:v>
      </x:c>
      <x:c r="G3" t="str">
        <x:v>0</x:v>
      </x:c>
    </x:row>
    <x:row r="4" ht="15" hidden="0" customHeight="1">
      <x:c r="A4" t="str">
        <x:v>Jorge</x:v>
      </x:c>
      <x:c r="B4" t="str">
        <x:v>61</x:v>
      </x:c>
      <x:c r="C4" t="str">
        <x:v>1</x:v>
      </x:c>
      <x:c r="D4" t="str">
        <x:v>5</x:v>
      </x:c>
      <x:c r="E4" t="str">
        <x:v>6</x:v>
      </x:c>
      <x:c r="F4" t="str">
        <x:v>5</x:v>
      </x:c>
      <x:c r="G4" t="str">
        <x:v>0</x:v>
      </x:c>
    </x:row>
    <x:row r="5" ht="15" hidden="0" customHeight="1">
      <x:c r="A5" t="str">
        <x:v>Gabriela</x:v>
      </x:c>
      <x:c r="B5" t="str">
        <x:v>61</x:v>
      </x:c>
      <x:c r="C5" t="str">
        <x:v>0</x:v>
      </x:c>
      <x:c r="D5" t="str">
        <x:v>7</x:v>
      </x:c>
      <x:c r="E5" t="str">
        <x:v>5</x:v>
      </x:c>
      <x:c r="F5" t="str">
        <x:v>5</x:v>
      </x:c>
      <x:c r="G5" t="str">
        <x:v>0</x:v>
      </x:c>
    </x:row>
    <x:row r="6" ht="15" hidden="0" customHeight="1">
      <x:c r="A6" t="str">
        <x:v>Jesus</x:v>
      </x:c>
      <x:c r="B6" t="str">
        <x:v>59</x:v>
      </x:c>
      <x:c r="C6" t="str">
        <x:v>0</x:v>
      </x:c>
      <x:c r="D6" t="str">
        <x:v>6</x:v>
      </x:c>
      <x:c r="E6" t="str">
        <x:v>6</x:v>
      </x:c>
      <x:c r="F6" t="str">
        <x:v>5</x:v>
      </x:c>
      <x:c r="G6" t="str">
        <x:v>0</x:v>
      </x:c>
    </x:row>
    <x:row r="7" ht="15" hidden="0" customHeight="1">
      <x:c r="A7" t="str">
        <x:v>Anny</x:v>
      </x:c>
      <x:c r="B7" t="str">
        <x:v>59</x:v>
      </x:c>
      <x:c r="C7" t="str">
        <x:v>0</x:v>
      </x:c>
      <x:c r="D7" t="str">
        <x:v>5</x:v>
      </x:c>
      <x:c r="E7" t="str">
        <x:v>6</x:v>
      </x:c>
      <x:c r="F7" t="str">
        <x:v>5</x:v>
      </x:c>
      <x:c r="G7" t="str">
        <x:v>0</x:v>
      </x:c>
    </x:row>
    <x:row r="8" ht="15" hidden="0" customHeight="1">
      <x:c r="A8" t="str">
        <x:v>Diego</x:v>
      </x:c>
      <x:c r="B8" t="str">
        <x:v>56</x:v>
      </x:c>
      <x:c r="C8" t="str">
        <x:v>0</x:v>
      </x:c>
      <x:c r="D8" t="str">
        <x:v>6</x:v>
      </x:c>
      <x:c r="E8" t="str">
        <x:v>5</x:v>
      </x:c>
      <x:c r="F8" t="str">
        <x:v>5</x:v>
      </x:c>
      <x:c r="G8" t="str">
        <x:v>0</x:v>
      </x:c>
    </x:row>
    <x:row r="9" ht="15" hidden="0" customHeight="1">
      <x:c r="A9" t="str">
        <x:v>Aldo</x:v>
      </x:c>
      <x:c r="B9" t="str">
        <x:v>50</x:v>
      </x:c>
      <x:c r="C9" t="str">
        <x:v>0</x:v>
      </x:c>
      <x:c r="D9" t="str">
        <x:v>4</x:v>
      </x:c>
      <x:c r="E9" t="str">
        <x:v>6</x:v>
      </x:c>
      <x:c r="F9" t="str">
        <x:v>4</x:v>
      </x:c>
      <x:c r="G9" t="str">
        <x:v>0</x:v>
      </x:c>
    </x:row>
    <x:row r="10" ht="15" hidden="0" customHeight="1">
      <x:c r="A10" t="str">
        <x:v>Alex</x:v>
      </x:c>
      <x:c r="B10" t="str">
        <x:v>49</x:v>
      </x:c>
      <x:c r="C10" t="str">
        <x:v>0</x:v>
      </x:c>
      <x:c r="D10" t="str">
        <x:v>7</x:v>
      </x:c>
      <x:c r="E10" t="str">
        <x:v>3</x:v>
      </x:c>
      <x:c r="F10" t="str">
        <x:v>4</x:v>
      </x:c>
      <x:c r="G10" t="str">
        <x:v>0</x:v>
      </x:c>
    </x:row>
    <x:row r="11" ht="15" hidden="0" customHeight="1">
      <x:c r="A11" t="str">
        <x:v>Javier</x:v>
      </x:c>
      <x:c r="B11" t="str">
        <x:v>44</x:v>
      </x:c>
      <x:c r="C11" t="str">
        <x:v>0</x:v>
      </x:c>
      <x:c r="D11" t="str">
        <x:v>4</x:v>
      </x:c>
      <x:c r="E11" t="str">
        <x:v>5</x:v>
      </x:c>
      <x:c r="F11" t="str">
        <x:v>4</x:v>
      </x:c>
      <x:c r="G11" t="str">
        <x:v>0</x:v>
      </x:c>
    </x:row>
    <x:row r="12" ht="15" hidden="0" customHeight="1">
      <x:c r="A12" t="str">
        <x:v>Gino</x:v>
      </x:c>
      <x:c r="B12" t="str">
        <x:v>42</x:v>
      </x:c>
      <x:c r="C12" t="str">
        <x:v>0</x:v>
      </x:c>
      <x:c r="D12" t="str">
        <x:v>6</x:v>
      </x:c>
      <x:c r="E12" t="str">
        <x:v>4</x:v>
      </x:c>
      <x:c r="F12" t="str">
        <x:v>3</x:v>
      </x:c>
      <x:c r="G12" t="str">
        <x:v>0</x:v>
      </x:c>
    </x:row>
    <x:row r="13" ht="15" hidden="0" customHeight="1">
      <x:c r="A13" t="str">
        <x:v>Manuel</x:v>
      </x:c>
      <x:c r="B13" t="str">
        <x:v>39</x:v>
      </x:c>
      <x:c r="C13" t="str">
        <x:v>1</x:v>
      </x:c>
      <x:c r="D13" t="str">
        <x:v>5</x:v>
      </x:c>
      <x:c r="E13" t="str">
        <x:v>2</x:v>
      </x:c>
      <x:c r="F13" t="str">
        <x:v>2</x:v>
      </x:c>
      <x:c r="G13" t="str">
        <x:v>0</x:v>
      </x:c>
    </x:row>
    <x:row r="14" ht="15" hidden="0" customHeight="1">
      <x:c r="A14" t="str">
        <x:v>Juan</x:v>
      </x:c>
      <x:c r="B14" t="str">
        <x:v>36</x:v>
      </x:c>
      <x:c r="C14" t="str">
        <x:v>0</x:v>
      </x:c>
      <x:c r="D14" t="str">
        <x:v>5</x:v>
      </x:c>
      <x:c r="E14" t="str">
        <x:v>3</x:v>
      </x:c>
      <x:c r="F14" t="str">
        <x:v>3</x:v>
      </x:c>
      <x:c r="G14" t="str">
        <x:v>0</x:v>
      </x:c>
    </x:row>
    <x:row r="15" ht="15" hidden="0" customHeight="1">
      <x:c r="A15" t="str">
        <x:v>Arthur</x:v>
      </x:c>
      <x:c r="B15" t="str">
        <x:v>35</x:v>
      </x:c>
      <x:c r="C15" t="str">
        <x:v>0</x:v>
      </x:c>
      <x:c r="D15" t="str">
        <x:v>5</x:v>
      </x:c>
      <x:c r="E15" t="str">
        <x:v>4</x:v>
      </x:c>
      <x:c r="F15" t="str">
        <x:v>2</x:v>
      </x:c>
      <x:c r="G15" t="str">
        <x:v>0</x:v>
      </x:c>
    </x:row>
    <x:row r="16" ht="15" hidden="0" customHeight="1">
      <x:c r="A16" t="str">
        <x:v>Oscar</x:v>
      </x:c>
      <x:c r="B16" t="str">
        <x:v>32</x:v>
      </x:c>
      <x:c r="C16" t="str">
        <x:v>0</x:v>
      </x:c>
      <x:c r="D16" t="str">
        <x:v>5</x:v>
      </x:c>
      <x:c r="E16" t="str">
        <x:v>2</x:v>
      </x:c>
      <x:c r="F16" t="str">
        <x:v>2</x:v>
      </x:c>
      <x:c r="G16" t="str">
        <x:v>0</x:v>
      </x:c>
    </x:row>
    <x:row r="17" ht="15" hidden="0" customHeight="1">
      <x:c r="A17" t="str">
        <x:v>Daniel</x:v>
      </x:c>
      <x:c r="B17" t="str">
        <x:v>32</x:v>
      </x:c>
      <x:c r="C17" t="str">
        <x:v>0</x:v>
      </x:c>
      <x:c r="D17" t="str">
        <x:v>2</x:v>
      </x:c>
      <x:c r="E17" t="str">
        <x:v>3</x:v>
      </x:c>
      <x:c r="F17" t="str">
        <x:v>3</x:v>
      </x:c>
      <x:c r="G17" t="str">
        <x:v>0</x:v>
      </x:c>
    </x:row>
    <x:row r="18" ht="15" hidden="0" customHeight="1">
      <x:c r="A18" t="str">
        <x:v>Moises</x:v>
      </x:c>
      <x:c r="B18" t="str">
        <x:v>27</x:v>
      </x:c>
      <x:c r="C18" t="str">
        <x:v>0</x:v>
      </x:c>
      <x:c r="D18" t="str">
        <x:v>5</x:v>
      </x:c>
      <x:c r="E18" t="str">
        <x:v>1</x:v>
      </x:c>
      <x:c r="F18" t="str">
        <x:v>2</x:v>
      </x:c>
      <x:c r="G18" t="str">
        <x:v>0</x:v>
      </x:c>
    </x:row>
    <x:row r="19" ht="15" hidden="0" customHeight="1">
      <x:c r="A19" t="str">
        <x:v>Fernando</x:v>
      </x:c>
      <x:c r="B19" t="str">
        <x:v>25</x:v>
      </x:c>
      <x:c r="C19" t="str">
        <x:v>0</x:v>
      </x:c>
      <x:c r="D19" t="str">
        <x:v>3</x:v>
      </x:c>
      <x:c r="E19" t="str">
        <x:v>3</x:v>
      </x:c>
      <x:c r="F19" t="str">
        <x:v>2</x:v>
      </x:c>
      <x:c r="G19" t="str">
        <x:v>0</x:v>
      </x:c>
    </x:row>
    <x:row r="20" ht="15" hidden="0" customHeight="1">
      <x:c r="A20" t="str">
        <x:v>Diana</x:v>
      </x:c>
      <x:c r="B20" t="str">
        <x:v>25</x:v>
      </x:c>
      <x:c r="C20" t="str">
        <x:v>0</x:v>
      </x:c>
      <x:c r="D20" t="str">
        <x:v>3</x:v>
      </x:c>
      <x:c r="E20" t="str">
        <x:v>2</x:v>
      </x:c>
      <x:c r="F20" t="str">
        <x:v>2</x:v>
      </x:c>
      <x:c r="G20" t="str">
        <x:v>0</x:v>
      </x:c>
    </x:row>
    <x:row r="21" ht="15" hidden="0" customHeight="1">
      <x:c r="A21" t="str">
        <x:v>Jose Luis</x:v>
      </x:c>
      <x:c r="B21" t="str">
        <x:v>0</x:v>
      </x:c>
      <x:c r="C21" t="str">
        <x:v>0</x:v>
      </x:c>
      <x:c r="D21" t="str">
        <x:v>0</x:v>
      </x:c>
      <x:c r="E21" t="str">
        <x:v>0</x:v>
      </x:c>
      <x:c r="F21" t="str">
        <x:v>0</x:v>
      </x:c>
      <x:c r="G21" t="str">
        <x:v>0</x:v>
      </x:c>
    </x:row>
    <x:row r="22" ht="15" hidden="0" customHeight="1">
      <x:c r="A22" t="str">
        <x:v>Marcelo</x:v>
      </x:c>
      <x:c r="B22" t="str">
        <x:v>0</x:v>
      </x:c>
      <x:c r="C22" t="str">
        <x:v>0</x:v>
      </x:c>
      <x:c r="D22" t="str">
        <x:v>0</x:v>
      </x:c>
      <x:c r="E22" t="str">
        <x:v>0</x:v>
      </x:c>
      <x:c r="F22" t="str">
        <x:v>0</x:v>
      </x:c>
      <x:c r="G22" t="str">
        <x:v>0</x:v>
      </x:c>
    </x:row>
    <x:row r="23" ht="15" hidden="0" customHeight="1">
      <x:c r="A23" t="str">
        <x:v>Omar</x:v>
      </x:c>
      <x:c r="B23" t="str">
        <x:v>0</x:v>
      </x:c>
      <x:c r="C23" t="str">
        <x:v>0</x:v>
      </x:c>
      <x:c r="D23" t="str">
        <x:v>0</x:v>
      </x:c>
      <x:c r="E23" t="str">
        <x:v>0</x:v>
      </x:c>
      <x:c r="F23" t="str">
        <x:v>0</x:v>
      </x:c>
      <x:c r="G23" t="str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299991607666" hidden="0" customWidth="1"/>
    <x:col min="2" max="2" width="16.1299991607666" hidden="0" customWidth="1"/>
    <x:col min="3" max="3" width="21.5" hidden="0" customWidth="1"/>
    <x:col min="4" max="4" width="47.380001068115234" hidden="0" customWidth="1"/>
    <x:col min="5" max="5" width="46.5" hidden="0" customWidth="1"/>
  </x:cols>
  <x:sheetData>
    <x:row r="1" ht="15" hidden="0" customHeight="1">
      <x:c r="A1" s="3" t="str">
        <x:v>Fuente</x:v>
      </x:c>
      <x:c r="B1" s="3" t="str">
        <x:v>Respuestas cargadas</x:v>
      </x:c>
      <x:c r="C1" s="3" t="str">
        <x:v>Participantes sin respuesta</x:v>
      </x:c>
      <x:c r="D1" s="3" t="str">
        <x:v>Detalle</x:v>
      </x:c>
      <x:c r="E1" s="3"/>
    </x:row>
    <x:row r="2" ht="15" hidden="0" customHeight="1">
      <x:c r="A2" t="str">
        <x:v>Cuartos</x:v>
      </x:c>
      <x:c r="B2" t="n">
        <x:v>17</x:v>
      </x:c>
      <x:c r="C2" t="n">
        <x:v>5</x:v>
      </x:c>
      <x:c r="D2" t="str">
        <x:v>Juan, José Luis, Marcelo, Omar, Diana</x:v>
      </x:c>
      <x:c r="E2"/>
    </x:row>
    <x:row r="3" ht="15" hidden="0" customHeight="1">
      <x:c r="A3" t="str">
        <x:v>Semifinal</x:v>
      </x:c>
      <x:c r="B3" t="n">
        <x:v>16</x:v>
      </x:c>
      <x:c r="C3" t="n">
        <x:v>6</x:v>
      </x:c>
      <x:c r="D3" t="str">
        <x:v>Javier, Daniel, José Luis, Marcelo, Omar, Diana</x:v>
      </x:c>
      <x:c r="E3"/>
    </x:row>
    <x:row r="4" ht="15" hidden="0" customHeight="1">
      <x:c r="A4" t="str">
        <x:v>Final y tercer puesto</x:v>
      </x:c>
      <x:c r="B4" t="n">
        <x:v>14</x:v>
      </x:c>
      <x:c r="C4" t="n">
        <x:v>8</x:v>
      </x:c>
      <x:c r="D4" t="str">
        <x:v>Javier, Manuel, Daniel, José Luis, Marcelo, Moisés, Omar, Diana</x:v>
      </x:c>
      <x:c r="E4"/>
    </x:row>
    <x:row r="5" ht="15" hidden="0" customHeight="1">
      <x:c r="A5" t="str">
        <x:v>Formula vs calculo JS</x:v>
      </x:c>
      <x:c r="B5" t="n">
        <x:v>352</x:v>
      </x:c>
      <x:c r="C5" t="n">
        <x:v>0</x:v>
      </x:c>
      <x:c r="D5" t="str">
        <x:v>OK</x:v>
      </x:c>
      <x:c r="E5"/>
    </x:row>
    <x:row r="6" ht="15" hidden="0" customHeight="1">
      <x:c r="A6"/>
      <x:c r="B6"/>
      <x:c r="C6"/>
      <x:c r="D6"/>
      <x:c r="E6"/>
    </x:row>
    <x:row r="7" ht="15" hidden="0" customHeight="1">
      <x:c r="A7" s="2" t="str">
        <x:v>Participante</x:v>
      </x:c>
      <x:c r="B7" s="2" t="str">
        <x:v>8vos cerrado</x:v>
      </x:c>
      <x:c r="C7" s="2" t="str">
        <x:v>8vos recalculado disponible</x:v>
      </x:c>
      <x:c r="D7" s="2" t="str">
        <x:v>Diferencia</x:v>
      </x:c>
      <x:c r="E7" s="2" t="str">
        <x:v>Nota</x:v>
      </x:c>
    </x:row>
    <x:row r="8" ht="15" hidden="0" customHeight="1">
      <x:c r="A8" t="str">
        <x:v>Jean</x:v>
      </x:c>
      <x:c r="B8" t="n">
        <x:v>75</x:v>
      </x:c>
      <x:c r="C8" t="n">
        <x:v>72</x:v>
      </x:c>
      <x:c r="D8" t="n">
        <x:v>-3</x:v>
      </x:c>
      <x:c r="E8" t="str">
        <x:v>Diferencia: la base cerrada no cuadra con el detalle disponible</x:v>
      </x:c>
    </x:row>
    <x:row r="9" ht="15" hidden="0" customHeight="1">
      <x:c r="A9" t="str">
        <x:v>Jorge</x:v>
      </x:c>
      <x:c r="B9" t="n">
        <x:v>61</x:v>
      </x:c>
      <x:c r="C9" t="n">
        <x:v>52</x:v>
      </x:c>
      <x:c r="D9" t="n">
        <x:v>-9</x:v>
      </x:c>
      <x:c r="E9" t="str">
        <x:v>Diferencia: la base cerrada no cuadra con el detalle disponible</x:v>
      </x:c>
    </x:row>
    <x:row r="10" ht="15" hidden="0" customHeight="1">
      <x:c r="A10" t="str">
        <x:v>Freddy</x:v>
      </x:c>
      <x:c r="B10" t="n">
        <x:v>70</x:v>
      </x:c>
      <x:c r="C10" t="n">
        <x:v>68</x:v>
      </x:c>
      <x:c r="D10" t="n">
        <x:v>-2</x:v>
      </x:c>
      <x:c r="E10" t="str">
        <x:v>Diferencia: la base cerrada no cuadra con el detalle disponible</x:v>
      </x:c>
    </x:row>
    <x:row r="11" ht="15" hidden="0" customHeight="1">
      <x:c r="A11" t="str">
        <x:v>Jesús</x:v>
      </x:c>
      <x:c r="B11" t="n">
        <x:v>59</x:v>
      </x:c>
      <x:c r="C11" t="n">
        <x:v>57</x:v>
      </x:c>
      <x:c r="D11" t="n">
        <x:v>-2</x:v>
      </x:c>
      <x:c r="E11" t="str">
        <x:v>Diferencia: la base cerrada no cuadra con el detalle disponible</x:v>
      </x:c>
    </x:row>
    <x:row r="12" ht="15" hidden="0" customHeight="1">
      <x:c r="A12" t="str">
        <x:v>Gabriela</x:v>
      </x:c>
      <x:c r="B12" t="n">
        <x:v>61</x:v>
      </x:c>
      <x:c r="C12" t="n">
        <x:v>61</x:v>
      </x:c>
      <x:c r="D12" t="n">
        <x:v>0</x:v>
      </x:c>
      <x:c r="E12" t="str">
        <x:v>OK</x:v>
      </x:c>
    </x:row>
    <x:row r="13" ht="15" hidden="0" customHeight="1">
      <x:c r="A13" t="str">
        <x:v>Alex</x:v>
      </x:c>
      <x:c r="B13" t="n">
        <x:v>49</x:v>
      </x:c>
      <x:c r="C13" t="n">
        <x:v>44</x:v>
      </x:c>
      <x:c r="D13" t="n">
        <x:v>-5</x:v>
      </x:c>
      <x:c r="E13" t="str">
        <x:v>Diferencia: la base cerrada no cuadra con el detalle disponible</x:v>
      </x:c>
    </x:row>
    <x:row r="14" ht="15" hidden="0" customHeight="1">
      <x:c r="A14" t="str">
        <x:v>Diego</x:v>
      </x:c>
      <x:c r="B14" t="n">
        <x:v>56</x:v>
      </x:c>
      <x:c r="C14" t="n">
        <x:v>47</x:v>
      </x:c>
      <x:c r="D14" t="n">
        <x:v>-9</x:v>
      </x:c>
      <x:c r="E14" t="str">
        <x:v>Diferencia: la base cerrada no cuadra con el detalle disponible</x:v>
      </x:c>
    </x:row>
    <x:row r="15" ht="15" hidden="0" customHeight="1">
      <x:c r="A15" t="str">
        <x:v>Anny</x:v>
      </x:c>
      <x:c r="B15" t="n">
        <x:v>59</x:v>
      </x:c>
      <x:c r="C15" t="n">
        <x:v>48</x:v>
      </x:c>
      <x:c r="D15" t="n">
        <x:v>-11</x:v>
      </x:c>
      <x:c r="E15" t="str">
        <x:v>Diferencia: la base cerrada no cuadra con el detalle disponible</x:v>
      </x:c>
    </x:row>
    <x:row r="16" ht="15" hidden="0" customHeight="1">
      <x:c r="A16" t="str">
        <x:v>Aldo</x:v>
      </x:c>
      <x:c r="B16" t="n">
        <x:v>50</x:v>
      </x:c>
      <x:c r="C16" t="n">
        <x:v>45</x:v>
      </x:c>
      <x:c r="D16" t="n">
        <x:v>-5</x:v>
      </x:c>
      <x:c r="E16" t="str">
        <x:v>Diferencia: la base cerrada no cuadra con el detalle disponible</x:v>
      </x:c>
    </x:row>
    <x:row r="17" ht="15" hidden="0" customHeight="1">
      <x:c r="A17" t="str">
        <x:v>Arthur</x:v>
      </x:c>
      <x:c r="B17" t="n">
        <x:v>35</x:v>
      </x:c>
      <x:c r="C17" t="n">
        <x:v>30</x:v>
      </x:c>
      <x:c r="D17" t="n">
        <x:v>-5</x:v>
      </x:c>
      <x:c r="E17" t="str">
        <x:v>Diferencia: la base cerrada no cuadra con el detalle disponible</x:v>
      </x:c>
    </x:row>
    <x:row r="18" ht="15" hidden="0" customHeight="1">
      <x:c r="A18" t="str">
        <x:v>Manuel</x:v>
      </x:c>
      <x:c r="B18" t="n">
        <x:v>39</x:v>
      </x:c>
      <x:c r="C18" t="n">
        <x:v>30</x:v>
      </x:c>
      <x:c r="D18" t="n">
        <x:v>-9</x:v>
      </x:c>
      <x:c r="E18" t="str">
        <x:v>Diferencia: la base cerrada no cuadra con el detalle disponible</x:v>
      </x:c>
    </x:row>
    <x:row r="19" ht="15" hidden="0" customHeight="1">
      <x:c r="A19" t="str">
        <x:v>Daniel</x:v>
      </x:c>
      <x:c r="B19" t="n">
        <x:v>32</x:v>
      </x:c>
      <x:c r="C19" t="n">
        <x:v>24</x:v>
      </x:c>
      <x:c r="D19" t="n">
        <x:v>-8</x:v>
      </x:c>
      <x:c r="E19" t="str">
        <x:v>Diferencia: la base cerrada no cuadra con el detalle disponible</x:v>
      </x:c>
    </x:row>
    <x:row r="20" ht="15" hidden="0" customHeight="1">
      <x:c r="A20" t="str">
        <x:v>Óscar</x:v>
      </x:c>
      <x:c r="B20" t="n">
        <x:v>32</x:v>
      </x:c>
      <x:c r="C20" t="n">
        <x:v>23</x:v>
      </x:c>
      <x:c r="D20" t="n">
        <x:v>-9</x:v>
      </x:c>
      <x:c r="E20" t="str">
        <x:v>Diferencia: la base cerrada no cuadra con el detalle disponible</x:v>
      </x:c>
    </x:row>
    <x:row r="21" ht="15" hidden="0" customHeight="1">
      <x:c r="A21" t="str">
        <x:v>Fernando</x:v>
      </x:c>
      <x:c r="B21" t="n">
        <x:v>25</x:v>
      </x:c>
      <x:c r="C21" t="n">
        <x:v>16</x:v>
      </x:c>
      <x:c r="D21" t="n">
        <x:v>-9</x:v>
      </x:c>
      <x:c r="E21" t="str">
        <x:v>Diferencia: la base cerrada no cuadra con el detalle disponible</x:v>
      </x:c>
    </x:row>
    <x:row r="22" ht="15" hidden="0" customHeight="1">
      <x:c r="A22" t="str">
        <x:v>Moisés</x:v>
      </x:c>
      <x:c r="B22" t="n">
        <x:v>27</x:v>
      </x:c>
      <x:c r="C22" t="n">
        <x:v>22</x:v>
      </x:c>
      <x:c r="D22" t="n">
        <x:v>-5</x:v>
      </x:c>
      <x:c r="E22" t="str">
        <x:v>Diferencia: la base cerrada no cuadra con el detalle disponible</x:v>
      </x:c>
    </x:row>
    <x:row r="23" ht="15" hidden="0" customHeight="1">
      <x:c r="A23" t="str">
        <x:v>Gino</x:v>
      </x:c>
      <x:c r="B23" t="n">
        <x:v>42</x:v>
      </x:c>
      <x:c r="C23" t="n">
        <x:v>40</x:v>
      </x:c>
      <x:c r="D23" t="n">
        <x:v>-2</x:v>
      </x:c>
      <x:c r="E23" t="str">
        <x:v>Diferencia: la base cerrada no cuadra con el detalle disponible</x:v>
      </x:c>
    </x:row>
    <x:row r="24" ht="15" hidden="0" customHeight="1">
      <x:c r="A24" t="str">
        <x:v>Javier</x:v>
      </x:c>
      <x:c r="B24" t="n">
        <x:v>44</x:v>
      </x:c>
      <x:c r="C24" t="n">
        <x:v>34</x:v>
      </x:c>
      <x:c r="D24" t="n">
        <x:v>-10</x:v>
      </x:c>
      <x:c r="E24" t="str">
        <x:v>Diferencia: la base cerrada no cuadra con el detalle disponible</x:v>
      </x:c>
    </x:row>
    <x:row r="25" ht="15" hidden="0" customHeight="1">
      <x:c r="A25" t="str">
        <x:v>Juan</x:v>
      </x:c>
      <x:c r="B25" t="n">
        <x:v>36</x:v>
      </x:c>
      <x:c r="C25" t="n">
        <x:v>36</x:v>
      </x:c>
      <x:c r="D25" t="n">
        <x:v>0</x:v>
      </x:c>
      <x:c r="E25" t="str">
        <x:v>OK</x:v>
      </x:c>
    </x:row>
    <x:row r="26" ht="15" hidden="0" customHeight="1">
      <x:c r="A26" t="str">
        <x:v>Diana</x:v>
      </x:c>
      <x:c r="B26" t="n">
        <x:v>25</x:v>
      </x:c>
      <x:c r="C26" t="n">
        <x:v>25</x:v>
      </x:c>
      <x:c r="D26" t="n">
        <x:v>0</x:v>
      </x:c>
      <x:c r="E26" t="str">
        <x:v>OK</x:v>
      </x:c>
    </x:row>
    <x:row r="27" ht="15" hidden="0" customHeight="1">
      <x:c r="A27" t="str">
        <x:v>José Luis</x:v>
      </x:c>
      <x:c r="B27" t="n">
        <x:v>0</x:v>
      </x:c>
      <x:c r="C27" t="n">
        <x:v>0</x:v>
      </x:c>
      <x:c r="D27" t="n">
        <x:v>0</x:v>
      </x:c>
      <x:c r="E27" t="str">
        <x:v>OK</x:v>
      </x:c>
    </x:row>
    <x:row r="28" ht="15" hidden="0" customHeight="1">
      <x:c r="A28" t="str">
        <x:v>Marcelo</x:v>
      </x:c>
      <x:c r="B28" t="n">
        <x:v>0</x:v>
      </x:c>
      <x:c r="C28" t="n">
        <x:v>0</x:v>
      </x:c>
      <x:c r="D28" t="n">
        <x:v>0</x:v>
      </x:c>
      <x:c r="E28" t="str">
        <x:v>OK</x:v>
      </x:c>
    </x:row>
    <x:row r="29" ht="15" hidden="0" customHeight="1">
      <x:c r="A29" t="str">
        <x:v>Omar</x:v>
      </x:c>
      <x:c r="B29" t="n">
        <x:v>0</x:v>
      </x:c>
      <x:c r="C29" t="n">
        <x:v>0</x:v>
      </x:c>
      <x:c r="D29" t="n">
        <x:v>0</x:v>
      </x:c>
      <x:c r="E29" t="str">
        <x:v>OK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5.75" hidden="0" customWidth="1"/>
    <x:col min="3" max="3" width="85.75" hidden="0" customWidth="1"/>
  </x:cols>
  <x:sheetData>
    <x:row r="1" ht="15" hidden="0" customHeight="1">
      <x:c r="A1" s="3" t="str">
        <x:v>Fuente</x:v>
      </x:c>
      <x:c r="B1" s="3" t="str">
        <x:v>Uso</x:v>
      </x:c>
      <x:c r="C1" s="3" t="str">
        <x:v>Enlace o archivo</x:v>
      </x:c>
    </x:row>
    <x:row r="2" ht="15" hidden="0" customHeight="1">
      <x:c r="A2" t="str">
        <x:v>Octavos acumulado</x:v>
      </x:c>
      <x:c r="B2" t="str">
        <x:v>Base cerrada de puntos</x:v>
      </x:c>
      <x:c r="C2" t="str">
        <x:v>docs/data/octavos_acumulado.csv</x:v>
      </x:c>
    </x:row>
    <x:row r="3" ht="15" hidden="0" customHeight="1">
      <x:c r="A3" t="str">
        <x:v>Octavos detalle</x:v>
      </x:c>
      <x:c r="B3" t="str">
        <x:v>Trazabilidad reconstruida y recalculo disponible</x:v>
      </x:c>
      <x:c r="C3" t="str">
        <x:v>docs/data/octavos_detalle.json</x:v>
      </x:c>
    </x:row>
    <x:row r="4" ht="15" hidden="0" customHeight="1">
      <x:c r="A4" t="str">
        <x:v>Formulario cuartos</x:v>
      </x:c>
      <x:c r="B4" t="str">
        <x:v>Apuestas de cuartos</x:v>
      </x:c>
      <x:c r="C4" t="str">
        <x:v>https://docs.google.com/spreadsheets/d/1OkowhSrhW751BF8ioQmtRRJjmgXetYr3IDL8LUzbocg/edit</x:v>
      </x:c>
    </x:row>
    <x:row r="5" ht="15" hidden="0" customHeight="1">
      <x:c r="A5" t="str">
        <x:v>Formulario semifinal</x:v>
      </x:c>
      <x:c r="B5" t="str">
        <x:v>Apuestas de semifinal</x:v>
      </x:c>
      <x:c r="C5" t="str">
        <x:v>https://docs.google.com/spreadsheets/d/1HtTTk8JwGKw8KqGIA10DHtXgPNUcxXEepmrIYtGIPSQ/edit</x:v>
      </x:c>
    </x:row>
    <x:row r="6" ht="15" hidden="0" customHeight="1">
      <x:c r="A6" t="str">
        <x:v>Formulario final/tercer puesto</x:v>
      </x:c>
      <x:c r="B6" t="str">
        <x:v>Apuestas de cierre</x:v>
      </x:c>
      <x:c r="C6" t="str">
        <x:v>https://docs.google.com/spreadsheets/d/1KBz49QeUbgGDkSCgKQTwgbaiIVZ8Rxc638dKsCQx_Wc/edit</x:v>
      </x:c>
    </x:row>
    <x:row r="7" ht="15" hidden="0" customHeight="1">
      <x:c r="A7" t="str">
        <x:v>ESPN scoreboard API</x:v>
      </x:c>
      <x:c r="B7" t="str">
        <x:v>Resultados oficiales desde cuartos hasta final</x:v>
      </x:c>
      <x:c r="C7" t="str">
        <x:v>https://site.api.espn.com/apis/site/v2/sports/soccer/fifa.world/scoreboard?limit=200&amp;dates=20260709-20260720</x:v>
      </x:c>
    </x:row>
  </x:sheetData>
  <x:pageMargins left="0.7" right="0.7" top="0.75" bottom="0.75" header="0.3" footer="0.3"/>
</x:worksheet>
</file>