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465bb2119642a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a233b4b3725a46a8"/>
    <x:sheet xmlns:r="http://schemas.openxmlformats.org/officeDocument/2006/relationships" name="Tabla_Posiciones" sheetId="2" r:id="R61f045bf42934e1c"/>
    <x:sheet xmlns:r="http://schemas.openxmlformats.org/officeDocument/2006/relationships" name="Resultados" sheetId="3" r:id="R0d89d27988334cee"/>
    <x:sheet xmlns:r="http://schemas.openxmlformats.org/officeDocument/2006/relationships" name="Reglas" sheetId="4" r:id="R6454f7f286a94ca2"/>
    <x:sheet xmlns:r="http://schemas.openxmlformats.org/officeDocument/2006/relationships" name="Detalle_Todo" sheetId="5" r:id="R3f732bc403bf4ce5"/>
    <x:sheet xmlns:r="http://schemas.openxmlformats.org/officeDocument/2006/relationships" name="8vos_Tabla" sheetId="6" r:id="R73e14bf0b5d74928"/>
    <x:sheet xmlns:r="http://schemas.openxmlformats.org/officeDocument/2006/relationships" name="8vos_Detalle" sheetId="7" r:id="R88a584dc219545ee"/>
    <x:sheet xmlns:r="http://schemas.openxmlformats.org/officeDocument/2006/relationships" name="4tos_Detalle" sheetId="8" r:id="Ra6f50cb14f5f45d6"/>
    <x:sheet xmlns:r="http://schemas.openxmlformats.org/officeDocument/2006/relationships" name="Semis_Detalle" sheetId="9" r:id="Ra6214a1af69a4eb8"/>
    <x:sheet xmlns:r="http://schemas.openxmlformats.org/officeDocument/2006/relationships" name="Final_Detalle" sheetId="10" r:id="R52008766c7744072"/>
    <x:sheet xmlns:r="http://schemas.openxmlformats.org/officeDocument/2006/relationships" name="Respuestas_8vos" sheetId="11" r:id="R1e4a9fb86cfa4470"/>
    <x:sheet xmlns:r="http://schemas.openxmlformats.org/officeDocument/2006/relationships" name="Respuestas_4tos" sheetId="12" r:id="R2e613f00cc7c4d21"/>
    <x:sheet xmlns:r="http://schemas.openxmlformats.org/officeDocument/2006/relationships" name="Respuestas_Semis" sheetId="13" r:id="R48d62cf070414af8"/>
    <x:sheet xmlns:r="http://schemas.openxmlformats.org/officeDocument/2006/relationships" name="Respuestas_Final" sheetId="14" r:id="R7198415b91904cbf"/>
    <x:sheet xmlns:r="http://schemas.openxmlformats.org/officeDocument/2006/relationships" name="Fuentes" sheetId="15" r:id="Re2f68045702c42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borderId="0" xfId="0" applyNumberFormat="1" applyFont="1" applyFill="0" applyBorder="1"/>
    <x:xf numFmtId="0" fontId="1" borderId="0" xfId="0" applyNumberFormat="1" applyFont="1" applyFill="0" applyBorder="1"/>
    <x:xf numFmtId="0" fontId="1" borderId="0" xfId="0" applyNumberFormat="1" applyFont="1" applyFill="0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c5369ccdd734d4c" /><Relationship Type="http://schemas.openxmlformats.org/officeDocument/2006/relationships/theme" Target="/xl/theme/theme1.xml" Id="Rf3e8c63a00fa48cd" /><Relationship Type="http://schemas.openxmlformats.org/officeDocument/2006/relationships/sharedStrings" Target="/xl/sharedStrings.xml" Id="R8794c1cf175b4cf7" /><Relationship Type="http://schemas.openxmlformats.org/officeDocument/2006/relationships/worksheet" Target="/xl/worksheets/sheet1.xml" Id="Ra233b4b3725a46a8" /><Relationship Type="http://schemas.openxmlformats.org/officeDocument/2006/relationships/worksheet" Target="/xl/worksheets/sheet2.xml" Id="R61f045bf42934e1c" /><Relationship Type="http://schemas.openxmlformats.org/officeDocument/2006/relationships/worksheet" Target="/xl/worksheets/sheet3.xml" Id="R0d89d27988334cee" /><Relationship Type="http://schemas.openxmlformats.org/officeDocument/2006/relationships/worksheet" Target="/xl/worksheets/sheet4.xml" Id="R6454f7f286a94ca2" /><Relationship Type="http://schemas.openxmlformats.org/officeDocument/2006/relationships/worksheet" Target="/xl/worksheets/sheet5.xml" Id="R3f732bc403bf4ce5" /><Relationship Type="http://schemas.openxmlformats.org/officeDocument/2006/relationships/worksheet" Target="/xl/worksheets/sheet6.xml" Id="R73e14bf0b5d74928" /><Relationship Type="http://schemas.openxmlformats.org/officeDocument/2006/relationships/worksheet" Target="/xl/worksheets/sheet7.xml" Id="R88a584dc219545ee" /><Relationship Type="http://schemas.openxmlformats.org/officeDocument/2006/relationships/worksheet" Target="/xl/worksheets/sheet8.xml" Id="Ra6f50cb14f5f45d6" /><Relationship Type="http://schemas.openxmlformats.org/officeDocument/2006/relationships/worksheet" Target="/xl/worksheets/sheet9.xml" Id="Ra6214a1af69a4eb8" /><Relationship Type="http://schemas.openxmlformats.org/officeDocument/2006/relationships/worksheet" Target="/xl/worksheets/sheet10.xml" Id="R52008766c7744072" /><Relationship Type="http://schemas.openxmlformats.org/officeDocument/2006/relationships/worksheet" Target="/xl/worksheets/sheet11.xml" Id="R1e4a9fb86cfa4470" /><Relationship Type="http://schemas.openxmlformats.org/officeDocument/2006/relationships/worksheet" Target="/xl/worksheets/sheet12.xml" Id="R2e613f00cc7c4d21" /><Relationship Type="http://schemas.openxmlformats.org/officeDocument/2006/relationships/worksheet" Target="/xl/worksheets/sheet13.xml" Id="R48d62cf070414af8" /><Relationship Type="http://schemas.openxmlformats.org/officeDocument/2006/relationships/worksheet" Target="/xl/worksheets/sheet14.xml" Id="R7198415b91904cbf" /><Relationship Type="http://schemas.openxmlformats.org/officeDocument/2006/relationships/worksheet" Target="/xl/worksheets/sheet15.xml" Id="Re2f68045702c42dd" /></Relationships>
</file>

<file path=xl/tables/table1.xml><?xml version="1.0" encoding="utf-8"?>
<x:table xmlns:x="http://schemas.openxmlformats.org/spreadsheetml/2006/main" id="1" name="TablaPosiciones" displayName="TablaPosiciones" ref="A1:L23" headerRowCount="1" totalsRowCount="0" totalsRowShown="0">
  <x:autoFilter ref="A1:L23"/>
  <x:tableColumns count="12">
    <x:tableColumn id="1" name="Puesto"/>
    <x:tableColumn id="2" name="Participante"/>
    <x:tableColumn id="3" name="8vos"/>
    <x:tableColumn id="4" name="4tos"/>
    <x:tableColumn id="5" name="Semifinal"/>
    <x:tableColumn id="6" name="Tercer puesto"/>
    <x:tableColumn id="7" name="Final"/>
    <x:tableColumn id="8" name="Total"/>
    <x:tableColumn id="9" name="Exactos"/>
    <x:tableColumn id="10" name="Clasificados"/>
    <x:tableColumn id="11" name="Vias"/>
    <x:tableColumn id="12" name="Sin respuesta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ablaResultados" displayName="TablaResultados" ref="A1:I17" headerRowCount="1" totalsRowCount="0" totalsRowShown="0">
  <x:autoFilter ref="A1:I17"/>
  <x:tableColumns count="9">
    <x:tableColumn id="1" name="Fase"/>
    <x:tableColumn id="2" name="Partido"/>
    <x:tableColumn id="3" name="Equipo A"/>
    <x:tableColumn id="4" name="Equipo B"/>
    <x:tableColumn id="5" name="Marcador A"/>
    <x:tableColumn id="6" name="Marcador B"/>
    <x:tableColumn id="7" name="Clasificado/Ganador"/>
    <x:tableColumn id="8" name="Via oficial"/>
    <x:tableColumn id="9" name="Fuen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etalleTodo" displayName="DetalleTodo" ref="A1:W353" headerRowCount="1" totalsRowCount="0" totalsRowShown="0">
  <x:autoFilter ref="A1:W353"/>
  <x:tableColumns count="23">
    <x:tableColumn id="1" name="Fase"/>
    <x:tableColumn id="2" name="Partido"/>
    <x:tableColumn id="3" name="Participante"/>
    <x:tableColumn id="4" name="Equipo A"/>
    <x:tableColumn id="5" name="Equipo B"/>
    <x:tableColumn id="6" name="Apuesta A"/>
    <x:tableColumn id="7" name="Apuesta B"/>
    <x:tableColumn id="8" name="Clasificado apostado"/>
    <x:tableColumn id="9" name="Via apostada"/>
    <x:tableColumn id="10" name="Oficial A"/>
    <x:tableColumn id="11" name="Oficial B"/>
    <x:tableColumn id="12" name="Clasificado oficial"/>
    <x:tableColumn id="13" name="Via oficial"/>
    <x:tableColumn id="14" name="Pts 90"/>
    <x:tableColumn id="15" name="Pts Clasif"/>
    <x:tableColumn id="16" name="Pts Via"/>
    <x:tableColumn id="17" name="Pts Marcador"/>
    <x:tableColumn id="18" name="Pts Dif"/>
    <x:tableColumn id="19" name="Pts Gol A"/>
    <x:tableColumn id="20" name="Pts Gol B"/>
    <x:tableColumn id="21" name="Total"/>
    <x:tableColumn id="22" name="Nota"/>
    <x:tableColumn id="23" name="Fuen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abla8vos" displayName="Tabla8vos" ref="A1:G23" headerRowCount="1" totalsRowCount="0" totalsRowShown="0">
  <x:autoFilter ref="A1:G23"/>
  <x:tableColumns count="7">
    <x:tableColumn id="1" name="Participante"/>
    <x:tableColumn id="2" name="Total puntos"/>
    <x:tableColumn id="3" name="Marcadores exactos"/>
    <x:tableColumn id="4" name="Clasificados acertados"/>
    <x:tableColumn id="5" name="Metodos acertados"/>
    <x:tableColumn id="6" name="Resultado 90 acertado"/>
    <x:tableColumn id="7" name="Partidos pendien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Detalle8vos" displayName="Detalle8vos" ref="A1:W177" headerRowCount="1" totalsRowCount="0" totalsRowShown="0">
  <x:autoFilter ref="A1:W177"/>
  <x:tableColumns count="23">
    <x:tableColumn id="1" name="Fase"/>
    <x:tableColumn id="2" name="Partido"/>
    <x:tableColumn id="3" name="Participante"/>
    <x:tableColumn id="4" name="Equipo A"/>
    <x:tableColumn id="5" name="Equipo B"/>
    <x:tableColumn id="6" name="Apuesta A"/>
    <x:tableColumn id="7" name="Apuesta B"/>
    <x:tableColumn id="8" name="Clasificado apostado"/>
    <x:tableColumn id="9" name="Via apostada"/>
    <x:tableColumn id="10" name="Oficial A"/>
    <x:tableColumn id="11" name="Oficial B"/>
    <x:tableColumn id="12" name="Clasificado oficial"/>
    <x:tableColumn id="13" name="Via oficial"/>
    <x:tableColumn id="14" name="Pts 90"/>
    <x:tableColumn id="15" name="Pts Clasif"/>
    <x:tableColumn id="16" name="Pts Via"/>
    <x:tableColumn id="17" name="Pts Marcador"/>
    <x:tableColumn id="18" name="Pts Dif"/>
    <x:tableColumn id="19" name="Pts Gol A"/>
    <x:tableColumn id="20" name="Pts Gol B"/>
    <x:tableColumn id="21" name="Total"/>
    <x:tableColumn id="22" name="Nota"/>
    <x:tableColumn id="23" name="Fuent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Detalle4tos" displayName="Detalle4tos" ref="A1:W89" headerRowCount="1" totalsRowCount="0" totalsRowShown="0">
  <x:autoFilter ref="A1:W89"/>
  <x:tableColumns count="23">
    <x:tableColumn id="1" name="Fase"/>
    <x:tableColumn id="2" name="Partido"/>
    <x:tableColumn id="3" name="Participante"/>
    <x:tableColumn id="4" name="Equipo A"/>
    <x:tableColumn id="5" name="Equipo B"/>
    <x:tableColumn id="6" name="Apuesta A"/>
    <x:tableColumn id="7" name="Apuesta B"/>
    <x:tableColumn id="8" name="Clasificado apostado"/>
    <x:tableColumn id="9" name="Via apostada"/>
    <x:tableColumn id="10" name="Oficial A"/>
    <x:tableColumn id="11" name="Oficial B"/>
    <x:tableColumn id="12" name="Clasificado oficial"/>
    <x:tableColumn id="13" name="Via oficial"/>
    <x:tableColumn id="14" name="Pts 90"/>
    <x:tableColumn id="15" name="Pts Clasif"/>
    <x:tableColumn id="16" name="Pts Via"/>
    <x:tableColumn id="17" name="Pts Marcador"/>
    <x:tableColumn id="18" name="Pts Dif"/>
    <x:tableColumn id="19" name="Pts Gol A"/>
    <x:tableColumn id="20" name="Pts Gol B"/>
    <x:tableColumn id="21" name="Total"/>
    <x:tableColumn id="22" name="Nota"/>
    <x:tableColumn id="23" name="Fuen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talleSemis" displayName="DetalleSemis" ref="A1:W45" headerRowCount="1" totalsRowCount="0" totalsRowShown="0">
  <x:autoFilter ref="A1:W45"/>
  <x:tableColumns count="23">
    <x:tableColumn id="1" name="Fase"/>
    <x:tableColumn id="2" name="Partido"/>
    <x:tableColumn id="3" name="Participante"/>
    <x:tableColumn id="4" name="Equipo A"/>
    <x:tableColumn id="5" name="Equipo B"/>
    <x:tableColumn id="6" name="Apuesta A"/>
    <x:tableColumn id="7" name="Apuesta B"/>
    <x:tableColumn id="8" name="Clasificado apostado"/>
    <x:tableColumn id="9" name="Via apostada"/>
    <x:tableColumn id="10" name="Oficial A"/>
    <x:tableColumn id="11" name="Oficial B"/>
    <x:tableColumn id="12" name="Clasificado oficial"/>
    <x:tableColumn id="13" name="Via oficial"/>
    <x:tableColumn id="14" name="Pts 90"/>
    <x:tableColumn id="15" name="Pts Clasif"/>
    <x:tableColumn id="16" name="Pts Via"/>
    <x:tableColumn id="17" name="Pts Marcador"/>
    <x:tableColumn id="18" name="Pts Dif"/>
    <x:tableColumn id="19" name="Pts Gol A"/>
    <x:tableColumn id="20" name="Pts Gol B"/>
    <x:tableColumn id="21" name="Total"/>
    <x:tableColumn id="22" name="Nota"/>
    <x:tableColumn id="23" name="Fuent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DetalleFinal" displayName="DetalleFinal" ref="A1:W45" headerRowCount="1" totalsRowCount="0" totalsRowShown="0">
  <x:autoFilter ref="A1:W45"/>
  <x:tableColumns count="23">
    <x:tableColumn id="1" name="Fase"/>
    <x:tableColumn id="2" name="Partido"/>
    <x:tableColumn id="3" name="Participante"/>
    <x:tableColumn id="4" name="Equipo A"/>
    <x:tableColumn id="5" name="Equipo B"/>
    <x:tableColumn id="6" name="Apuesta A"/>
    <x:tableColumn id="7" name="Apuesta B"/>
    <x:tableColumn id="8" name="Clasificado apostado"/>
    <x:tableColumn id="9" name="Via apostada"/>
    <x:tableColumn id="10" name="Oficial A"/>
    <x:tableColumn id="11" name="Oficial B"/>
    <x:tableColumn id="12" name="Clasificado oficial"/>
    <x:tableColumn id="13" name="Via oficial"/>
    <x:tableColumn id="14" name="Pts 90"/>
    <x:tableColumn id="15" name="Pts Clasif"/>
    <x:tableColumn id="16" name="Pts Via"/>
    <x:tableColumn id="17" name="Pts Marcador"/>
    <x:tableColumn id="18" name="Pts Dif"/>
    <x:tableColumn id="19" name="Pts Gol A"/>
    <x:tableColumn id="20" name="Pts Gol B"/>
    <x:tableColumn id="21" name="Total"/>
    <x:tableColumn id="22" name="Nota"/>
    <x:tableColumn id="23" name="Fuen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f23aa364e20492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105428231874bb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0421204c38e246f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8e951f2b0fa54e1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8a83a4c6533241e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3be400013149455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058d0f8f1dee45c0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115a6b90a3b746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.25" hidden="0" customWidth="1"/>
    <x:col min="2" max="2" width="41.130001068115234" hidden="0" customWidth="1"/>
    <x:col min="3" max="3" width="4" hidden="0" customWidth="1"/>
    <x:col min="4" max="4" width="3.880000114440918" hidden="0" customWidth="1"/>
    <x:col min="5" max="5" width="7.630000114440918" hidden="0" customWidth="1"/>
    <x:col min="6" max="6" width="10.880000114440918" hidden="0" customWidth="1"/>
    <x:col min="7" max="7" width="4.25" hidden="0" customWidth="1"/>
    <x:col min="8" max="8" width="4.25" hidden="0" customWidth="1"/>
  </x:cols>
  <x:sheetData>
    <x:row r="1" ht="15" hidden="0" customHeight="1">
      <x:c r="A1" t="str">
        <x:v>Kinela Mundialista - Torneo completo</x:v>
      </x:c>
      <x:c r="B1"/>
      <x:c r="C1"/>
      <x:c r="D1"/>
      <x:c r="E1"/>
      <x:c r="F1"/>
      <x:c r="G1"/>
      <x:c r="H1"/>
    </x:row>
    <x:row r="2" ht="15" hidden="0" customHeight="1">
      <x:c r="A2" t="str">
        <x:v>Actualizado</x:v>
      </x:c>
      <x:c r="B2" t="str">
        <x:v>2026-07-20</x:v>
      </x:c>
      <x:c r="C2"/>
      <x:c r="D2"/>
      <x:c r="E2"/>
      <x:c r="F2"/>
      <x:c r="G2"/>
      <x:c r="H2"/>
    </x:row>
    <x:row r="3" ht="15" hidden="0" customHeight="1">
      <x:c r="A3" t="str">
        <x:v>Criterio de 8vos</x:v>
      </x:c>
      <x:c r="B3" t="str">
        <x:v>Se conserva la tabla original de 8vos como base oficial.</x:v>
      </x:c>
      <x:c r="C3"/>
      <x:c r="D3"/>
      <x:c r="E3"/>
      <x:c r="F3"/>
      <x:c r="G3"/>
      <x:c r="H3"/>
    </x:row>
    <x:row r="4" ht="15" hidden="0" customHeight="1">
      <x:c r="A4" t="str">
        <x:v>Lider</x:v>
      </x:c>
      <x:c r="B4" t="str">
        <x:v>Jean</x:v>
      </x:c>
      <x:c r="C4" t="n">
        <x:v>122</x:v>
      </x:c>
      <x:c r="D4"/>
      <x:c r="E4"/>
      <x:c r="F4"/>
      <x:c r="G4"/>
      <x:c r="H4"/>
    </x:row>
    <x:row r="5" ht="15" hidden="0" customHeight="1">
      <x:c r="A5" t="str">
        <x:v>Partidos incluidos</x:v>
      </x:c>
      <x:c r="B5" t="n">
        <x:v>16</x:v>
      </x:c>
      <x:c r="C5"/>
      <x:c r="D5"/>
      <x:c r="E5"/>
      <x:c r="F5"/>
      <x:c r="G5"/>
      <x:c r="H5"/>
    </x:row>
    <x:row r="6" ht="15" hidden="0" customHeight="1">
      <x:c r="A6" t="str">
        <x:v>Participantes</x:v>
      </x:c>
      <x:c r="B6" t="n">
        <x:v>22</x:v>
      </x:c>
      <x:c r="C6"/>
      <x:c r="D6"/>
      <x:c r="E6"/>
      <x:c r="F6"/>
      <x:c r="G6"/>
      <x:c r="H6"/>
    </x:row>
    <x:row r="7" ht="15" hidden="0" customHeight="1">
      <x:c r="A7"/>
      <x:c r="B7"/>
      <x:c r="C7"/>
      <x:c r="D7"/>
      <x:c r="E7"/>
      <x:c r="F7"/>
      <x:c r="G7"/>
      <x:c r="H7"/>
    </x:row>
    <x:row r="8" ht="15" hidden="0" customHeight="1">
      <x:c r="A8" s="3" t="str">
        <x:v>Puesto</x:v>
      </x:c>
      <x:c r="B8" s="3" t="str">
        <x:v>Participante</x:v>
      </x:c>
      <x:c r="C8" s="3" t="str">
        <x:v>8vos</x:v>
      </x:c>
      <x:c r="D8" s="3" t="str">
        <x:v>4tos</x:v>
      </x:c>
      <x:c r="E8" s="3" t="str">
        <x:v>Semifinal</x:v>
      </x:c>
      <x:c r="F8" s="3" t="str">
        <x:v>Tercer puesto</x:v>
      </x:c>
      <x:c r="G8" s="3" t="str">
        <x:v>Final</x:v>
      </x:c>
      <x:c r="H8" s="3" t="str">
        <x:v>Total</x:v>
      </x:c>
    </x:row>
    <x:row r="9" ht="15" hidden="0" customHeight="1">
      <x:c r="A9" t="n">
        <x:v>1</x:v>
      </x:c>
      <x:c r="B9" t="str">
        <x:v>Jean</x:v>
      </x:c>
      <x:c r="C9" t="n">
        <x:v>75</x:v>
      </x:c>
      <x:c r="D9" t="n">
        <x:v>29</x:v>
      </x:c>
      <x:c r="E9" t="n">
        <x:v>18</x:v>
      </x:c>
      <x:c r="F9" t="n">
        <x:v>0</x:v>
      </x:c>
      <x:c r="G9" t="n">
        <x:v>0</x:v>
      </x:c>
      <x:c r="H9" t="n">
        <x:v>122</x:v>
      </x:c>
    </x:row>
    <x:row r="10" ht="15" hidden="0" customHeight="1">
      <x:c r="A10" t="n">
        <x:v>2</x:v>
      </x:c>
      <x:c r="B10" t="str">
        <x:v>Jorge</x:v>
      </x:c>
      <x:c r="C10" t="n">
        <x:v>61</x:v>
      </x:c>
      <x:c r="D10" t="n">
        <x:v>23</x:v>
      </x:c>
      <x:c r="E10" t="n">
        <x:v>21</x:v>
      </x:c>
      <x:c r="F10" t="n">
        <x:v>0</x:v>
      </x:c>
      <x:c r="G10" t="n">
        <x:v>3</x:v>
      </x:c>
      <x:c r="H10" t="n">
        <x:v>108</x:v>
      </x:c>
    </x:row>
    <x:row r="11" ht="15" hidden="0" customHeight="1">
      <x:c r="A11" t="n">
        <x:v>3</x:v>
      </x:c>
      <x:c r="B11" t="str">
        <x:v>Freddy</x:v>
      </x:c>
      <x:c r="C11" t="n">
        <x:v>70</x:v>
      </x:c>
      <x:c r="D11" t="n">
        <x:v>35</x:v>
      </x:c>
      <x:c r="E11" t="n">
        <x:v>3</x:v>
      </x:c>
      <x:c r="F11" t="n">
        <x:v>0</x:v>
      </x:c>
      <x:c r="G11" t="n">
        <x:v>0</x:v>
      </x:c>
      <x:c r="H11" t="n">
        <x:v>108</x:v>
      </x:c>
    </x:row>
    <x:row r="12" ht="15" hidden="0" customHeight="1">
      <x:c r="A12" t="n">
        <x:v>4</x:v>
      </x:c>
      <x:c r="B12" t="str">
        <x:v>Jesús</x:v>
      </x:c>
      <x:c r="C12" t="n">
        <x:v>59</x:v>
      </x:c>
      <x:c r="D12" t="n">
        <x:v>33</x:v>
      </x:c>
      <x:c r="E12" t="n">
        <x:v>0</x:v>
      </x:c>
      <x:c r="F12" t="n">
        <x:v>0</x:v>
      </x:c>
      <x:c r="G12" t="n">
        <x:v>3</x:v>
      </x:c>
      <x:c r="H12" t="n">
        <x:v>95</x:v>
      </x:c>
    </x:row>
    <x:row r="13" ht="15" hidden="0" customHeight="1">
      <x:c r="A13" t="n">
        <x:v>5</x:v>
      </x:c>
      <x:c r="B13" t="str">
        <x:v>Gabriela</x:v>
      </x:c>
      <x:c r="C13" t="n">
        <x:v>61</x:v>
      </x:c>
      <x:c r="D13" t="n">
        <x:v>14</x:v>
      </x:c>
      <x:c r="E13" t="n">
        <x:v>0</x:v>
      </x:c>
      <x:c r="F13" t="n">
        <x:v>10</x:v>
      </x:c>
      <x:c r="G13" t="n">
        <x:v>10</x:v>
      </x:c>
      <x:c r="H13" t="n">
        <x:v>95</x:v>
      </x:c>
    </x:row>
    <x:row r="14" ht="15" hidden="0" customHeight="1">
      <x:c r="A14" t="n">
        <x:v>6</x:v>
      </x:c>
      <x:c r="B14" t="str">
        <x:v>Alex</x:v>
      </x:c>
      <x:c r="C14" t="n">
        <x:v>49</x:v>
      </x:c>
      <x:c r="D14" t="n">
        <x:v>29</x:v>
      </x:c>
      <x:c r="E14" t="n">
        <x:v>3</x:v>
      </x:c>
      <x:c r="F14" t="n">
        <x:v>12</x:v>
      </x:c>
      <x:c r="G14" t="n">
        <x:v>0</x:v>
      </x:c>
      <x:c r="H14" t="n">
        <x:v>93</x:v>
      </x:c>
    </x:row>
    <x:row r="15" ht="15" hidden="0" customHeight="1">
      <x:c r="A15" t="n">
        <x:v>7</x:v>
      </x:c>
      <x:c r="B15" t="str">
        <x:v>Diego</x:v>
      </x:c>
      <x:c r="C15" t="n">
        <x:v>56</x:v>
      </x:c>
      <x:c r="D15" t="n">
        <x:v>32</x:v>
      </x:c>
      <x:c r="E15" t="n">
        <x:v>3</x:v>
      </x:c>
      <x:c r="F15" t="n">
        <x:v>0</x:v>
      </x:c>
      <x:c r="G15" t="n">
        <x:v>0</x:v>
      </x:c>
      <x:c r="H15" t="n">
        <x:v>91</x:v>
      </x:c>
    </x:row>
    <x:row r="16" ht="15" hidden="0" customHeight="1">
      <x:c r="A16" t="n">
        <x:v>8</x:v>
      </x:c>
      <x:c r="B16" t="str">
        <x:v>Anny</x:v>
      </x:c>
      <x:c r="C16" t="n">
        <x:v>59</x:v>
      </x:c>
      <x:c r="D16" t="n">
        <x:v>17</x:v>
      </x:c>
      <x:c r="E16" t="n">
        <x:v>3</x:v>
      </x:c>
      <x:c r="F16" t="n">
        <x:v>10</x:v>
      </x:c>
      <x:c r="G16" t="n">
        <x:v>0</x:v>
      </x:c>
      <x:c r="H16" t="n">
        <x:v>89</x:v>
      </x:c>
    </x:row>
    <x:row r="17" ht="15" hidden="0" customHeight="1">
      <x:c r="A17" t="n">
        <x:v>9</x:v>
      </x:c>
      <x:c r="B17" t="str">
        <x:v>Aldo</x:v>
      </x:c>
      <x:c r="C17" t="n">
        <x:v>50</x:v>
      </x:c>
      <x:c r="D17" t="n">
        <x:v>17</x:v>
      </x:c>
      <x:c r="E17" t="n">
        <x:v>6</x:v>
      </x:c>
      <x:c r="F17" t="n">
        <x:v>3</x:v>
      </x:c>
      <x:c r="G17" t="n">
        <x:v>12</x:v>
      </x:c>
      <x:c r="H17" t="n">
        <x:v>88</x:v>
      </x:c>
    </x:row>
    <x:row r="18" ht="15" hidden="0" customHeight="1">
      <x:c r="A18" t="n">
        <x:v>10</x:v>
      </x:c>
      <x:c r="B18" t="str">
        <x:v>Arthur</x:v>
      </x:c>
      <x:c r="C18" t="n">
        <x:v>35</x:v>
      </x:c>
      <x:c r="D18" t="n">
        <x:v>39</x:v>
      </x:c>
      <x:c r="E18" t="n">
        <x:v>0</x:v>
      </x:c>
      <x:c r="F18" t="n">
        <x:v>0</x:v>
      </x:c>
      <x:c r="G18" t="n">
        <x:v>12</x:v>
      </x:c>
      <x:c r="H18" t="n">
        <x:v>86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25" hidden="0" customWidth="1"/>
    <x:col min="2" max="2" width="12.25" hidden="0" customWidth="1"/>
    <x:col min="3" max="3" width="6.5" hidden="0" customWidth="1"/>
    <x:col min="4" max="4" width="6.380000114440918" hidden="0" customWidth="1"/>
    <x:col min="5" max="5" width="10.130000114440918" hidden="0" customWidth="1"/>
    <x:col min="6" max="6" width="13.380000114440918" hidden="0" customWidth="1"/>
    <x:col min="7" max="7" width="6.75" hidden="0" customWidth="1"/>
    <x:col min="8" max="8" width="6.75" hidden="0" customWidth="1"/>
    <x:col min="9" max="9" width="8.75" hidden="0" customWidth="1"/>
    <x:col min="10" max="10" width="12" hidden="0" customWidth="1"/>
    <x:col min="11" max="11" width="6.25" hidden="0" customWidth="1"/>
    <x:col min="12" max="12" width="13.130000114440918" hidden="0" customWidth="1"/>
  </x:cols>
  <x:sheetData>
    <x:row r="1" ht="15" hidden="0" customHeight="1">
      <x:c r="A1" s="3" t="str">
        <x:v>Puesto</x:v>
      </x:c>
      <x:c r="B1" s="3" t="str">
        <x:v>Participante</x:v>
      </x:c>
      <x:c r="C1" s="3" t="str">
        <x:v>8vos</x:v>
      </x:c>
      <x:c r="D1" s="3" t="str">
        <x:v>4tos</x:v>
      </x:c>
      <x:c r="E1" s="3" t="str">
        <x:v>Semifinal</x:v>
      </x:c>
      <x:c r="F1" s="3" t="str">
        <x:v>Tercer puesto</x:v>
      </x:c>
      <x:c r="G1" s="3" t="str">
        <x:v>Final</x:v>
      </x:c>
      <x:c r="H1" s="3" t="str">
        <x:v>Total</x:v>
      </x:c>
      <x:c r="I1" s="3" t="str">
        <x:v>Exactos</x:v>
      </x:c>
      <x:c r="J1" s="3" t="str">
        <x:v>Clasificados</x:v>
      </x:c>
      <x:c r="K1" s="3" t="str">
        <x:v>Vias</x:v>
      </x:c>
      <x:c r="L1" s="3" t="str">
        <x:v>Sin respuesta</x:v>
      </x:c>
    </x:row>
    <x:row r="2" ht="15" hidden="0" customHeight="1">
      <x:c r="A2" t="n">
        <x:v>1</x:v>
      </x:c>
      <x:c r="B2" t="str">
        <x:v>Jean</x:v>
      </x:c>
      <x:c r="C2" t="n">
        <x:f>SUMIFS('8vos_Tabla'!$B$2:$B$23,'8vos_Tabla'!$A$2:$A$23,$B2)</x:f>
        <x:v>75</x:v>
      </x:c>
      <x:c r="D2" t="n">
        <x:f>SUMIFS('Detalle_Todo'!$U$2:$U$353,'Detalle_Todo'!$C$2:$C$353,$B2,'Detalle_Todo'!$A$2:$A$353,"4tos")</x:f>
        <x:v>29</x:v>
      </x:c>
      <x:c r="E2" t="n">
        <x:f>SUMIFS('Detalle_Todo'!$U$2:$U$353,'Detalle_Todo'!$C$2:$C$353,$B2,'Detalle_Todo'!$A$2:$A$353,"Semifinal")</x:f>
        <x:v>18</x:v>
      </x:c>
      <x:c r="F2" t="n">
        <x:f>SUMIFS('Detalle_Todo'!$U$2:$U$353,'Detalle_Todo'!$C$2:$C$353,$B2,'Detalle_Todo'!$A$2:$A$353,"Tercer puesto")</x:f>
        <x:v>0</x:v>
      </x:c>
      <x:c r="G2" t="n">
        <x:f>SUMIFS('Detalle_Todo'!$U$2:$U$353,'Detalle_Todo'!$C$2:$C$353,$B2,'Detalle_Todo'!$A$2:$A$353,"Final")</x:f>
        <x:v>0</x:v>
      </x:c>
      <x:c r="H2" t="n">
        <x:f>SUM(C2:G2)</x:f>
        <x:v>122</x:v>
      </x:c>
      <x:c r="I2" t="n">
        <x:f>SUMIFS('8vos_Tabla'!$C$2:$C$23,'8vos_Tabla'!$A$2:$A$23,$B2)+COUNTIFS('Detalle_Todo'!$C$2:$C$353,$B2,'Detalle_Todo'!$A$2:$A$353,"&lt;&gt;8vos",'Detalle_Todo'!$Q$2:$Q$353,"&gt;0")</x:f>
        <x:v>2</x:v>
      </x:c>
      <x:c r="J2" t="n">
        <x:f>SUMIFS('8vos_Tabla'!$D$2:$D$23,'8vos_Tabla'!$A$2:$A$23,$B2)+COUNTIFS('Detalle_Todo'!$C$2:$C$353,$B2,'Detalle_Todo'!$A$2:$A$353,"&lt;&gt;8vos",'Detalle_Todo'!$O$2:$O$353,"&gt;0")</x:f>
        <x:v>11</x:v>
      </x:c>
      <x:c r="K2" t="n">
        <x:f>SUMIFS('8vos_Tabla'!$E$2:$E$23,'8vos_Tabla'!$A$2:$A$23,$B2)+COUNTIFS('Detalle_Todo'!$C$2:$C$353,$B2,'Detalle_Todo'!$A$2:$A$353,"&lt;&gt;8vos",'Detalle_Todo'!$P$2:$P$353,"&gt;0")</x:f>
        <x:v>10</x:v>
      </x:c>
      <x:c r="L2" t="n">
        <x:f>SUMIFS('8vos_Tabla'!$G$2:$G$23,'8vos_Tabla'!$A$2:$A$23,$B2)+COUNTIFS('Detalle_Todo'!$C$2:$C$353,$B2,'Detalle_Todo'!$A$2:$A$353,"&lt;&gt;8vos",'Detalle_Todo'!$H$2:$H$353,"Sin envio")</x:f>
        <x:v>0</x:v>
      </x:c>
    </x:row>
    <x:row r="3" ht="15" hidden="0" customHeight="1">
      <x:c r="A3" t="n">
        <x:v>2</x:v>
      </x:c>
      <x:c r="B3" t="str">
        <x:v>Jorge</x:v>
      </x:c>
      <x:c r="C3" t="n">
        <x:f>SUMIFS('8vos_Tabla'!$B$2:$B$23,'8vos_Tabla'!$A$2:$A$23,$B3)</x:f>
        <x:v>61</x:v>
      </x:c>
      <x:c r="D3" t="n">
        <x:f>SUMIFS('Detalle_Todo'!$U$2:$U$353,'Detalle_Todo'!$C$2:$C$353,$B3,'Detalle_Todo'!$A$2:$A$353,"4tos")</x:f>
        <x:v>23</x:v>
      </x:c>
      <x:c r="E3" t="n">
        <x:f>SUMIFS('Detalle_Todo'!$U$2:$U$353,'Detalle_Todo'!$C$2:$C$353,$B3,'Detalle_Todo'!$A$2:$A$353,"Semifinal")</x:f>
        <x:v>21</x:v>
      </x:c>
      <x:c r="F3" t="n">
        <x:f>SUMIFS('Detalle_Todo'!$U$2:$U$353,'Detalle_Todo'!$C$2:$C$353,$B3,'Detalle_Todo'!$A$2:$A$353,"Tercer puesto")</x:f>
        <x:v>0</x:v>
      </x:c>
      <x:c r="G3" t="n">
        <x:f>SUMIFS('Detalle_Todo'!$U$2:$U$353,'Detalle_Todo'!$C$2:$C$353,$B3,'Detalle_Todo'!$A$2:$A$353,"Final")</x:f>
        <x:v>3</x:v>
      </x:c>
      <x:c r="H3" t="n">
        <x:f>SUM(C3:G3)</x:f>
        <x:v>108</x:v>
      </x:c>
      <x:c r="I3" t="n">
        <x:f>SUMIFS('8vos_Tabla'!$C$2:$C$23,'8vos_Tabla'!$A$2:$A$23,$B3)+COUNTIFS('Detalle_Todo'!$C$2:$C$353,$B3,'Detalle_Todo'!$A$2:$A$353,"&lt;&gt;8vos",'Detalle_Todo'!$Q$2:$Q$353,"&gt;0")</x:f>
        <x:v>2</x:v>
      </x:c>
      <x:c r="J3" t="n">
        <x:f>SUMIFS('8vos_Tabla'!$D$2:$D$23,'8vos_Tabla'!$A$2:$A$23,$B3)+COUNTIFS('Detalle_Todo'!$C$2:$C$353,$B3,'Detalle_Todo'!$A$2:$A$353,"&lt;&gt;8vos",'Detalle_Todo'!$O$2:$O$353,"&gt;0")</x:f>
        <x:v>11</x:v>
      </x:c>
      <x:c r="K3" t="n">
        <x:f>SUMIFS('8vos_Tabla'!$E$2:$E$23,'8vos_Tabla'!$A$2:$A$23,$B3)+COUNTIFS('Detalle_Todo'!$C$2:$C$353,$B3,'Detalle_Todo'!$A$2:$A$353,"&lt;&gt;8vos",'Detalle_Todo'!$P$2:$P$353,"&gt;0")</x:f>
        <x:v>9</x:v>
      </x:c>
      <x:c r="L3" t="n">
        <x:f>SUMIFS('8vos_Tabla'!$G$2:$G$23,'8vos_Tabla'!$A$2:$A$23,$B3)+COUNTIFS('Detalle_Todo'!$C$2:$C$353,$B3,'Detalle_Todo'!$A$2:$A$353,"&lt;&gt;8vos",'Detalle_Todo'!$H$2:$H$353,"Sin envio")</x:f>
        <x:v>0</x:v>
      </x:c>
    </x:row>
    <x:row r="4" ht="15" hidden="0" customHeight="1">
      <x:c r="A4" t="n">
        <x:v>3</x:v>
      </x:c>
      <x:c r="B4" t="str">
        <x:v>Freddy</x:v>
      </x:c>
      <x:c r="C4" t="n">
        <x:f>SUMIFS('8vos_Tabla'!$B$2:$B$23,'8vos_Tabla'!$A$2:$A$23,$B4)</x:f>
        <x:v>70</x:v>
      </x:c>
      <x:c r="D4" t="n">
        <x:f>SUMIFS('Detalle_Todo'!$U$2:$U$353,'Detalle_Todo'!$C$2:$C$353,$B4,'Detalle_Todo'!$A$2:$A$353,"4tos")</x:f>
        <x:v>35</x:v>
      </x:c>
      <x:c r="E4" t="n">
        <x:f>SUMIFS('Detalle_Todo'!$U$2:$U$353,'Detalle_Todo'!$C$2:$C$353,$B4,'Detalle_Todo'!$A$2:$A$353,"Semifinal")</x:f>
        <x:v>3</x:v>
      </x:c>
      <x:c r="F4" t="n">
        <x:f>SUMIFS('Detalle_Todo'!$U$2:$U$353,'Detalle_Todo'!$C$2:$C$353,$B4,'Detalle_Todo'!$A$2:$A$353,"Tercer puesto")</x:f>
        <x:v>0</x:v>
      </x:c>
      <x:c r="G4" t="n">
        <x:f>SUMIFS('Detalle_Todo'!$U$2:$U$353,'Detalle_Todo'!$C$2:$C$353,$B4,'Detalle_Todo'!$A$2:$A$353,"Final")</x:f>
        <x:v>0</x:v>
      </x:c>
      <x:c r="H4" t="n">
        <x:f>SUM(C4:G4)</x:f>
        <x:v>108</x:v>
      </x:c>
      <x:c r="I4" t="n">
        <x:f>SUMIFS('8vos_Tabla'!$C$2:$C$23,'8vos_Tabla'!$A$2:$A$23,$B4)+COUNTIFS('Detalle_Todo'!$C$2:$C$353,$B4,'Detalle_Todo'!$A$2:$A$353,"&lt;&gt;8vos",'Detalle_Todo'!$Q$2:$Q$353,"&gt;0")</x:f>
        <x:v>1</x:v>
      </x:c>
      <x:c r="J4" t="n">
        <x:f>SUMIFS('8vos_Tabla'!$D$2:$D$23,'8vos_Tabla'!$A$2:$A$23,$B4)+COUNTIFS('Detalle_Todo'!$C$2:$C$353,$B4,'Detalle_Todo'!$A$2:$A$353,"&lt;&gt;8vos",'Detalle_Todo'!$O$2:$O$353,"&gt;0")</x:f>
        <x:v>11</x:v>
      </x:c>
      <x:c r="K4" t="n">
        <x:f>SUMIFS('8vos_Tabla'!$E$2:$E$23,'8vos_Tabla'!$A$2:$A$23,$B4)+COUNTIFS('Detalle_Todo'!$C$2:$C$353,$B4,'Detalle_Todo'!$A$2:$A$353,"&lt;&gt;8vos",'Detalle_Todo'!$P$2:$P$353,"&gt;0")</x:f>
        <x:v>9</x:v>
      </x:c>
      <x:c r="L4" t="n">
        <x:f>SUMIFS('8vos_Tabla'!$G$2:$G$23,'8vos_Tabla'!$A$2:$A$23,$B4)+COUNTIFS('Detalle_Todo'!$C$2:$C$353,$B4,'Detalle_Todo'!$A$2:$A$353,"&lt;&gt;8vos",'Detalle_Todo'!$H$2:$H$353,"Sin envio")</x:f>
        <x:v>0</x:v>
      </x:c>
    </x:row>
    <x:row r="5" ht="15" hidden="0" customHeight="1">
      <x:c r="A5" t="n">
        <x:v>4</x:v>
      </x:c>
      <x:c r="B5" t="str">
        <x:v>Jesús</x:v>
      </x:c>
      <x:c r="C5" t="n">
        <x:f>SUMIFS('8vos_Tabla'!$B$2:$B$23,'8vos_Tabla'!$A$2:$A$23,$B5)</x:f>
        <x:v>59</x:v>
      </x:c>
      <x:c r="D5" t="n">
        <x:f>SUMIFS('Detalle_Todo'!$U$2:$U$353,'Detalle_Todo'!$C$2:$C$353,$B5,'Detalle_Todo'!$A$2:$A$353,"4tos")</x:f>
        <x:v>33</x:v>
      </x:c>
      <x:c r="E5" t="n">
        <x:f>SUMIFS('Detalle_Todo'!$U$2:$U$353,'Detalle_Todo'!$C$2:$C$353,$B5,'Detalle_Todo'!$A$2:$A$353,"Semifinal")</x:f>
        <x:v>0</x:v>
      </x:c>
      <x:c r="F5" t="n">
        <x:f>SUMIFS('Detalle_Todo'!$U$2:$U$353,'Detalle_Todo'!$C$2:$C$353,$B5,'Detalle_Todo'!$A$2:$A$353,"Tercer puesto")</x:f>
        <x:v>0</x:v>
      </x:c>
      <x:c r="G5" t="n">
        <x:f>SUMIFS('Detalle_Todo'!$U$2:$U$353,'Detalle_Todo'!$C$2:$C$353,$B5,'Detalle_Todo'!$A$2:$A$353,"Final")</x:f>
        <x:v>3</x:v>
      </x:c>
      <x:c r="H5" t="n">
        <x:f>SUM(C5:G5)</x:f>
        <x:v>95</x:v>
      </x:c>
      <x:c r="I5" t="n">
        <x:f>SUMIFS('8vos_Tabla'!$C$2:$C$23,'8vos_Tabla'!$A$2:$A$23,$B5)+COUNTIFS('Detalle_Todo'!$C$2:$C$353,$B5,'Detalle_Todo'!$A$2:$A$353,"&lt;&gt;8vos",'Detalle_Todo'!$Q$2:$Q$353,"&gt;0")</x:f>
        <x:v>1</x:v>
      </x:c>
      <x:c r="J5" t="n">
        <x:f>SUMIFS('8vos_Tabla'!$D$2:$D$23,'8vos_Tabla'!$A$2:$A$23,$B5)+COUNTIFS('Detalle_Todo'!$C$2:$C$353,$B5,'Detalle_Todo'!$A$2:$A$353,"&lt;&gt;8vos",'Detalle_Todo'!$O$2:$O$353,"&gt;0")</x:f>
        <x:v>10</x:v>
      </x:c>
      <x:c r="K5" t="n">
        <x:f>SUMIFS('8vos_Tabla'!$E$2:$E$23,'8vos_Tabla'!$A$2:$A$23,$B5)+COUNTIFS('Detalle_Todo'!$C$2:$C$353,$B5,'Detalle_Todo'!$A$2:$A$353,"&lt;&gt;8vos",'Detalle_Todo'!$P$2:$P$353,"&gt;0")</x:f>
        <x:v>8</x:v>
      </x:c>
      <x:c r="L5" t="n">
        <x:f>SUMIFS('8vos_Tabla'!$G$2:$G$23,'8vos_Tabla'!$A$2:$A$23,$B5)+COUNTIFS('Detalle_Todo'!$C$2:$C$353,$B5,'Detalle_Todo'!$A$2:$A$353,"&lt;&gt;8vos",'Detalle_Todo'!$H$2:$H$353,"Sin envio")</x:f>
        <x:v>0</x:v>
      </x:c>
    </x:row>
    <x:row r="6" ht="15" hidden="0" customHeight="1">
      <x:c r="A6" t="n">
        <x:v>5</x:v>
      </x:c>
      <x:c r="B6" t="str">
        <x:v>Gabriela</x:v>
      </x:c>
      <x:c r="C6" t="n">
        <x:f>SUMIFS('8vos_Tabla'!$B$2:$B$23,'8vos_Tabla'!$A$2:$A$23,$B6)</x:f>
        <x:v>61</x:v>
      </x:c>
      <x:c r="D6" t="n">
        <x:f>SUMIFS('Detalle_Todo'!$U$2:$U$353,'Detalle_Todo'!$C$2:$C$353,$B6,'Detalle_Todo'!$A$2:$A$353,"4tos")</x:f>
        <x:v>14</x:v>
      </x:c>
      <x:c r="E6" t="n">
        <x:f>SUMIFS('Detalle_Todo'!$U$2:$U$353,'Detalle_Todo'!$C$2:$C$353,$B6,'Detalle_Todo'!$A$2:$A$353,"Semifinal")</x:f>
        <x:v>0</x:v>
      </x:c>
      <x:c r="F6" t="n">
        <x:f>SUMIFS('Detalle_Todo'!$U$2:$U$353,'Detalle_Todo'!$C$2:$C$353,$B6,'Detalle_Todo'!$A$2:$A$353,"Tercer puesto")</x:f>
        <x:v>10</x:v>
      </x:c>
      <x:c r="G6" t="n">
        <x:f>SUMIFS('Detalle_Todo'!$U$2:$U$353,'Detalle_Todo'!$C$2:$C$353,$B6,'Detalle_Todo'!$A$2:$A$353,"Final")</x:f>
        <x:v>10</x:v>
      </x:c>
      <x:c r="H6" t="n">
        <x:f>SUM(C6:G6)</x:f>
        <x:v>95</x:v>
      </x:c>
      <x:c r="I6" t="n">
        <x:f>SUMIFS('8vos_Tabla'!$C$2:$C$23,'8vos_Tabla'!$A$2:$A$23,$B6)+COUNTIFS('Detalle_Todo'!$C$2:$C$353,$B6,'Detalle_Todo'!$A$2:$A$353,"&lt;&gt;8vos",'Detalle_Todo'!$Q$2:$Q$353,"&gt;0")</x:f>
        <x:v>0</x:v>
      </x:c>
      <x:c r="J6" t="n">
        <x:f>SUMIFS('8vos_Tabla'!$D$2:$D$23,'8vos_Tabla'!$A$2:$A$23,$B6)+COUNTIFS('Detalle_Todo'!$C$2:$C$353,$B6,'Detalle_Todo'!$A$2:$A$353,"&lt;&gt;8vos",'Detalle_Todo'!$O$2:$O$353,"&gt;0")</x:f>
        <x:v>11</x:v>
      </x:c>
      <x:c r="K6" t="n">
        <x:f>SUMIFS('8vos_Tabla'!$E$2:$E$23,'8vos_Tabla'!$A$2:$A$23,$B6)+COUNTIFS('Detalle_Todo'!$C$2:$C$353,$B6,'Detalle_Todo'!$A$2:$A$353,"&lt;&gt;8vos",'Detalle_Todo'!$P$2:$P$353,"&gt;0")</x:f>
        <x:v>8</x:v>
      </x:c>
      <x:c r="L6" t="n">
        <x:f>SUMIFS('8vos_Tabla'!$G$2:$G$23,'8vos_Tabla'!$A$2:$A$23,$B6)+COUNTIFS('Detalle_Todo'!$C$2:$C$353,$B6,'Detalle_Todo'!$A$2:$A$353,"&lt;&gt;8vos",'Detalle_Todo'!$H$2:$H$353,"Sin envio")</x:f>
        <x:v>0</x:v>
      </x:c>
    </x:row>
    <x:row r="7" ht="15" hidden="0" customHeight="1">
      <x:c r="A7" t="n">
        <x:v>6</x:v>
      </x:c>
      <x:c r="B7" t="str">
        <x:v>Alex</x:v>
      </x:c>
      <x:c r="C7" t="n">
        <x:f>SUMIFS('8vos_Tabla'!$B$2:$B$23,'8vos_Tabla'!$A$2:$A$23,$B7)</x:f>
        <x:v>49</x:v>
      </x:c>
      <x:c r="D7" t="n">
        <x:f>SUMIFS('Detalle_Todo'!$U$2:$U$353,'Detalle_Todo'!$C$2:$C$353,$B7,'Detalle_Todo'!$A$2:$A$353,"4tos")</x:f>
        <x:v>29</x:v>
      </x:c>
      <x:c r="E7" t="n">
        <x:f>SUMIFS('Detalle_Todo'!$U$2:$U$353,'Detalle_Todo'!$C$2:$C$353,$B7,'Detalle_Todo'!$A$2:$A$353,"Semifinal")</x:f>
        <x:v>3</x:v>
      </x:c>
      <x:c r="F7" t="n">
        <x:f>SUMIFS('Detalle_Todo'!$U$2:$U$353,'Detalle_Todo'!$C$2:$C$353,$B7,'Detalle_Todo'!$A$2:$A$353,"Tercer puesto")</x:f>
        <x:v>12</x:v>
      </x:c>
      <x:c r="G7" t="n">
        <x:f>SUMIFS('Detalle_Todo'!$U$2:$U$353,'Detalle_Todo'!$C$2:$C$353,$B7,'Detalle_Todo'!$A$2:$A$353,"Final")</x:f>
        <x:v>0</x:v>
      </x:c>
      <x:c r="H7" t="n">
        <x:f>SUM(C7:G7)</x:f>
        <x:v>93</x:v>
      </x:c>
      <x:c r="I7" t="n">
        <x:f>SUMIFS('8vos_Tabla'!$C$2:$C$23,'8vos_Tabla'!$A$2:$A$23,$B7)+COUNTIFS('Detalle_Todo'!$C$2:$C$353,$B7,'Detalle_Todo'!$A$2:$A$353,"&lt;&gt;8vos",'Detalle_Todo'!$Q$2:$Q$353,"&gt;0")</x:f>
        <x:v>0</x:v>
      </x:c>
      <x:c r="J7" t="n">
        <x:f>SUMIFS('8vos_Tabla'!$D$2:$D$23,'8vos_Tabla'!$A$2:$A$23,$B7)+COUNTIFS('Detalle_Todo'!$C$2:$C$353,$B7,'Detalle_Todo'!$A$2:$A$353,"&lt;&gt;8vos",'Detalle_Todo'!$O$2:$O$353,"&gt;0")</x:f>
        <x:v>13</x:v>
      </x:c>
      <x:c r="K7" t="n">
        <x:f>SUMIFS('8vos_Tabla'!$E$2:$E$23,'8vos_Tabla'!$A$2:$A$23,$B7)+COUNTIFS('Detalle_Todo'!$C$2:$C$353,$B7,'Detalle_Todo'!$A$2:$A$353,"&lt;&gt;8vos",'Detalle_Todo'!$P$2:$P$353,"&gt;0")</x:f>
        <x:v>6</x:v>
      </x:c>
      <x:c r="L7" t="n">
        <x:f>SUMIFS('8vos_Tabla'!$G$2:$G$23,'8vos_Tabla'!$A$2:$A$23,$B7)+COUNTIFS('Detalle_Todo'!$C$2:$C$353,$B7,'Detalle_Todo'!$A$2:$A$353,"&lt;&gt;8vos",'Detalle_Todo'!$H$2:$H$353,"Sin envio")</x:f>
        <x:v>0</x:v>
      </x:c>
    </x:row>
    <x:row r="8" ht="15" hidden="0" customHeight="1">
      <x:c r="A8" t="n">
        <x:v>7</x:v>
      </x:c>
      <x:c r="B8" t="str">
        <x:v>Diego</x:v>
      </x:c>
      <x:c r="C8" t="n">
        <x:f>SUMIFS('8vos_Tabla'!$B$2:$B$23,'8vos_Tabla'!$A$2:$A$23,$B8)</x:f>
        <x:v>56</x:v>
      </x:c>
      <x:c r="D8" t="n">
        <x:f>SUMIFS('Detalle_Todo'!$U$2:$U$353,'Detalle_Todo'!$C$2:$C$353,$B8,'Detalle_Todo'!$A$2:$A$353,"4tos")</x:f>
        <x:v>32</x:v>
      </x:c>
      <x:c r="E8" t="n">
        <x:f>SUMIFS('Detalle_Todo'!$U$2:$U$353,'Detalle_Todo'!$C$2:$C$353,$B8,'Detalle_Todo'!$A$2:$A$353,"Semifinal")</x:f>
        <x:v>3</x:v>
      </x:c>
      <x:c r="F8" t="n">
        <x:f>SUMIFS('Detalle_Todo'!$U$2:$U$353,'Detalle_Todo'!$C$2:$C$353,$B8,'Detalle_Todo'!$A$2:$A$353,"Tercer puesto")</x:f>
        <x:v>0</x:v>
      </x:c>
      <x:c r="G8" t="n">
        <x:f>SUMIFS('Detalle_Todo'!$U$2:$U$353,'Detalle_Todo'!$C$2:$C$353,$B8,'Detalle_Todo'!$A$2:$A$353,"Final")</x:f>
        <x:v>0</x:v>
      </x:c>
      <x:c r="H8" t="n">
        <x:f>SUM(C8:G8)</x:f>
        <x:v>91</x:v>
      </x:c>
      <x:c r="I8" t="n">
        <x:f>SUMIFS('8vos_Tabla'!$C$2:$C$23,'8vos_Tabla'!$A$2:$A$23,$B8)+COUNTIFS('Detalle_Todo'!$C$2:$C$353,$B8,'Detalle_Todo'!$A$2:$A$353,"&lt;&gt;8vos",'Detalle_Todo'!$Q$2:$Q$353,"&gt;0")</x:f>
        <x:v>1</x:v>
      </x:c>
      <x:c r="J8" t="n">
        <x:f>SUMIFS('8vos_Tabla'!$D$2:$D$23,'8vos_Tabla'!$A$2:$A$23,$B8)+COUNTIFS('Detalle_Todo'!$C$2:$C$353,$B8,'Detalle_Todo'!$A$2:$A$353,"&lt;&gt;8vos",'Detalle_Todo'!$O$2:$O$353,"&gt;0")</x:f>
        <x:v>10</x:v>
      </x:c>
      <x:c r="K8" t="n">
        <x:f>SUMIFS('8vos_Tabla'!$E$2:$E$23,'8vos_Tabla'!$A$2:$A$23,$B8)+COUNTIFS('Detalle_Todo'!$C$2:$C$353,$B8,'Detalle_Todo'!$A$2:$A$353,"&lt;&gt;8vos",'Detalle_Todo'!$P$2:$P$353,"&gt;0")</x:f>
        <x:v>7</x:v>
      </x:c>
      <x:c r="L8" t="n">
        <x:f>SUMIFS('8vos_Tabla'!$G$2:$G$23,'8vos_Tabla'!$A$2:$A$23,$B8)+COUNTIFS('Detalle_Todo'!$C$2:$C$353,$B8,'Detalle_Todo'!$A$2:$A$353,"&lt;&gt;8vos",'Detalle_Todo'!$H$2:$H$353,"Sin envio")</x:f>
        <x:v>0</x:v>
      </x:c>
    </x:row>
    <x:row r="9" ht="15" hidden="0" customHeight="1">
      <x:c r="A9" t="n">
        <x:v>8</x:v>
      </x:c>
      <x:c r="B9" t="str">
        <x:v>Anny</x:v>
      </x:c>
      <x:c r="C9" t="n">
        <x:f>SUMIFS('8vos_Tabla'!$B$2:$B$23,'8vos_Tabla'!$A$2:$A$23,$B9)</x:f>
        <x:v>59</x:v>
      </x:c>
      <x:c r="D9" t="n">
        <x:f>SUMIFS('Detalle_Todo'!$U$2:$U$353,'Detalle_Todo'!$C$2:$C$353,$B9,'Detalle_Todo'!$A$2:$A$353,"4tos")</x:f>
        <x:v>17</x:v>
      </x:c>
      <x:c r="E9" t="n">
        <x:f>SUMIFS('Detalle_Todo'!$U$2:$U$353,'Detalle_Todo'!$C$2:$C$353,$B9,'Detalle_Todo'!$A$2:$A$353,"Semifinal")</x:f>
        <x:v>3</x:v>
      </x:c>
      <x:c r="F9" t="n">
        <x:f>SUMIFS('Detalle_Todo'!$U$2:$U$353,'Detalle_Todo'!$C$2:$C$353,$B9,'Detalle_Todo'!$A$2:$A$353,"Tercer puesto")</x:f>
        <x:v>10</x:v>
      </x:c>
      <x:c r="G9" t="n">
        <x:f>SUMIFS('Detalle_Todo'!$U$2:$U$353,'Detalle_Todo'!$C$2:$C$353,$B9,'Detalle_Todo'!$A$2:$A$353,"Final")</x:f>
        <x:v>0</x:v>
      </x:c>
      <x:c r="H9" t="n">
        <x:f>SUM(C9:G9)</x:f>
        <x:v>89</x:v>
      </x:c>
      <x:c r="I9" t="n">
        <x:f>SUMIFS('8vos_Tabla'!$C$2:$C$23,'8vos_Tabla'!$A$2:$A$23,$B9)+COUNTIFS('Detalle_Todo'!$C$2:$C$353,$B9,'Detalle_Todo'!$A$2:$A$353,"&lt;&gt;8vos",'Detalle_Todo'!$Q$2:$Q$353,"&gt;0")</x:f>
        <x:v>0</x:v>
      </x:c>
      <x:c r="J9" t="n">
        <x:f>SUMIFS('8vos_Tabla'!$D$2:$D$23,'8vos_Tabla'!$A$2:$A$23,$B9)+COUNTIFS('Detalle_Todo'!$C$2:$C$353,$B9,'Detalle_Todo'!$A$2:$A$353,"&lt;&gt;8vos",'Detalle_Todo'!$O$2:$O$353,"&gt;0")</x:f>
        <x:v>10</x:v>
      </x:c>
      <x:c r="K9" t="n">
        <x:f>SUMIFS('8vos_Tabla'!$E$2:$E$23,'8vos_Tabla'!$A$2:$A$23,$B9)+COUNTIFS('Detalle_Todo'!$C$2:$C$353,$B9,'Detalle_Todo'!$A$2:$A$353,"&lt;&gt;8vos",'Detalle_Todo'!$P$2:$P$353,"&gt;0")</x:f>
        <x:v>8</x:v>
      </x:c>
      <x:c r="L9" t="n">
        <x:f>SUMIFS('8vos_Tabla'!$G$2:$G$23,'8vos_Tabla'!$A$2:$A$23,$B9)+COUNTIFS('Detalle_Todo'!$C$2:$C$353,$B9,'Detalle_Todo'!$A$2:$A$353,"&lt;&gt;8vos",'Detalle_Todo'!$H$2:$H$353,"Sin envio")</x:f>
        <x:v>0</x:v>
      </x:c>
    </x:row>
    <x:row r="10" ht="15" hidden="0" customHeight="1">
      <x:c r="A10" t="n">
        <x:v>9</x:v>
      </x:c>
      <x:c r="B10" t="str">
        <x:v>Aldo</x:v>
      </x:c>
      <x:c r="C10" t="n">
        <x:f>SUMIFS('8vos_Tabla'!$B$2:$B$23,'8vos_Tabla'!$A$2:$A$23,$B10)</x:f>
        <x:v>50</x:v>
      </x:c>
      <x:c r="D10" t="n">
        <x:f>SUMIFS('Detalle_Todo'!$U$2:$U$353,'Detalle_Todo'!$C$2:$C$353,$B10,'Detalle_Todo'!$A$2:$A$353,"4tos")</x:f>
        <x:v>17</x:v>
      </x:c>
      <x:c r="E10" t="n">
        <x:f>SUMIFS('Detalle_Todo'!$U$2:$U$353,'Detalle_Todo'!$C$2:$C$353,$B10,'Detalle_Todo'!$A$2:$A$353,"Semifinal")</x:f>
        <x:v>6</x:v>
      </x:c>
      <x:c r="F10" t="n">
        <x:f>SUMIFS('Detalle_Todo'!$U$2:$U$353,'Detalle_Todo'!$C$2:$C$353,$B10,'Detalle_Todo'!$A$2:$A$353,"Tercer puesto")</x:f>
        <x:v>3</x:v>
      </x:c>
      <x:c r="G10" t="n">
        <x:f>SUMIFS('Detalle_Todo'!$U$2:$U$353,'Detalle_Todo'!$C$2:$C$353,$B10,'Detalle_Todo'!$A$2:$A$353,"Final")</x:f>
        <x:v>12</x:v>
      </x:c>
      <x:c r="H10" t="n">
        <x:f>SUM(C10:G10)</x:f>
        <x:v>88</x:v>
      </x:c>
      <x:c r="I10" t="n">
        <x:f>SUMIFS('8vos_Tabla'!$C$2:$C$23,'8vos_Tabla'!$A$2:$A$23,$B10)+COUNTIFS('Detalle_Todo'!$C$2:$C$353,$B10,'Detalle_Todo'!$A$2:$A$353,"&lt;&gt;8vos",'Detalle_Todo'!$Q$2:$Q$353,"&gt;0")</x:f>
        <x:v>0</x:v>
      </x:c>
      <x:c r="J10" t="n">
        <x:f>SUMIFS('8vos_Tabla'!$D$2:$D$23,'8vos_Tabla'!$A$2:$A$23,$B10)+COUNTIFS('Detalle_Todo'!$C$2:$C$353,$B10,'Detalle_Todo'!$A$2:$A$353,"&lt;&gt;8vos",'Detalle_Todo'!$O$2:$O$353,"&gt;0")</x:f>
        <x:v>11</x:v>
      </x:c>
      <x:c r="K10" t="n">
        <x:f>SUMIFS('8vos_Tabla'!$E$2:$E$23,'8vos_Tabla'!$A$2:$A$23,$B10)+COUNTIFS('Detalle_Todo'!$C$2:$C$353,$B10,'Detalle_Todo'!$A$2:$A$353,"&lt;&gt;8vos",'Detalle_Todo'!$P$2:$P$353,"&gt;0")</x:f>
        <x:v>8</x:v>
      </x:c>
      <x:c r="L10" t="n">
        <x:f>SUMIFS('8vos_Tabla'!$G$2:$G$23,'8vos_Tabla'!$A$2:$A$23,$B10)+COUNTIFS('Detalle_Todo'!$C$2:$C$353,$B10,'Detalle_Todo'!$A$2:$A$353,"&lt;&gt;8vos",'Detalle_Todo'!$H$2:$H$353,"Sin envio")</x:f>
        <x:v>0</x:v>
      </x:c>
    </x:row>
    <x:row r="11" ht="15" hidden="0" customHeight="1">
      <x:c r="A11" t="n">
        <x:v>10</x:v>
      </x:c>
      <x:c r="B11" t="str">
        <x:v>Arthur</x:v>
      </x:c>
      <x:c r="C11" t="n">
        <x:f>SUMIFS('8vos_Tabla'!$B$2:$B$23,'8vos_Tabla'!$A$2:$A$23,$B11)</x:f>
        <x:v>35</x:v>
      </x:c>
      <x:c r="D11" t="n">
        <x:f>SUMIFS('Detalle_Todo'!$U$2:$U$353,'Detalle_Todo'!$C$2:$C$353,$B11,'Detalle_Todo'!$A$2:$A$353,"4tos")</x:f>
        <x:v>39</x:v>
      </x:c>
      <x:c r="E11" t="n">
        <x:f>SUMIFS('Detalle_Todo'!$U$2:$U$353,'Detalle_Todo'!$C$2:$C$353,$B11,'Detalle_Todo'!$A$2:$A$353,"Semifinal")</x:f>
        <x:v>0</x:v>
      </x:c>
      <x:c r="F11" t="n">
        <x:f>SUMIFS('Detalle_Todo'!$U$2:$U$353,'Detalle_Todo'!$C$2:$C$353,$B11,'Detalle_Todo'!$A$2:$A$353,"Tercer puesto")</x:f>
        <x:v>0</x:v>
      </x:c>
      <x:c r="G11" t="n">
        <x:f>SUMIFS('Detalle_Todo'!$U$2:$U$353,'Detalle_Todo'!$C$2:$C$353,$B11,'Detalle_Todo'!$A$2:$A$353,"Final")</x:f>
        <x:v>12</x:v>
      </x:c>
      <x:c r="H11" t="n">
        <x:f>SUM(C11:G11)</x:f>
        <x:v>86</x:v>
      </x:c>
      <x:c r="I11" t="n">
        <x:f>SUMIFS('8vos_Tabla'!$C$2:$C$23,'8vos_Tabla'!$A$2:$A$23,$B11)+COUNTIFS('Detalle_Todo'!$C$2:$C$353,$B11,'Detalle_Todo'!$A$2:$A$353,"&lt;&gt;8vos",'Detalle_Todo'!$Q$2:$Q$353,"&gt;0")</x:f>
        <x:v>2</x:v>
      </x:c>
      <x:c r="J11" t="n">
        <x:f>SUMIFS('8vos_Tabla'!$D$2:$D$23,'8vos_Tabla'!$A$2:$A$23,$B11)+COUNTIFS('Detalle_Todo'!$C$2:$C$353,$B11,'Detalle_Todo'!$A$2:$A$353,"&lt;&gt;8vos",'Detalle_Todo'!$O$2:$O$353,"&gt;0")</x:f>
        <x:v>9</x:v>
      </x:c>
      <x:c r="K11" t="n">
        <x:f>SUMIFS('8vos_Tabla'!$E$2:$E$23,'8vos_Tabla'!$A$2:$A$23,$B11)+COUNTIFS('Detalle_Todo'!$C$2:$C$353,$B11,'Detalle_Todo'!$A$2:$A$353,"&lt;&gt;8vos",'Detalle_Todo'!$P$2:$P$353,"&gt;0")</x:f>
        <x:v>7</x:v>
      </x:c>
      <x:c r="L11" t="n">
        <x:f>SUMIFS('8vos_Tabla'!$G$2:$G$23,'8vos_Tabla'!$A$2:$A$23,$B11)+COUNTIFS('Detalle_Todo'!$C$2:$C$353,$B11,'Detalle_Todo'!$A$2:$A$353,"&lt;&gt;8vos",'Detalle_Todo'!$H$2:$H$353,"Sin envio")</x:f>
        <x:v>0</x:v>
      </x:c>
    </x:row>
    <x:row r="12" ht="15" hidden="0" customHeight="1">
      <x:c r="A12" t="n">
        <x:v>11</x:v>
      </x:c>
      <x:c r="B12" t="str">
        <x:v>Manuel</x:v>
      </x:c>
      <x:c r="C12" t="n">
        <x:f>SUMIFS('8vos_Tabla'!$B$2:$B$23,'8vos_Tabla'!$A$2:$A$23,$B12)</x:f>
        <x:v>39</x:v>
      </x:c>
      <x:c r="D12" t="n">
        <x:f>SUMIFS('Detalle_Todo'!$U$2:$U$353,'Detalle_Todo'!$C$2:$C$353,$B12,'Detalle_Todo'!$A$2:$A$353,"4tos")</x:f>
        <x:v>29</x:v>
      </x:c>
      <x:c r="E12" t="n">
        <x:f>SUMIFS('Detalle_Todo'!$U$2:$U$353,'Detalle_Todo'!$C$2:$C$353,$B12,'Detalle_Todo'!$A$2:$A$353,"Semifinal")</x:f>
        <x:v>0</x:v>
      </x:c>
      <x:c r="F12" t="n">
        <x:f>SUMIFS('Detalle_Todo'!$U$2:$U$353,'Detalle_Todo'!$C$2:$C$353,$B12,'Detalle_Todo'!$A$2:$A$353,"Tercer puesto")</x:f>
        <x:v>0</x:v>
      </x:c>
      <x:c r="G12" t="n">
        <x:f>SUMIFS('Detalle_Todo'!$U$2:$U$353,'Detalle_Todo'!$C$2:$C$353,$B12,'Detalle_Todo'!$A$2:$A$353,"Final")</x:f>
        <x:v>0</x:v>
      </x:c>
      <x:c r="H12" t="n">
        <x:f>SUM(C12:G12)</x:f>
        <x:v>68</x:v>
      </x:c>
      <x:c r="I12" t="n">
        <x:f>SUMIFS('8vos_Tabla'!$C$2:$C$23,'8vos_Tabla'!$A$2:$A$23,$B12)+COUNTIFS('Detalle_Todo'!$C$2:$C$353,$B12,'Detalle_Todo'!$A$2:$A$353,"&lt;&gt;8vos",'Detalle_Todo'!$Q$2:$Q$353,"&gt;0")</x:f>
        <x:v>2</x:v>
      </x:c>
      <x:c r="J12" t="n">
        <x:f>SUMIFS('8vos_Tabla'!$D$2:$D$23,'8vos_Tabla'!$A$2:$A$23,$B12)+COUNTIFS('Detalle_Todo'!$C$2:$C$353,$B12,'Detalle_Todo'!$A$2:$A$353,"&lt;&gt;8vos",'Detalle_Todo'!$O$2:$O$353,"&gt;0")</x:f>
        <x:v>7</x:v>
      </x:c>
      <x:c r="K12" t="n">
        <x:f>SUMIFS('8vos_Tabla'!$E$2:$E$23,'8vos_Tabla'!$A$2:$A$23,$B12)+COUNTIFS('Detalle_Todo'!$C$2:$C$353,$B12,'Detalle_Todo'!$A$2:$A$353,"&lt;&gt;8vos",'Detalle_Todo'!$P$2:$P$353,"&gt;0")</x:f>
        <x:v>4</x:v>
      </x:c>
      <x:c r="L12" t="n">
        <x:f>SUMIFS('8vos_Tabla'!$G$2:$G$23,'8vos_Tabla'!$A$2:$A$23,$B12)+COUNTIFS('Detalle_Todo'!$C$2:$C$353,$B12,'Detalle_Todo'!$A$2:$A$353,"&lt;&gt;8vos",'Detalle_Todo'!$H$2:$H$353,"Sin envio")</x:f>
        <x:v>2</x:v>
      </x:c>
    </x:row>
    <x:row r="13" ht="15" hidden="0" customHeight="1">
      <x:c r="A13" t="n">
        <x:v>12</x:v>
      </x:c>
      <x:c r="B13" t="str">
        <x:v>Daniel</x:v>
      </x:c>
      <x:c r="C13" t="n">
        <x:f>SUMIFS('8vos_Tabla'!$B$2:$B$23,'8vos_Tabla'!$A$2:$A$23,$B13)</x:f>
        <x:v>32</x:v>
      </x:c>
      <x:c r="D13" t="n">
        <x:f>SUMIFS('Detalle_Todo'!$U$2:$U$353,'Detalle_Todo'!$C$2:$C$353,$B13,'Detalle_Todo'!$A$2:$A$353,"4tos")</x:f>
        <x:v>29</x:v>
      </x:c>
      <x:c r="E13" t="n">
        <x:f>SUMIFS('Detalle_Todo'!$U$2:$U$353,'Detalle_Todo'!$C$2:$C$353,$B13,'Detalle_Todo'!$A$2:$A$353,"Semifinal")</x:f>
        <x:v>0</x:v>
      </x:c>
      <x:c r="F13" t="n">
        <x:f>SUMIFS('Detalle_Todo'!$U$2:$U$353,'Detalle_Todo'!$C$2:$C$353,$B13,'Detalle_Todo'!$A$2:$A$353,"Tercer puesto")</x:f>
        <x:v>0</x:v>
      </x:c>
      <x:c r="G13" t="n">
        <x:f>SUMIFS('Detalle_Todo'!$U$2:$U$353,'Detalle_Todo'!$C$2:$C$353,$B13,'Detalle_Todo'!$A$2:$A$353,"Final")</x:f>
        <x:v>0</x:v>
      </x:c>
      <x:c r="H13" t="n">
        <x:f>SUM(C13:G13)</x:f>
        <x:v>61</x:v>
      </x:c>
      <x:c r="I13" t="n">
        <x:f>SUMIFS('8vos_Tabla'!$C$2:$C$23,'8vos_Tabla'!$A$2:$A$23,$B13)+COUNTIFS('Detalle_Todo'!$C$2:$C$353,$B13,'Detalle_Todo'!$A$2:$A$353,"&lt;&gt;8vos",'Detalle_Todo'!$Q$2:$Q$353,"&gt;0")</x:f>
        <x:v>1</x:v>
      </x:c>
      <x:c r="J13" t="n">
        <x:f>SUMIFS('8vos_Tabla'!$D$2:$D$23,'8vos_Tabla'!$A$2:$A$23,$B13)+COUNTIFS('Detalle_Todo'!$C$2:$C$353,$B13,'Detalle_Todo'!$A$2:$A$353,"&lt;&gt;8vos",'Detalle_Todo'!$O$2:$O$353,"&gt;0")</x:f>
        <x:v>5</x:v>
      </x:c>
      <x:c r="K13" t="n">
        <x:f>SUMIFS('8vos_Tabla'!$E$2:$E$23,'8vos_Tabla'!$A$2:$A$23,$B13)+COUNTIFS('Detalle_Todo'!$C$2:$C$353,$B13,'Detalle_Todo'!$A$2:$A$353,"&lt;&gt;8vos",'Detalle_Todo'!$P$2:$P$353,"&gt;0")</x:f>
        <x:v>4</x:v>
      </x:c>
      <x:c r="L13" t="n">
        <x:f>SUMIFS('8vos_Tabla'!$G$2:$G$23,'8vos_Tabla'!$A$2:$A$23,$B13)+COUNTIFS('Detalle_Todo'!$C$2:$C$353,$B13,'Detalle_Todo'!$A$2:$A$353,"&lt;&gt;8vos",'Detalle_Todo'!$H$2:$H$353,"Sin envio")</x:f>
        <x:v>4</x:v>
      </x:c>
    </x:row>
    <x:row r="14" ht="15" hidden="0" customHeight="1">
      <x:c r="A14" t="n">
        <x:v>13</x:v>
      </x:c>
      <x:c r="B14" t="str">
        <x:v>Óscar</x:v>
      </x:c>
      <x:c r="C14" t="n">
        <x:f>SUMIFS('8vos_Tabla'!$B$2:$B$23,'8vos_Tabla'!$A$2:$A$23,$B14)</x:f>
        <x:v>32</x:v>
      </x:c>
      <x:c r="D14" t="n">
        <x:f>SUMIFS('Detalle_Todo'!$U$2:$U$353,'Detalle_Todo'!$C$2:$C$353,$B14,'Detalle_Todo'!$A$2:$A$353,"4tos")</x:f>
        <x:v>26</x:v>
      </x:c>
      <x:c r="E14" t="n">
        <x:f>SUMIFS('Detalle_Todo'!$U$2:$U$353,'Detalle_Todo'!$C$2:$C$353,$B14,'Detalle_Todo'!$A$2:$A$353,"Semifinal")</x:f>
        <x:v>3</x:v>
      </x:c>
      <x:c r="F14" t="n">
        <x:f>SUMIFS('Detalle_Todo'!$U$2:$U$353,'Detalle_Todo'!$C$2:$C$353,$B14,'Detalle_Todo'!$A$2:$A$353,"Tercer puesto")</x:f>
        <x:v>0</x:v>
      </x:c>
      <x:c r="G14" t="n">
        <x:f>SUMIFS('Detalle_Todo'!$U$2:$U$353,'Detalle_Todo'!$C$2:$C$353,$B14,'Detalle_Todo'!$A$2:$A$353,"Final")</x:f>
        <x:v>0</x:v>
      </x:c>
      <x:c r="H14" t="n">
        <x:f>SUM(C14:G14)</x:f>
        <x:v>61</x:v>
      </x:c>
      <x:c r="I14" t="n">
        <x:f>SUMIFS('8vos_Tabla'!$C$2:$C$23,'8vos_Tabla'!$A$2:$A$23,$B14)+COUNTIFS('Detalle_Todo'!$C$2:$C$353,$B14,'Detalle_Todo'!$A$2:$A$353,"&lt;&gt;8vos",'Detalle_Todo'!$Q$2:$Q$353,"&gt;0")</x:f>
        <x:v>0</x:v>
      </x:c>
      <x:c r="J14" t="n">
        <x:f>SUMIFS('8vos_Tabla'!$D$2:$D$23,'8vos_Tabla'!$A$2:$A$23,$B14)+COUNTIFS('Detalle_Todo'!$C$2:$C$353,$B14,'Detalle_Todo'!$A$2:$A$353,"&lt;&gt;8vos",'Detalle_Todo'!$O$2:$O$353,"&gt;0")</x:f>
        <x:v>10</x:v>
      </x:c>
      <x:c r="K14" t="n">
        <x:f>SUMIFS('8vos_Tabla'!$E$2:$E$23,'8vos_Tabla'!$A$2:$A$23,$B14)+COUNTIFS('Detalle_Todo'!$C$2:$C$353,$B14,'Detalle_Todo'!$A$2:$A$353,"&lt;&gt;8vos",'Detalle_Todo'!$P$2:$P$353,"&gt;0")</x:f>
        <x:v>3</x:v>
      </x:c>
      <x:c r="L14" t="n">
        <x:f>SUMIFS('8vos_Tabla'!$G$2:$G$23,'8vos_Tabla'!$A$2:$A$23,$B14)+COUNTIFS('Detalle_Todo'!$C$2:$C$353,$B14,'Detalle_Todo'!$A$2:$A$353,"&lt;&gt;8vos",'Detalle_Todo'!$H$2:$H$353,"Sin envio")</x:f>
        <x:v>0</x:v>
      </x:c>
    </x:row>
    <x:row r="15" ht="15" hidden="0" customHeight="1">
      <x:c r="A15" t="n">
        <x:v>14</x:v>
      </x:c>
      <x:c r="B15" t="str">
        <x:v>Fernando</x:v>
      </x:c>
      <x:c r="C15" t="n">
        <x:f>SUMIFS('8vos_Tabla'!$B$2:$B$23,'8vos_Tabla'!$A$2:$A$23,$B15)</x:f>
        <x:v>25</x:v>
      </x:c>
      <x:c r="D15" t="n">
        <x:f>SUMIFS('Detalle_Todo'!$U$2:$U$353,'Detalle_Todo'!$C$2:$C$353,$B15,'Detalle_Todo'!$A$2:$A$353,"4tos")</x:f>
        <x:v>26</x:v>
      </x:c>
      <x:c r="E15" t="n">
        <x:f>SUMIFS('Detalle_Todo'!$U$2:$U$353,'Detalle_Todo'!$C$2:$C$353,$B15,'Detalle_Todo'!$A$2:$A$353,"Semifinal")</x:f>
        <x:v>3</x:v>
      </x:c>
      <x:c r="F15" t="n">
        <x:f>SUMIFS('Detalle_Todo'!$U$2:$U$353,'Detalle_Todo'!$C$2:$C$353,$B15,'Detalle_Todo'!$A$2:$A$353,"Tercer puesto")</x:f>
        <x:v>5</x:v>
      </x:c>
      <x:c r="G15" t="n">
        <x:f>SUMIFS('Detalle_Todo'!$U$2:$U$353,'Detalle_Todo'!$C$2:$C$353,$B15,'Detalle_Todo'!$A$2:$A$353,"Final")</x:f>
        <x:v>0</x:v>
      </x:c>
      <x:c r="H15" t="n">
        <x:f>SUM(C15:G15)</x:f>
        <x:v>59</x:v>
      </x:c>
      <x:c r="I15" t="n">
        <x:f>SUMIFS('8vos_Tabla'!$C$2:$C$23,'8vos_Tabla'!$A$2:$A$23,$B15)+COUNTIFS('Detalle_Todo'!$C$2:$C$353,$B15,'Detalle_Todo'!$A$2:$A$353,"&lt;&gt;8vos",'Detalle_Todo'!$Q$2:$Q$353,"&gt;0")</x:f>
        <x:v>0</x:v>
      </x:c>
      <x:c r="J15" t="n">
        <x:f>SUMIFS('8vos_Tabla'!$D$2:$D$23,'8vos_Tabla'!$A$2:$A$23,$B15)+COUNTIFS('Detalle_Todo'!$C$2:$C$353,$B15,'Detalle_Todo'!$A$2:$A$353,"&lt;&gt;8vos",'Detalle_Todo'!$O$2:$O$353,"&gt;0")</x:f>
        <x:v>8</x:v>
      </x:c>
      <x:c r="K15" t="n">
        <x:f>SUMIFS('8vos_Tabla'!$E$2:$E$23,'8vos_Tabla'!$A$2:$A$23,$B15)+COUNTIFS('Detalle_Todo'!$C$2:$C$353,$B15,'Detalle_Todo'!$A$2:$A$353,"&lt;&gt;8vos",'Detalle_Todo'!$P$2:$P$353,"&gt;0")</x:f>
        <x:v>6</x:v>
      </x:c>
      <x:c r="L15" t="n">
        <x:f>SUMIFS('8vos_Tabla'!$G$2:$G$23,'8vos_Tabla'!$A$2:$A$23,$B15)+COUNTIFS('Detalle_Todo'!$C$2:$C$353,$B15,'Detalle_Todo'!$A$2:$A$353,"&lt;&gt;8vos",'Detalle_Todo'!$H$2:$H$353,"Sin envio")</x:f>
        <x:v>0</x:v>
      </x:c>
    </x:row>
    <x:row r="16" ht="15" hidden="0" customHeight="1">
      <x:c r="A16" t="n">
        <x:v>15</x:v>
      </x:c>
      <x:c r="B16" t="str">
        <x:v>Moisés</x:v>
      </x:c>
      <x:c r="C16" t="n">
        <x:f>SUMIFS('8vos_Tabla'!$B$2:$B$23,'8vos_Tabla'!$A$2:$A$23,$B16)</x:f>
        <x:v>27</x:v>
      </x:c>
      <x:c r="D16" t="n">
        <x:f>SUMIFS('Detalle_Todo'!$U$2:$U$353,'Detalle_Todo'!$C$2:$C$353,$B16,'Detalle_Todo'!$A$2:$A$353,"4tos")</x:f>
        <x:v>29</x:v>
      </x:c>
      <x:c r="E16" t="n">
        <x:f>SUMIFS('Detalle_Todo'!$U$2:$U$353,'Detalle_Todo'!$C$2:$C$353,$B16,'Detalle_Todo'!$A$2:$A$353,"Semifinal")</x:f>
        <x:v>0</x:v>
      </x:c>
      <x:c r="F16" t="n">
        <x:f>SUMIFS('Detalle_Todo'!$U$2:$U$353,'Detalle_Todo'!$C$2:$C$353,$B16,'Detalle_Todo'!$A$2:$A$353,"Tercer puesto")</x:f>
        <x:v>0</x:v>
      </x:c>
      <x:c r="G16" t="n">
        <x:f>SUMIFS('Detalle_Todo'!$U$2:$U$353,'Detalle_Todo'!$C$2:$C$353,$B16,'Detalle_Todo'!$A$2:$A$353,"Final")</x:f>
        <x:v>0</x:v>
      </x:c>
      <x:c r="H16" t="n">
        <x:f>SUM(C16:G16)</x:f>
        <x:v>56</x:v>
      </x:c>
      <x:c r="I16" t="n">
        <x:f>SUMIFS('8vos_Tabla'!$C$2:$C$23,'8vos_Tabla'!$A$2:$A$23,$B16)+COUNTIFS('Detalle_Todo'!$C$2:$C$353,$B16,'Detalle_Todo'!$A$2:$A$353,"&lt;&gt;8vos",'Detalle_Todo'!$Q$2:$Q$353,"&gt;0")</x:f>
        <x:v>1</x:v>
      </x:c>
      <x:c r="J16" t="n">
        <x:f>SUMIFS('8vos_Tabla'!$D$2:$D$23,'8vos_Tabla'!$A$2:$A$23,$B16)+COUNTIFS('Detalle_Todo'!$C$2:$C$353,$B16,'Detalle_Todo'!$A$2:$A$353,"&lt;&gt;8vos",'Detalle_Todo'!$O$2:$O$353,"&gt;0")</x:f>
        <x:v>7</x:v>
      </x:c>
      <x:c r="K16" t="n">
        <x:f>SUMIFS('8vos_Tabla'!$E$2:$E$23,'8vos_Tabla'!$A$2:$A$23,$B16)+COUNTIFS('Detalle_Todo'!$C$2:$C$353,$B16,'Detalle_Todo'!$A$2:$A$353,"&lt;&gt;8vos",'Detalle_Todo'!$P$2:$P$353,"&gt;0")</x:f>
        <x:v>3</x:v>
      </x:c>
      <x:c r="L16" t="n">
        <x:f>SUMIFS('8vos_Tabla'!$G$2:$G$23,'8vos_Tabla'!$A$2:$A$23,$B16)+COUNTIFS('Detalle_Todo'!$C$2:$C$353,$B16,'Detalle_Todo'!$A$2:$A$353,"&lt;&gt;8vos",'Detalle_Todo'!$H$2:$H$353,"Sin envio")</x:f>
        <x:v>2</x:v>
      </x:c>
    </x:row>
    <x:row r="17" ht="15" hidden="0" customHeight="1">
      <x:c r="A17" t="n">
        <x:v>16</x:v>
      </x:c>
      <x:c r="B17" t="str">
        <x:v>Gino</x:v>
      </x:c>
      <x:c r="C17" t="n">
        <x:f>SUMIFS('8vos_Tabla'!$B$2:$B$23,'8vos_Tabla'!$A$2:$A$23,$B17)</x:f>
        <x:v>42</x:v>
      </x:c>
      <x:c r="D17" t="n">
        <x:f>SUMIFS('Detalle_Todo'!$U$2:$U$353,'Detalle_Todo'!$C$2:$C$353,$B17,'Detalle_Todo'!$A$2:$A$353,"4tos")</x:f>
        <x:v>14</x:v>
      </x:c>
      <x:c r="E17" t="n">
        <x:f>SUMIFS('Detalle_Todo'!$U$2:$U$353,'Detalle_Todo'!$C$2:$C$353,$B17,'Detalle_Todo'!$A$2:$A$353,"Semifinal")</x:f>
        <x:v>0</x:v>
      </x:c>
      <x:c r="F17" t="n">
        <x:f>SUMIFS('Detalle_Todo'!$U$2:$U$353,'Detalle_Todo'!$C$2:$C$353,$B17,'Detalle_Todo'!$A$2:$A$353,"Tercer puesto")</x:f>
        <x:v>0</x:v>
      </x:c>
      <x:c r="G17" t="n">
        <x:f>SUMIFS('Detalle_Todo'!$U$2:$U$353,'Detalle_Todo'!$C$2:$C$353,$B17,'Detalle_Todo'!$A$2:$A$353,"Final")</x:f>
        <x:v>0</x:v>
      </x:c>
      <x:c r="H17" t="n">
        <x:f>SUM(C17:G17)</x:f>
        <x:v>56</x:v>
      </x:c>
      <x:c r="I17" t="n">
        <x:f>SUMIFS('8vos_Tabla'!$C$2:$C$23,'8vos_Tabla'!$A$2:$A$23,$B17)+COUNTIFS('Detalle_Todo'!$C$2:$C$353,$B17,'Detalle_Todo'!$A$2:$A$353,"&lt;&gt;8vos",'Detalle_Todo'!$Q$2:$Q$353,"&gt;0")</x:f>
        <x:v>0</x:v>
      </x:c>
      <x:c r="J17" t="n">
        <x:f>SUMIFS('8vos_Tabla'!$D$2:$D$23,'8vos_Tabla'!$A$2:$A$23,$B17)+COUNTIFS('Detalle_Todo'!$C$2:$C$353,$B17,'Detalle_Todo'!$A$2:$A$353,"&lt;&gt;8vos",'Detalle_Todo'!$O$2:$O$353,"&gt;0")</x:f>
        <x:v>8</x:v>
      </x:c>
      <x:c r="K17" t="n">
        <x:f>SUMIFS('8vos_Tabla'!$E$2:$E$23,'8vos_Tabla'!$A$2:$A$23,$B17)+COUNTIFS('Detalle_Todo'!$C$2:$C$353,$B17,'Detalle_Todo'!$A$2:$A$353,"&lt;&gt;8vos",'Detalle_Todo'!$P$2:$P$353,"&gt;0")</x:f>
        <x:v>5</x:v>
      </x:c>
      <x:c r="L17" t="n">
        <x:f>SUMIFS('8vos_Tabla'!$G$2:$G$23,'8vos_Tabla'!$A$2:$A$23,$B17)+COUNTIFS('Detalle_Todo'!$C$2:$C$353,$B17,'Detalle_Todo'!$A$2:$A$353,"&lt;&gt;8vos",'Detalle_Todo'!$H$2:$H$353,"Sin envio")</x:f>
        <x:v>0</x:v>
      </x:c>
    </x:row>
    <x:row r="18" ht="15" hidden="0" customHeight="1">
      <x:c r="A18" t="n">
        <x:v>17</x:v>
      </x:c>
      <x:c r="B18" t="str">
        <x:v>Javier</x:v>
      </x:c>
      <x:c r="C18" t="n">
        <x:f>SUMIFS('8vos_Tabla'!$B$2:$B$23,'8vos_Tabla'!$A$2:$A$23,$B18)</x:f>
        <x:v>44</x:v>
      </x:c>
      <x:c r="D18" t="n">
        <x:f>SUMIFS('Detalle_Todo'!$U$2:$U$353,'Detalle_Todo'!$C$2:$C$353,$B18,'Detalle_Todo'!$A$2:$A$353,"4tos")</x:f>
        <x:v>6</x:v>
      </x:c>
      <x:c r="E18" t="n">
        <x:f>SUMIFS('Detalle_Todo'!$U$2:$U$353,'Detalle_Todo'!$C$2:$C$353,$B18,'Detalle_Todo'!$A$2:$A$353,"Semifinal")</x:f>
        <x:v>0</x:v>
      </x:c>
      <x:c r="F18" t="n">
        <x:f>SUMIFS('Detalle_Todo'!$U$2:$U$353,'Detalle_Todo'!$C$2:$C$353,$B18,'Detalle_Todo'!$A$2:$A$353,"Tercer puesto")</x:f>
        <x:v>0</x:v>
      </x:c>
      <x:c r="G18" t="n">
        <x:f>SUMIFS('Detalle_Todo'!$U$2:$U$353,'Detalle_Todo'!$C$2:$C$353,$B18,'Detalle_Todo'!$A$2:$A$353,"Final")</x:f>
        <x:v>0</x:v>
      </x:c>
      <x:c r="H18" t="n">
        <x:f>SUM(C18:G18)</x:f>
        <x:v>50</x:v>
      </x:c>
      <x:c r="I18" t="n">
        <x:f>SUMIFS('8vos_Tabla'!$C$2:$C$23,'8vos_Tabla'!$A$2:$A$23,$B18)+COUNTIFS('Detalle_Todo'!$C$2:$C$353,$B18,'Detalle_Todo'!$A$2:$A$353,"&lt;&gt;8vos",'Detalle_Todo'!$Q$2:$Q$353,"&gt;0")</x:f>
        <x:v>0</x:v>
      </x:c>
      <x:c r="J18" t="n">
        <x:f>SUMIFS('8vos_Tabla'!$D$2:$D$23,'8vos_Tabla'!$A$2:$A$23,$B18)+COUNTIFS('Detalle_Todo'!$C$2:$C$353,$B18,'Detalle_Todo'!$A$2:$A$353,"&lt;&gt;8vos",'Detalle_Todo'!$O$2:$O$353,"&gt;0")</x:f>
        <x:v>6</x:v>
      </x:c>
      <x:c r="K18" t="n">
        <x:f>SUMIFS('8vos_Tabla'!$E$2:$E$23,'8vos_Tabla'!$A$2:$A$23,$B18)+COUNTIFS('Detalle_Todo'!$C$2:$C$353,$B18,'Detalle_Todo'!$A$2:$A$353,"&lt;&gt;8vos",'Detalle_Todo'!$P$2:$P$353,"&gt;0")</x:f>
        <x:v>5</x:v>
      </x:c>
      <x:c r="L18" t="n">
        <x:f>SUMIFS('8vos_Tabla'!$G$2:$G$23,'8vos_Tabla'!$A$2:$A$23,$B18)+COUNTIFS('Detalle_Todo'!$C$2:$C$353,$B18,'Detalle_Todo'!$A$2:$A$353,"&lt;&gt;8vos",'Detalle_Todo'!$H$2:$H$353,"Sin envio")</x:f>
        <x:v>4</x:v>
      </x:c>
    </x:row>
    <x:row r="19" ht="15" hidden="0" customHeight="1">
      <x:c r="A19" t="n">
        <x:v>18</x:v>
      </x:c>
      <x:c r="B19" t="str">
        <x:v>Juan</x:v>
      </x:c>
      <x:c r="C19" t="n">
        <x:f>SUMIFS('8vos_Tabla'!$B$2:$B$23,'8vos_Tabla'!$A$2:$A$23,$B19)</x:f>
        <x:v>36</x:v>
      </x:c>
      <x:c r="D19" t="n">
        <x:f>SUMIFS('Detalle_Todo'!$U$2:$U$353,'Detalle_Todo'!$C$2:$C$353,$B19,'Detalle_Todo'!$A$2:$A$353,"4tos")</x:f>
        <x:v>0</x:v>
      </x:c>
      <x:c r="E19" t="n">
        <x:f>SUMIFS('Detalle_Todo'!$U$2:$U$353,'Detalle_Todo'!$C$2:$C$353,$B19,'Detalle_Todo'!$A$2:$A$353,"Semifinal")</x:f>
        <x:v>6</x:v>
      </x:c>
      <x:c r="F19" t="n">
        <x:f>SUMIFS('Detalle_Todo'!$U$2:$U$353,'Detalle_Todo'!$C$2:$C$353,$B19,'Detalle_Todo'!$A$2:$A$353,"Tercer puesto")</x:f>
        <x:v>0</x:v>
      </x:c>
      <x:c r="G19" t="n">
        <x:f>SUMIFS('Detalle_Todo'!$U$2:$U$353,'Detalle_Todo'!$C$2:$C$353,$B19,'Detalle_Todo'!$A$2:$A$353,"Final")</x:f>
        <x:v>0</x:v>
      </x:c>
      <x:c r="H19" t="n">
        <x:f>SUM(C19:G19)</x:f>
        <x:v>42</x:v>
      </x:c>
      <x:c r="I19" t="n">
        <x:f>SUMIFS('8vos_Tabla'!$C$2:$C$23,'8vos_Tabla'!$A$2:$A$23,$B19)+COUNTIFS('Detalle_Todo'!$C$2:$C$353,$B19,'Detalle_Todo'!$A$2:$A$353,"&lt;&gt;8vos",'Detalle_Todo'!$Q$2:$Q$353,"&gt;0")</x:f>
        <x:v>0</x:v>
      </x:c>
      <x:c r="J19" t="n">
        <x:f>SUMIFS('8vos_Tabla'!$D$2:$D$23,'8vos_Tabla'!$A$2:$A$23,$B19)+COUNTIFS('Detalle_Todo'!$C$2:$C$353,$B19,'Detalle_Todo'!$A$2:$A$353,"&lt;&gt;8vos",'Detalle_Todo'!$O$2:$O$353,"&gt;0")</x:f>
        <x:v>7</x:v>
      </x:c>
      <x:c r="K19" t="n">
        <x:f>SUMIFS('8vos_Tabla'!$E$2:$E$23,'8vos_Tabla'!$A$2:$A$23,$B19)+COUNTIFS('Detalle_Todo'!$C$2:$C$353,$B19,'Detalle_Todo'!$A$2:$A$353,"&lt;&gt;8vos",'Detalle_Todo'!$P$2:$P$353,"&gt;0")</x:f>
        <x:v>3</x:v>
      </x:c>
      <x:c r="L19" t="n">
        <x:f>SUMIFS('8vos_Tabla'!$G$2:$G$23,'8vos_Tabla'!$A$2:$A$23,$B19)+COUNTIFS('Detalle_Todo'!$C$2:$C$353,$B19,'Detalle_Todo'!$A$2:$A$353,"&lt;&gt;8vos",'Detalle_Todo'!$H$2:$H$353,"Sin envio")</x:f>
        <x:v>4</x:v>
      </x:c>
    </x:row>
    <x:row r="20" ht="15" hidden="0" customHeight="1">
      <x:c r="A20" t="n">
        <x:v>19</x:v>
      </x:c>
      <x:c r="B20" t="str">
        <x:v>Diana</x:v>
      </x:c>
      <x:c r="C20" t="n">
        <x:f>SUMIFS('8vos_Tabla'!$B$2:$B$23,'8vos_Tabla'!$A$2:$A$23,$B20)</x:f>
        <x:v>25</x:v>
      </x:c>
      <x:c r="D20" t="n">
        <x:f>SUMIFS('Detalle_Todo'!$U$2:$U$353,'Detalle_Todo'!$C$2:$C$353,$B20,'Detalle_Todo'!$A$2:$A$353,"4tos")</x:f>
        <x:v>0</x:v>
      </x:c>
      <x:c r="E20" t="n">
        <x:f>SUMIFS('Detalle_Todo'!$U$2:$U$353,'Detalle_Todo'!$C$2:$C$353,$B20,'Detalle_Todo'!$A$2:$A$353,"Semifinal")</x:f>
        <x:v>0</x:v>
      </x:c>
      <x:c r="F20" t="n">
        <x:f>SUMIFS('Detalle_Todo'!$U$2:$U$353,'Detalle_Todo'!$C$2:$C$353,$B20,'Detalle_Todo'!$A$2:$A$353,"Tercer puesto")</x:f>
        <x:v>0</x:v>
      </x:c>
      <x:c r="G20" t="n">
        <x:f>SUMIFS('Detalle_Todo'!$U$2:$U$353,'Detalle_Todo'!$C$2:$C$353,$B20,'Detalle_Todo'!$A$2:$A$353,"Final")</x:f>
        <x:v>0</x:v>
      </x:c>
      <x:c r="H20" t="n">
        <x:f>SUM(C20:G20)</x:f>
        <x:v>25</x:v>
      </x:c>
      <x:c r="I20" t="n">
        <x:f>SUMIFS('8vos_Tabla'!$C$2:$C$23,'8vos_Tabla'!$A$2:$A$23,$B20)+COUNTIFS('Detalle_Todo'!$C$2:$C$353,$B20,'Detalle_Todo'!$A$2:$A$353,"&lt;&gt;8vos",'Detalle_Todo'!$Q$2:$Q$353,"&gt;0")</x:f>
        <x:v>0</x:v>
      </x:c>
      <x:c r="J20" t="n">
        <x:f>SUMIFS('8vos_Tabla'!$D$2:$D$23,'8vos_Tabla'!$A$2:$A$23,$B20)+COUNTIFS('Detalle_Todo'!$C$2:$C$353,$B20,'Detalle_Todo'!$A$2:$A$353,"&lt;&gt;8vos",'Detalle_Todo'!$O$2:$O$353,"&gt;0")</x:f>
        <x:v>3</x:v>
      </x:c>
      <x:c r="K20" t="n">
        <x:f>SUMIFS('8vos_Tabla'!$E$2:$E$23,'8vos_Tabla'!$A$2:$A$23,$B20)+COUNTIFS('Detalle_Todo'!$C$2:$C$353,$B20,'Detalle_Todo'!$A$2:$A$353,"&lt;&gt;8vos",'Detalle_Todo'!$P$2:$P$353,"&gt;0")</x:f>
        <x:v>2</x:v>
      </x:c>
      <x:c r="L20" t="n">
        <x:f>SUMIFS('8vos_Tabla'!$G$2:$G$23,'8vos_Tabla'!$A$2:$A$23,$B20)+COUNTIFS('Detalle_Todo'!$C$2:$C$353,$B20,'Detalle_Todo'!$A$2:$A$353,"&lt;&gt;8vos",'Detalle_Todo'!$H$2:$H$353,"Sin envio")</x:f>
        <x:v>8</x:v>
      </x:c>
    </x:row>
    <x:row r="21" ht="15" hidden="0" customHeight="1">
      <x:c r="A21" t="n">
        <x:v>20</x:v>
      </x:c>
      <x:c r="B21" t="str">
        <x:v>José Luis</x:v>
      </x:c>
      <x:c r="C21" t="n">
        <x:f>SUMIFS('8vos_Tabla'!$B$2:$B$23,'8vos_Tabla'!$A$2:$A$23,$B21)</x:f>
        <x:v>0</x:v>
      </x:c>
      <x:c r="D21" t="n">
        <x:f>SUMIFS('Detalle_Todo'!$U$2:$U$353,'Detalle_Todo'!$C$2:$C$353,$B21,'Detalle_Todo'!$A$2:$A$353,"4tos")</x:f>
        <x:v>0</x:v>
      </x:c>
      <x:c r="E21" t="n">
        <x:f>SUMIFS('Detalle_Todo'!$U$2:$U$353,'Detalle_Todo'!$C$2:$C$353,$B21,'Detalle_Todo'!$A$2:$A$353,"Semifinal")</x:f>
        <x:v>0</x:v>
      </x:c>
      <x:c r="F21" t="n">
        <x:f>SUMIFS('Detalle_Todo'!$U$2:$U$353,'Detalle_Todo'!$C$2:$C$353,$B21,'Detalle_Todo'!$A$2:$A$353,"Tercer puesto")</x:f>
        <x:v>0</x:v>
      </x:c>
      <x:c r="G21" t="n">
        <x:f>SUMIFS('Detalle_Todo'!$U$2:$U$353,'Detalle_Todo'!$C$2:$C$353,$B21,'Detalle_Todo'!$A$2:$A$353,"Final")</x:f>
        <x:v>0</x:v>
      </x:c>
      <x:c r="H21" t="n">
        <x:f>SUM(C21:G21)</x:f>
        <x:v>0</x:v>
      </x:c>
      <x:c r="I21" t="n">
        <x:f>SUMIFS('8vos_Tabla'!$C$2:$C$23,'8vos_Tabla'!$A$2:$A$23,$B21)+COUNTIFS('Detalle_Todo'!$C$2:$C$353,$B21,'Detalle_Todo'!$A$2:$A$353,"&lt;&gt;8vos",'Detalle_Todo'!$Q$2:$Q$353,"&gt;0")</x:f>
        <x:v>0</x:v>
      </x:c>
      <x:c r="J21" t="n">
        <x:f>SUMIFS('8vos_Tabla'!$D$2:$D$23,'8vos_Tabla'!$A$2:$A$23,$B21)+COUNTIFS('Detalle_Todo'!$C$2:$C$353,$B21,'Detalle_Todo'!$A$2:$A$353,"&lt;&gt;8vos",'Detalle_Todo'!$O$2:$O$353,"&gt;0")</x:f>
        <x:v>0</x:v>
      </x:c>
      <x:c r="K21" t="n">
        <x:f>SUMIFS('8vos_Tabla'!$E$2:$E$23,'8vos_Tabla'!$A$2:$A$23,$B21)+COUNTIFS('Detalle_Todo'!$C$2:$C$353,$B21,'Detalle_Todo'!$A$2:$A$353,"&lt;&gt;8vos",'Detalle_Todo'!$P$2:$P$353,"&gt;0")</x:f>
        <x:v>0</x:v>
      </x:c>
      <x:c r="L21" t="n">
        <x:f>SUMIFS('8vos_Tabla'!$G$2:$G$23,'8vos_Tabla'!$A$2:$A$23,$B21)+COUNTIFS('Detalle_Todo'!$C$2:$C$353,$B21,'Detalle_Todo'!$A$2:$A$353,"&lt;&gt;8vos",'Detalle_Todo'!$H$2:$H$353,"Sin envio")</x:f>
        <x:v>8</x:v>
      </x:c>
    </x:row>
    <x:row r="22" ht="15" hidden="0" customHeight="1">
      <x:c r="A22" t="n">
        <x:v>21</x:v>
      </x:c>
      <x:c r="B22" t="str">
        <x:v>Marcelo</x:v>
      </x:c>
      <x:c r="C22" t="n">
        <x:f>SUMIFS('8vos_Tabla'!$B$2:$B$23,'8vos_Tabla'!$A$2:$A$23,$B22)</x:f>
        <x:v>0</x:v>
      </x:c>
      <x:c r="D22" t="n">
        <x:f>SUMIFS('Detalle_Todo'!$U$2:$U$353,'Detalle_Todo'!$C$2:$C$353,$B22,'Detalle_Todo'!$A$2:$A$353,"4tos")</x:f>
        <x:v>0</x:v>
      </x:c>
      <x:c r="E22" t="n">
        <x:f>SUMIFS('Detalle_Todo'!$U$2:$U$353,'Detalle_Todo'!$C$2:$C$353,$B22,'Detalle_Todo'!$A$2:$A$353,"Semifinal")</x:f>
        <x:v>0</x:v>
      </x:c>
      <x:c r="F22" t="n">
        <x:f>SUMIFS('Detalle_Todo'!$U$2:$U$353,'Detalle_Todo'!$C$2:$C$353,$B22,'Detalle_Todo'!$A$2:$A$353,"Tercer puesto")</x:f>
        <x:v>0</x:v>
      </x:c>
      <x:c r="G22" t="n">
        <x:f>SUMIFS('Detalle_Todo'!$U$2:$U$353,'Detalle_Todo'!$C$2:$C$353,$B22,'Detalle_Todo'!$A$2:$A$353,"Final")</x:f>
        <x:v>0</x:v>
      </x:c>
      <x:c r="H22" t="n">
        <x:f>SUM(C22:G22)</x:f>
        <x:v>0</x:v>
      </x:c>
      <x:c r="I22" t="n">
        <x:f>SUMIFS('8vos_Tabla'!$C$2:$C$23,'8vos_Tabla'!$A$2:$A$23,$B22)+COUNTIFS('Detalle_Todo'!$C$2:$C$353,$B22,'Detalle_Todo'!$A$2:$A$353,"&lt;&gt;8vos",'Detalle_Todo'!$Q$2:$Q$353,"&gt;0")</x:f>
        <x:v>0</x:v>
      </x:c>
      <x:c r="J22" t="n">
        <x:f>SUMIFS('8vos_Tabla'!$D$2:$D$23,'8vos_Tabla'!$A$2:$A$23,$B22)+COUNTIFS('Detalle_Todo'!$C$2:$C$353,$B22,'Detalle_Todo'!$A$2:$A$353,"&lt;&gt;8vos",'Detalle_Todo'!$O$2:$O$353,"&gt;0")</x:f>
        <x:v>0</x:v>
      </x:c>
      <x:c r="K22" t="n">
        <x:f>SUMIFS('8vos_Tabla'!$E$2:$E$23,'8vos_Tabla'!$A$2:$A$23,$B22)+COUNTIFS('Detalle_Todo'!$C$2:$C$353,$B22,'Detalle_Todo'!$A$2:$A$353,"&lt;&gt;8vos",'Detalle_Todo'!$P$2:$P$353,"&gt;0")</x:f>
        <x:v>0</x:v>
      </x:c>
      <x:c r="L22" t="n">
        <x:f>SUMIFS('8vos_Tabla'!$G$2:$G$23,'8vos_Tabla'!$A$2:$A$23,$B22)+COUNTIFS('Detalle_Todo'!$C$2:$C$353,$B22,'Detalle_Todo'!$A$2:$A$353,"&lt;&gt;8vos",'Detalle_Todo'!$H$2:$H$353,"Sin envio")</x:f>
        <x:v>8</x:v>
      </x:c>
    </x:row>
    <x:row r="23" ht="15" hidden="0" customHeight="1">
      <x:c r="A23" t="n">
        <x:v>22</x:v>
      </x:c>
      <x:c r="B23" t="str">
        <x:v>Omar</x:v>
      </x:c>
      <x:c r="C23" t="n">
        <x:f>SUMIFS('8vos_Tabla'!$B$2:$B$23,'8vos_Tabla'!$A$2:$A$23,$B23)</x:f>
        <x:v>0</x:v>
      </x:c>
      <x:c r="D23" t="n">
        <x:f>SUMIFS('Detalle_Todo'!$U$2:$U$353,'Detalle_Todo'!$C$2:$C$353,$B23,'Detalle_Todo'!$A$2:$A$353,"4tos")</x:f>
        <x:v>0</x:v>
      </x:c>
      <x:c r="E23" t="n">
        <x:f>SUMIFS('Detalle_Todo'!$U$2:$U$353,'Detalle_Todo'!$C$2:$C$353,$B23,'Detalle_Todo'!$A$2:$A$353,"Semifinal")</x:f>
        <x:v>0</x:v>
      </x:c>
      <x:c r="F23" t="n">
        <x:f>SUMIFS('Detalle_Todo'!$U$2:$U$353,'Detalle_Todo'!$C$2:$C$353,$B23,'Detalle_Todo'!$A$2:$A$353,"Tercer puesto")</x:f>
        <x:v>0</x:v>
      </x:c>
      <x:c r="G23" t="n">
        <x:f>SUMIFS('Detalle_Todo'!$U$2:$U$353,'Detalle_Todo'!$C$2:$C$353,$B23,'Detalle_Todo'!$A$2:$A$353,"Final")</x:f>
        <x:v>0</x:v>
      </x:c>
      <x:c r="H23" t="n">
        <x:f>SUM(C23:G23)</x:f>
        <x:v>0</x:v>
      </x:c>
      <x:c r="I23" t="n">
        <x:f>SUMIFS('8vos_Tabla'!$C$2:$C$23,'8vos_Tabla'!$A$2:$A$23,$B23)+COUNTIFS('Detalle_Todo'!$C$2:$C$353,$B23,'Detalle_Todo'!$A$2:$A$353,"&lt;&gt;8vos",'Detalle_Todo'!$Q$2:$Q$353,"&gt;0")</x:f>
        <x:v>0</x:v>
      </x:c>
      <x:c r="J23" t="n">
        <x:f>SUMIFS('8vos_Tabla'!$D$2:$D$23,'8vos_Tabla'!$A$2:$A$23,$B23)+COUNTIFS('Detalle_Todo'!$C$2:$C$353,$B23,'Detalle_Todo'!$A$2:$A$353,"&lt;&gt;8vos",'Detalle_Todo'!$O$2:$O$353,"&gt;0")</x:f>
        <x:v>0</x:v>
      </x:c>
      <x:c r="K23" t="n">
        <x:f>SUMIFS('8vos_Tabla'!$E$2:$E$23,'8vos_Tabla'!$A$2:$A$23,$B23)+COUNTIFS('Detalle_Todo'!$C$2:$C$353,$B23,'Detalle_Todo'!$A$2:$A$353,"&lt;&gt;8vos",'Detalle_Todo'!$P$2:$P$353,"&gt;0")</x:f>
        <x:v>0</x:v>
      </x:c>
      <x:c r="L23" t="n">
        <x:f>SUMIFS('8vos_Tabla'!$G$2:$G$23,'8vos_Tabla'!$A$2:$A$23,$B23)+COUNTIFS('Detalle_Todo'!$C$2:$C$353,$B23,'Detalle_Todo'!$A$2:$A$353,"&lt;&gt;8vos",'Detalle_Todo'!$H$2:$H$353,"Sin envio")</x:f>
        <x:v>8</x:v>
      </x:c>
    </x:row>
  </x:sheetData>
  <x:pageMargins left="0.7" right="0.7" top="0.75" bottom="0.75" header="0.3" footer="0.3"/>
  <x:tableParts count="1">
    <x:tablePart xmlns:r="http://schemas.openxmlformats.org/officeDocument/2006/relationships" r:id="Rbf23aa364e20492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8.630000114440918" hidden="0" customWidth="1"/>
    <x:col min="3" max="3" width="11.880000114440918" hidden="0" customWidth="1"/>
    <x:col min="4" max="4" width="9.75" hidden="0" customWidth="1"/>
    <x:col min="5" max="5" width="12" hidden="0" customWidth="1"/>
    <x:col min="6" max="6" width="11.880000114440918" hidden="0" customWidth="1"/>
    <x:col min="7" max="7" width="18.6299991607666" hidden="0" customWidth="1"/>
    <x:col min="8" max="8" width="11.5" hidden="0" customWidth="1"/>
    <x:col min="9" max="9" width="14.25" hidden="0" customWidth="1"/>
  </x:cols>
  <x:sheetData>
    <x:row r="1" ht="15" hidden="0" customHeight="1">
      <x:c r="A1" s="3" t="str">
        <x:v>Fase</x:v>
      </x:c>
      <x:c r="B1" s="3" t="str">
        <x:v>Partido</x:v>
      </x:c>
      <x:c r="C1" s="3" t="str">
        <x:v>Equipo A</x:v>
      </x:c>
      <x:c r="D1" s="3" t="str">
        <x:v>Equipo B</x:v>
      </x:c>
      <x:c r="E1" s="3" t="str">
        <x:v>Marcador A</x:v>
      </x:c>
      <x:c r="F1" s="3" t="str">
        <x:v>Marcador B</x:v>
      </x:c>
      <x:c r="G1" s="3" t="str">
        <x:v>Clasificado/Ganador</x:v>
      </x:c>
      <x:c r="H1" s="3" t="str">
        <x:v>Via oficial</x:v>
      </x:c>
      <x:c r="I1" s="3" t="str">
        <x:v>Fuente</x:v>
      </x:c>
    </x:row>
    <x:row r="2" ht="15" hidden="0" customHeight="1">
      <x:c r="A2" t="str">
        <x:v>8vos</x:v>
      </x:c>
      <x:c r="B2" t="str">
        <x:v>O1</x:v>
      </x:c>
      <x:c r="C2" t="str">
        <x:v>Canadá</x:v>
      </x:c>
      <x:c r="D2" t="str">
        <x:v>Marruecos</x:v>
      </x:c>
      <x:c r="E2" t="n">
        <x:v>0</x:v>
      </x:c>
      <x:c r="F2" t="n">
        <x:v>3</x:v>
      </x:c>
      <x:c r="G2" t="str">
        <x:v>Marruecos</x:v>
      </x:c>
      <x:c r="H2" t="str">
        <x:v>90 minutos</x:v>
      </x:c>
      <x:c r="I2" t="str">
        <x:v>Tabla original 8vos</x:v>
      </x:c>
    </x:row>
    <x:row r="3" ht="15" hidden="0" customHeight="1">
      <x:c r="A3" t="str">
        <x:v>8vos</x:v>
      </x:c>
      <x:c r="B3" t="str">
        <x:v>O2</x:v>
      </x:c>
      <x:c r="C3" t="str">
        <x:v>Paraguay</x:v>
      </x:c>
      <x:c r="D3" t="str">
        <x:v>Francia</x:v>
      </x:c>
      <x:c r="E3" t="n">
        <x:v>0</x:v>
      </x:c>
      <x:c r="F3" t="n">
        <x:v>1</x:v>
      </x:c>
      <x:c r="G3" t="str">
        <x:v>Francia</x:v>
      </x:c>
      <x:c r="H3" t="str">
        <x:v>90 minutos</x:v>
      </x:c>
      <x:c r="I3" t="str">
        <x:v>Tabla original 8vos</x:v>
      </x:c>
    </x:row>
    <x:row r="4" ht="15" hidden="0" customHeight="1">
      <x:c r="A4" t="str">
        <x:v>8vos</x:v>
      </x:c>
      <x:c r="B4" t="str">
        <x:v>O3</x:v>
      </x:c>
      <x:c r="C4" t="str">
        <x:v>Brasil</x:v>
      </x:c>
      <x:c r="D4" t="str">
        <x:v>Noruega</x:v>
      </x:c>
      <x:c r="E4" t="n">
        <x:v>1</x:v>
      </x:c>
      <x:c r="F4" t="n">
        <x:v>2</x:v>
      </x:c>
      <x:c r="G4" t="str">
        <x:v>Noruega</x:v>
      </x:c>
      <x:c r="H4" t="str">
        <x:v>90 minutos</x:v>
      </x:c>
      <x:c r="I4" t="str">
        <x:v>Tabla original 8vos</x:v>
      </x:c>
    </x:row>
    <x:row r="5" ht="15" hidden="0" customHeight="1">
      <x:c r="A5" t="str">
        <x:v>8vos</x:v>
      </x:c>
      <x:c r="B5" t="str">
        <x:v>O4</x:v>
      </x:c>
      <x:c r="C5" t="str">
        <x:v>México</x:v>
      </x:c>
      <x:c r="D5" t="str">
        <x:v>Inglaterra</x:v>
      </x:c>
      <x:c r="E5" t="n">
        <x:v>2</x:v>
      </x:c>
      <x:c r="F5" t="n">
        <x:v>3</x:v>
      </x:c>
      <x:c r="G5" t="str">
        <x:v>Inglaterra</x:v>
      </x:c>
      <x:c r="H5" t="str">
        <x:v>90 minutos</x:v>
      </x:c>
      <x:c r="I5" t="str">
        <x:v>Tabla original 8vos</x:v>
      </x:c>
    </x:row>
    <x:row r="6" ht="15" hidden="0" customHeight="1">
      <x:c r="A6" t="str">
        <x:v>8vos</x:v>
      </x:c>
      <x:c r="B6" t="str">
        <x:v>O5</x:v>
      </x:c>
      <x:c r="C6" t="str">
        <x:v>Estados Unidos</x:v>
      </x:c>
      <x:c r="D6" t="str">
        <x:v>Bélgica</x:v>
      </x:c>
      <x:c r="E6" t="n">
        <x:v>1</x:v>
      </x:c>
      <x:c r="F6" t="n">
        <x:v>4</x:v>
      </x:c>
      <x:c r="G6" t="str">
        <x:v>Bélgica</x:v>
      </x:c>
      <x:c r="H6" t="str">
        <x:v>90 minutos</x:v>
      </x:c>
      <x:c r="I6" t="str">
        <x:v>Tabla original 8vos</x:v>
      </x:c>
    </x:row>
    <x:row r="7" ht="15" hidden="0" customHeight="1">
      <x:c r="A7" t="str">
        <x:v>8vos</x:v>
      </x:c>
      <x:c r="B7" t="str">
        <x:v>O6</x:v>
      </x:c>
      <x:c r="C7" t="str">
        <x:v>Portugal</x:v>
      </x:c>
      <x:c r="D7" t="str">
        <x:v>España</x:v>
      </x:c>
      <x:c r="E7" t="n">
        <x:v>0</x:v>
      </x:c>
      <x:c r="F7" t="n">
        <x:v>1</x:v>
      </x:c>
      <x:c r="G7" t="str">
        <x:v>España</x:v>
      </x:c>
      <x:c r="H7" t="str">
        <x:v>90 minutos</x:v>
      </x:c>
      <x:c r="I7" t="str">
        <x:v>Tabla original 8vos</x:v>
      </x:c>
    </x:row>
    <x:row r="8" ht="15" hidden="0" customHeight="1">
      <x:c r="A8" t="str">
        <x:v>8vos</x:v>
      </x:c>
      <x:c r="B8" t="str">
        <x:v>O7</x:v>
      </x:c>
      <x:c r="C8" t="str">
        <x:v>Suiza</x:v>
      </x:c>
      <x:c r="D8" t="str">
        <x:v>Colombia</x:v>
      </x:c>
      <x:c r="E8" t="n">
        <x:v>0</x:v>
      </x:c>
      <x:c r="F8" t="n">
        <x:v>0</x:v>
      </x:c>
      <x:c r="G8" t="str">
        <x:v>Suiza</x:v>
      </x:c>
      <x:c r="H8" t="str">
        <x:v>Penales</x:v>
      </x:c>
      <x:c r="I8" t="str">
        <x:v>Tabla original 8vos</x:v>
      </x:c>
    </x:row>
    <x:row r="9" ht="15" hidden="0" customHeight="1">
      <x:c r="A9" t="str">
        <x:v>8vos</x:v>
      </x:c>
      <x:c r="B9" t="str">
        <x:v>O8</x:v>
      </x:c>
      <x:c r="C9" t="str">
        <x:v>Argentina</x:v>
      </x:c>
      <x:c r="D9" t="str">
        <x:v>Egipto</x:v>
      </x:c>
      <x:c r="E9" t="n">
        <x:v>3</x:v>
      </x:c>
      <x:c r="F9" t="n">
        <x:v>2</x:v>
      </x:c>
      <x:c r="G9" t="str">
        <x:v>Argentina</x:v>
      </x:c>
      <x:c r="H9" t="str">
        <x:v>90 minutos</x:v>
      </x:c>
      <x:c r="I9" t="str">
        <x:v>Tabla original 8vos</x:v>
      </x:c>
    </x:row>
    <x:row r="10" ht="15" hidden="0" customHeight="1">
      <x:c r="A10" t="str">
        <x:v>4tos</x:v>
      </x:c>
      <x:c r="B10" t="str">
        <x:v>QF1</x:v>
      </x:c>
      <x:c r="C10" t="str">
        <x:v>Francia</x:v>
      </x:c>
      <x:c r="D10" t="str">
        <x:v>Marruecos</x:v>
      </x:c>
      <x:c r="E10" t="n">
        <x:v>2</x:v>
      </x:c>
      <x:c r="F10" t="n">
        <x:v>0</x:v>
      </x:c>
      <x:c r="G10" t="str">
        <x:v>Francia</x:v>
      </x:c>
      <x:c r="H10" t="str">
        <x:v>90 minutos</x:v>
      </x:c>
      <x:c r="I10" t="str">
        <x:v>ESPN</x:v>
      </x:c>
    </x:row>
    <x:row r="11" ht="15" hidden="0" customHeight="1">
      <x:c r="A11" t="str">
        <x:v>4tos</x:v>
      </x:c>
      <x:c r="B11" t="str">
        <x:v>QF2</x:v>
      </x:c>
      <x:c r="C11" t="str">
        <x:v>España</x:v>
      </x:c>
      <x:c r="D11" t="str">
        <x:v>Bélgica</x:v>
      </x:c>
      <x:c r="E11" t="n">
        <x:v>2</x:v>
      </x:c>
      <x:c r="F11" t="n">
        <x:v>1</x:v>
      </x:c>
      <x:c r="G11" t="str">
        <x:v>España</x:v>
      </x:c>
      <x:c r="H11" t="str">
        <x:v>90 minutos</x:v>
      </x:c>
      <x:c r="I11" t="str">
        <x:v>ESPN</x:v>
      </x:c>
    </x:row>
    <x:row r="12" ht="15" hidden="0" customHeight="1">
      <x:c r="A12" t="str">
        <x:v>4tos</x:v>
      </x:c>
      <x:c r="B12" t="str">
        <x:v>QF3</x:v>
      </x:c>
      <x:c r="C12" t="str">
        <x:v>Noruega</x:v>
      </x:c>
      <x:c r="D12" t="str">
        <x:v>Inglaterra</x:v>
      </x:c>
      <x:c r="E12" t="n">
        <x:v>1</x:v>
      </x:c>
      <x:c r="F12" t="n">
        <x:v>2</x:v>
      </x:c>
      <x:c r="G12" t="str">
        <x:v>Inglaterra</x:v>
      </x:c>
      <x:c r="H12" t="str">
        <x:v>Suplementario</x:v>
      </x:c>
      <x:c r="I12" t="str">
        <x:v>ESPN</x:v>
      </x:c>
    </x:row>
    <x:row r="13" ht="15" hidden="0" customHeight="1">
      <x:c r="A13" t="str">
        <x:v>4tos</x:v>
      </x:c>
      <x:c r="B13" t="str">
        <x:v>QF4</x:v>
      </x:c>
      <x:c r="C13" t="str">
        <x:v>Argentina</x:v>
      </x:c>
      <x:c r="D13" t="str">
        <x:v>Suiza</x:v>
      </x:c>
      <x:c r="E13" t="n">
        <x:v>3</x:v>
      </x:c>
      <x:c r="F13" t="n">
        <x:v>1</x:v>
      </x:c>
      <x:c r="G13" t="str">
        <x:v>Argentina</x:v>
      </x:c>
      <x:c r="H13" t="str">
        <x:v>Suplementario</x:v>
      </x:c>
      <x:c r="I13" t="str">
        <x:v>ESPN</x:v>
      </x:c>
    </x:row>
    <x:row r="14" ht="15" hidden="0" customHeight="1">
      <x:c r="A14" t="str">
        <x:v>Semifinal</x:v>
      </x:c>
      <x:c r="B14" t="str">
        <x:v>SF1</x:v>
      </x:c>
      <x:c r="C14" t="str">
        <x:v>Francia</x:v>
      </x:c>
      <x:c r="D14" t="str">
        <x:v>España</x:v>
      </x:c>
      <x:c r="E14" t="n">
        <x:v>0</x:v>
      </x:c>
      <x:c r="F14" t="n">
        <x:v>2</x:v>
      </x:c>
      <x:c r="G14" t="str">
        <x:v>España</x:v>
      </x:c>
      <x:c r="H14" t="str">
        <x:v>90 minutos</x:v>
      </x:c>
      <x:c r="I14" t="str">
        <x:v>ESPN</x:v>
      </x:c>
    </x:row>
    <x:row r="15" ht="15" hidden="0" customHeight="1">
      <x:c r="A15" t="str">
        <x:v>Semifinal</x:v>
      </x:c>
      <x:c r="B15" t="str">
        <x:v>SF2</x:v>
      </x:c>
      <x:c r="C15" t="str">
        <x:v>Inglaterra</x:v>
      </x:c>
      <x:c r="D15" t="str">
        <x:v>Argentina</x:v>
      </x:c>
      <x:c r="E15" t="n">
        <x:v>1</x:v>
      </x:c>
      <x:c r="F15" t="n">
        <x:v>2</x:v>
      </x:c>
      <x:c r="G15" t="str">
        <x:v>Argentina</x:v>
      </x:c>
      <x:c r="H15" t="str">
        <x:v>90 minutos</x:v>
      </x:c>
      <x:c r="I15" t="str">
        <x:v>ESPN</x:v>
      </x:c>
    </x:row>
    <x:row r="16" ht="15" hidden="0" customHeight="1">
      <x:c r="A16" t="str">
        <x:v>Tercer puesto</x:v>
      </x:c>
      <x:c r="B16" t="str">
        <x:v>TP</x:v>
      </x:c>
      <x:c r="C16" t="str">
        <x:v>Inglaterra</x:v>
      </x:c>
      <x:c r="D16" t="str">
        <x:v>Francia</x:v>
      </x:c>
      <x:c r="E16" t="n">
        <x:v>6</x:v>
      </x:c>
      <x:c r="F16" t="n">
        <x:v>4</x:v>
      </x:c>
      <x:c r="G16" t="str">
        <x:v>Inglaterra</x:v>
      </x:c>
      <x:c r="H16" t="str">
        <x:v>90 minutos</x:v>
      </x:c>
      <x:c r="I16" t="str">
        <x:v>ESPN</x:v>
      </x:c>
    </x:row>
    <x:row r="17" ht="15" hidden="0" customHeight="1">
      <x:c r="A17" t="str">
        <x:v>Final</x:v>
      </x:c>
      <x:c r="B17" t="str">
        <x:v>F</x:v>
      </x:c>
      <x:c r="C17" t="str">
        <x:v>España</x:v>
      </x:c>
      <x:c r="D17" t="str">
        <x:v>Argentina</x:v>
      </x:c>
      <x:c r="E17" t="n">
        <x:v>1</x:v>
      </x:c>
      <x:c r="F17" t="n">
        <x:v>0</x:v>
      </x:c>
      <x:c r="G17" t="str">
        <x:v>España</x:v>
      </x:c>
      <x:c r="H17" t="str">
        <x:v>Suplementario</x:v>
      </x:c>
      <x:c r="I17" t="str">
        <x:v>ESPN</x:v>
      </x:c>
    </x:row>
  </x:sheetData>
  <x:pageMargins left="0.7" right="0.7" top="0.75" bottom="0.75" header="0.3" footer="0.3"/>
  <x:tableParts count="1">
    <x:tablePart xmlns:r="http://schemas.openxmlformats.org/officeDocument/2006/relationships" r:id="R2105428231874bb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630000114440918" hidden="0" customWidth="1"/>
    <x:col min="2" max="2" width="5.880000114440918" hidden="0" customWidth="1"/>
    <x:col min="3" max="3" width="53" hidden="0" customWidth="1"/>
  </x:cols>
  <x:sheetData>
    <x:row r="1" ht="15" hidden="0" customHeight="1">
      <x:c r="A1" s="3" t="str">
        <x:v>Criterio</x:v>
      </x:c>
      <x:c r="B1" s="3" t="str">
        <x:v>Puntos</x:v>
      </x:c>
      <x:c r="C1" s="3" t="str">
        <x:v>Como se aplica</x:v>
      </x:c>
    </x:row>
    <x:row r="2" ht="15" hidden="0" customHeight="1">
      <x:c r="A2" t="str">
        <x:v>Resultado 90</x:v>
      </x:c>
      <x:c r="B2" t="n">
        <x:v>5</x:v>
      </x:c>
      <x:c r="C2" t="str">
        <x:v>Acertar si el resultado reglamentario fue Equipo A, empate o Equipo B.</x:v>
      </x:c>
    </x:row>
    <x:row r="3" ht="15" hidden="0" customHeight="1">
      <x:c r="A3" t="str">
        <x:v>Clasificado/Ganador</x:v>
      </x:c>
      <x:c r="B3" t="n">
        <x:v>3</x:v>
      </x:c>
      <x:c r="C3" t="str">
        <x:v>Acertar el equipo que avanza o gana el partido.</x:v>
      </x:c>
    </x:row>
    <x:row r="4" ht="15" hidden="0" customHeight="1">
      <x:c r="A4" t="str">
        <x:v>Via</x:v>
      </x:c>
      <x:c r="B4" t="n">
        <x:v>2</x:v>
      </x:c>
      <x:c r="C4" t="str">
        <x:v>Acertar 90 minutos, suplementario o penales.</x:v>
      </x:c>
    </x:row>
    <x:row r="5" ht="15" hidden="0" customHeight="1">
      <x:c r="A5" t="str">
        <x:v>Marcador exacto</x:v>
      </x:c>
      <x:c r="B5" t="n">
        <x:v>4</x:v>
      </x:c>
      <x:c r="C5" t="str">
        <x:v>Acertar el marcador por goles del partido, sin contar tanda de penales.</x:v>
      </x:c>
    </x:row>
    <x:row r="6" ht="15" hidden="0" customHeight="1">
      <x:c r="A6" t="str">
        <x:v>Diferencia</x:v>
      </x:c>
      <x:c r="B6" t="n">
        <x:v>2</x:v>
      </x:c>
      <x:c r="C6" t="str">
        <x:v>Acertar la diferencia de goles.</x:v>
      </x:c>
    </x:row>
    <x:row r="7" ht="15" hidden="0" customHeight="1">
      <x:c r="A7" t="str">
        <x:v>Gol Equipo A</x:v>
      </x:c>
      <x:c r="B7" t="n">
        <x:v>1</x:v>
      </x:c>
      <x:c r="C7" t="str">
        <x:v>Acertar goles del Equipo A.</x:v>
      </x:c>
    </x:row>
    <x:row r="8" ht="15" hidden="0" customHeight="1">
      <x:c r="A8" t="str">
        <x:v>Gol Equipo B</x:v>
      </x:c>
      <x:c r="B8" t="n">
        <x:v>1</x:v>
      </x:c>
      <x:c r="C8" t="str">
        <x:v>Acertar goles del Equipo B.</x:v>
      </x:c>
    </x:row>
    <x:row r="9" ht="15" hidden="0" customHeight="1">
      <x:c r="A9" t="str">
        <x:v>Maximo por partido</x:v>
      </x:c>
      <x:c r="B9" t="n">
        <x:v>18</x:v>
      </x:c>
      <x:c r="C9" t="str">
        <x:v>Suma maxima de los criterios.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8.630000114440918" hidden="0" customWidth="1"/>
    <x:col min="3" max="3" width="12.25" hidden="0" customWidth="1"/>
    <x:col min="4" max="4" width="11.880000114440918" hidden="0" customWidth="1"/>
    <x:col min="5" max="5" width="9.75" hidden="0" customWidth="1"/>
    <x:col min="6" max="6" width="10.880000114440918" hidden="0" customWidth="1"/>
    <x:col min="7" max="7" width="10.75" hidden="0" customWidth="1"/>
    <x:col min="8" max="8" width="18.75" hidden="0" customWidth="1"/>
    <x:col min="9" max="9" width="12.880000114440918" hidden="0" customWidth="1"/>
    <x:col min="10" max="10" width="9.380000114440918" hidden="0" customWidth="1"/>
    <x:col min="11" max="11" width="9.380000114440918" hidden="0" customWidth="1"/>
    <x:col min="12" max="12" width="16.25" hidden="0" customWidth="1"/>
    <x:col min="13" max="13" width="11.5" hidden="0" customWidth="1"/>
    <x:col min="14" max="14" width="7.75" hidden="0" customWidth="1"/>
    <x:col min="15" max="15" width="9.880000114440918" hidden="0" customWidth="1"/>
    <x:col min="16" max="16" width="8.25" hidden="0" customWidth="1"/>
    <x:col min="17" max="17" width="13.25" hidden="0" customWidth="1"/>
    <x:col min="18" max="18" width="8" hidden="0" customWidth="1"/>
    <x:col min="19" max="19" width="10" hidden="0" customWidth="1"/>
    <x:col min="20" max="20" width="9.880000114440918" hidden="0" customWidth="1"/>
    <x:col min="21" max="21" width="6.75" hidden="0" customWidth="1"/>
    <x:col min="22" max="22" width="41.130001068115234" hidden="0" customWidth="1"/>
    <x:col min="23" max="23" width="17.3799991607666" hidden="0" customWidth="1"/>
  </x:cols>
  <x:sheetData>
    <x:row r="1" ht="15" hidden="0" customHeight="1">
      <x:c r="A1" s="3" t="str">
        <x:v>Fase</x:v>
      </x:c>
      <x:c r="B1" s="3" t="str">
        <x:v>Partido</x:v>
      </x:c>
      <x:c r="C1" s="3" t="str">
        <x:v>Participante</x:v>
      </x:c>
      <x:c r="D1" s="3" t="str">
        <x:v>Equipo A</x:v>
      </x:c>
      <x:c r="E1" s="3" t="str">
        <x:v>Equipo B</x:v>
      </x:c>
      <x:c r="F1" s="3" t="str">
        <x:v>Apuesta A</x:v>
      </x:c>
      <x:c r="G1" s="3" t="str">
        <x:v>Apuesta B</x:v>
      </x:c>
      <x:c r="H1" s="3" t="str">
        <x:v>Clasificado apostado</x:v>
      </x:c>
      <x:c r="I1" s="3" t="str">
        <x:v>Via apostada</x:v>
      </x:c>
      <x:c r="J1" s="3" t="str">
        <x:v>Oficial A</x:v>
      </x:c>
      <x:c r="K1" s="3" t="str">
        <x:v>Oficial B</x:v>
      </x:c>
      <x:c r="L1" s="3" t="str">
        <x:v>Clasificado oficial</x:v>
      </x:c>
      <x:c r="M1" s="3" t="str">
        <x:v>Via oficial</x:v>
      </x:c>
      <x:c r="N1" s="3" t="str">
        <x:v>Pts 90</x:v>
      </x:c>
      <x:c r="O1" s="3" t="str">
        <x:v>Pts Clasif</x:v>
      </x:c>
      <x:c r="P1" s="3" t="str">
        <x:v>Pts Via</x:v>
      </x:c>
      <x:c r="Q1" s="3" t="str">
        <x:v>Pts Marcador</x:v>
      </x:c>
      <x:c r="R1" s="3" t="str">
        <x:v>Pts Dif</x:v>
      </x:c>
      <x:c r="S1" s="3" t="str">
        <x:v>Pts Gol A</x:v>
      </x:c>
      <x:c r="T1" s="3" t="str">
        <x:v>Pts Gol B</x:v>
      </x:c>
      <x:c r="U1" s="3" t="str">
        <x:v>Total</x:v>
      </x:c>
      <x:c r="V1" s="3" t="str">
        <x:v>Nota</x:v>
      </x:c>
      <x:c r="W1" s="3" t="str">
        <x:v>Fuente</x:v>
      </x:c>
    </x:row>
    <x:row r="2" ht="15" hidden="0" customHeight="1">
      <x:c r="A2" t="str">
        <x:v>8vos</x:v>
      </x:c>
      <x:c r="B2" t="str">
        <x:v>O1</x:v>
      </x:c>
      <x:c r="C2" t="str">
        <x:v>Freddy</x:v>
      </x:c>
      <x:c r="D2" t="str">
        <x:v>Canadá</x:v>
      </x:c>
      <x:c r="E2" t="str">
        <x:v>Marruecos</x:v>
      </x:c>
      <x:c r="F2" t="n">
        <x:v>0</x:v>
      </x:c>
      <x:c r="G2" t="n">
        <x:v>1</x:v>
      </x:c>
      <x:c r="H2" t="str">
        <x:v>Marruecos</x:v>
      </x:c>
      <x:c r="I2" t="str">
        <x:v>90 minutos</x:v>
      </x:c>
      <x:c r="J2" t="n">
        <x:v>0</x:v>
      </x:c>
      <x:c r="K2" t="n">
        <x:v>3</x:v>
      </x:c>
      <x:c r="L2" t="str">
        <x:v>Marruecos</x:v>
      </x:c>
      <x:c r="M2" t="str">
        <x:v>90 minutos</x:v>
      </x:c>
      <x:c r="N2" t="n">
        <x:v>5</x:v>
      </x:c>
      <x:c r="O2" t="n">
        <x:v>3</x:v>
      </x:c>
      <x:c r="P2" t="n">
        <x:v>2</x:v>
      </x:c>
      <x:c r="Q2" t="n">
        <x:v>0</x:v>
      </x:c>
      <x:c r="R2" t="n">
        <x:v>0</x:v>
      </x:c>
      <x:c r="S2" t="n">
        <x:v>1</x:v>
      </x:c>
      <x:c r="T2" t="n">
        <x:v>0</x:v>
      </x:c>
      <x:c r="U2" t="n">
        <x:v>11</x:v>
      </x:c>
      <x:c r="V2" t="str">
        <x:v>OK</x:v>
      </x:c>
      <x:c r="W2" t="str">
        <x:v>Detalle 8vos publicado</x:v>
      </x:c>
    </x:row>
    <x:row r="3" ht="15" hidden="0" customHeight="1">
      <x:c r="A3" t="str">
        <x:v>8vos</x:v>
      </x:c>
      <x:c r="B3" t="str">
        <x:v>O1</x:v>
      </x:c>
      <x:c r="C3" t="str">
        <x:v>Gabriela</x:v>
      </x:c>
      <x:c r="D3" t="str">
        <x:v>Canadá</x:v>
      </x:c>
      <x:c r="E3" t="str">
        <x:v>Marruecos</x:v>
      </x:c>
      <x:c r="F3" t="n">
        <x:v>0</x:v>
      </x:c>
      <x:c r="G3" t="n">
        <x:v>1</x:v>
      </x:c>
      <x:c r="H3" t="str">
        <x:v>Marruecos</x:v>
      </x:c>
      <x:c r="I3" t="str">
        <x:v>90 minutos</x:v>
      </x:c>
      <x:c r="J3" t="n">
        <x:v>0</x:v>
      </x:c>
      <x:c r="K3" t="n">
        <x:v>3</x:v>
      </x:c>
      <x:c r="L3" t="str">
        <x:v>Marruecos</x:v>
      </x:c>
      <x:c r="M3" t="str">
        <x:v>90 minutos</x:v>
      </x:c>
      <x:c r="N3" t="n">
        <x:v>5</x:v>
      </x:c>
      <x:c r="O3" t="n">
        <x:v>3</x:v>
      </x:c>
      <x:c r="P3" t="n">
        <x:v>2</x:v>
      </x:c>
      <x:c r="Q3" t="n">
        <x:v>0</x:v>
      </x:c>
      <x:c r="R3" t="n">
        <x:v>0</x:v>
      </x:c>
      <x:c r="S3" t="n">
        <x:v>1</x:v>
      </x:c>
      <x:c r="T3" t="n">
        <x:v>0</x:v>
      </x:c>
      <x:c r="U3" t="n">
        <x:v>11</x:v>
      </x:c>
      <x:c r="V3" t="str">
        <x:v>OK</x:v>
      </x:c>
      <x:c r="W3" t="str">
        <x:v>Detalle 8vos publicado</x:v>
      </x:c>
    </x:row>
    <x:row r="4" ht="15" hidden="0" customHeight="1">
      <x:c r="A4" t="str">
        <x:v>8vos</x:v>
      </x:c>
      <x:c r="B4" t="str">
        <x:v>O1</x:v>
      </x:c>
      <x:c r="C4" t="str">
        <x:v>Jean</x:v>
      </x:c>
      <x:c r="D4" t="str">
        <x:v>Canadá</x:v>
      </x:c>
      <x:c r="E4" t="str">
        <x:v>Marruecos</x:v>
      </x:c>
      <x:c r="F4" t="n">
        <x:v>0</x:v>
      </x:c>
      <x:c r="G4" t="n">
        <x:v>1</x:v>
      </x:c>
      <x:c r="H4" t="str">
        <x:v>Marruecos</x:v>
      </x:c>
      <x:c r="I4" t="str">
        <x:v>90 minutos</x:v>
      </x:c>
      <x:c r="J4" t="n">
        <x:v>0</x:v>
      </x:c>
      <x:c r="K4" t="n">
        <x:v>3</x:v>
      </x:c>
      <x:c r="L4" t="str">
        <x:v>Marruecos</x:v>
      </x:c>
      <x:c r="M4" t="str">
        <x:v>90 minutos</x:v>
      </x:c>
      <x:c r="N4" t="n">
        <x:v>5</x:v>
      </x:c>
      <x:c r="O4" t="n">
        <x:v>3</x:v>
      </x:c>
      <x:c r="P4" t="n">
        <x:v>2</x:v>
      </x:c>
      <x:c r="Q4" t="n">
        <x:v>0</x:v>
      </x:c>
      <x:c r="R4" t="n">
        <x:v>0</x:v>
      </x:c>
      <x:c r="S4" t="n">
        <x:v>1</x:v>
      </x:c>
      <x:c r="T4" t="n">
        <x:v>0</x:v>
      </x:c>
      <x:c r="U4" t="n">
        <x:v>11</x:v>
      </x:c>
      <x:c r="V4" t="str">
        <x:v>OK</x:v>
      </x:c>
      <x:c r="W4" t="str">
        <x:v>Detalle 8vos publicado</x:v>
      </x:c>
    </x:row>
    <x:row r="5" ht="15" hidden="0" customHeight="1">
      <x:c r="A5" t="str">
        <x:v>8vos</x:v>
      </x:c>
      <x:c r="B5" t="str">
        <x:v>O1</x:v>
      </x:c>
      <x:c r="C5" t="str">
        <x:v>Juan</x:v>
      </x:c>
      <x:c r="D5" t="str">
        <x:v>Canadá</x:v>
      </x:c>
      <x:c r="E5" t="str">
        <x:v>Marruecos</x:v>
      </x:c>
      <x:c r="F5" t="n">
        <x:v>1</x:v>
      </x:c>
      <x:c r="G5" t="n">
        <x:v>2</x:v>
      </x:c>
      <x:c r="H5" t="str">
        <x:v>Marruecos</x:v>
      </x:c>
      <x:c r="I5" t="str">
        <x:v>90 minutos</x:v>
      </x:c>
      <x:c r="J5" t="n">
        <x:v>0</x:v>
      </x:c>
      <x:c r="K5" t="n">
        <x:v>3</x:v>
      </x:c>
      <x:c r="L5" t="str">
        <x:v>Marruecos</x:v>
      </x:c>
      <x:c r="M5" t="str">
        <x:v>90 minutos</x:v>
      </x:c>
      <x:c r="N5" t="n">
        <x:v>5</x:v>
      </x:c>
      <x:c r="O5" t="n">
        <x:v>3</x:v>
      </x:c>
      <x:c r="P5" t="n">
        <x:v>2</x:v>
      </x:c>
      <x:c r="Q5" t="n">
        <x:v>0</x:v>
      </x:c>
      <x:c r="R5" t="n">
        <x:v>0</x:v>
      </x:c>
      <x:c r="S5" t="n">
        <x:v>0</x:v>
      </x:c>
      <x:c r="T5" t="n">
        <x:v>0</x:v>
      </x:c>
      <x:c r="U5" t="n">
        <x:v>10</x:v>
      </x:c>
      <x:c r="V5" t="str">
        <x:v>OK</x:v>
      </x:c>
      <x:c r="W5" t="str">
        <x:v>Detalle 8vos publicado</x:v>
      </x:c>
    </x:row>
    <x:row r="6" ht="15" hidden="0" customHeight="1">
      <x:c r="A6" t="str">
        <x:v>8vos</x:v>
      </x:c>
      <x:c r="B6" t="str">
        <x:v>O1</x:v>
      </x:c>
      <x:c r="C6" t="str">
        <x:v>Jesús</x:v>
      </x:c>
      <x:c r="D6" t="str">
        <x:v>Canadá</x:v>
      </x:c>
      <x:c r="E6" t="str">
        <x:v>Marruecos</x:v>
      </x:c>
      <x:c r="F6" t="n">
        <x:v>2</x:v>
      </x:c>
      <x:c r="G6" t="n">
        <x:v>3</x:v>
      </x:c>
      <x:c r="H6" t="str">
        <x:v>Marruecos</x:v>
      </x:c>
      <x:c r="I6" t="str">
        <x:v>Suplementario</x:v>
      </x:c>
      <x:c r="J6" t="n">
        <x:v>0</x:v>
      </x:c>
      <x:c r="K6" t="n">
        <x:v>3</x:v>
      </x:c>
      <x:c r="L6" t="str">
        <x:v>Marruecos</x:v>
      </x:c>
      <x:c r="M6" t="str">
        <x:v>90 minutos</x:v>
      </x:c>
      <x:c r="N6" t="n">
        <x:v>0</x:v>
      </x:c>
      <x:c r="O6" t="n">
        <x:v>0</x:v>
      </x:c>
      <x:c r="P6" t="n">
        <x:v>0</x:v>
      </x:c>
      <x:c r="Q6" t="n">
        <x:v>0</x:v>
      </x:c>
      <x:c r="R6" t="n">
        <x:v>0</x:v>
      </x:c>
      <x:c r="S6" t="n">
        <x:v>0</x:v>
      </x:c>
      <x:c r="T6" t="n">
        <x:v>0</x:v>
      </x:c>
      <x:c r="U6" t="n">
        <x:v>0</x:v>
      </x:c>
      <x:c r="V6" t="str">
        <x:v>Revisar: ganador en 90 debe tener método 90 minutos</x:v>
      </x:c>
      <x:c r="W6" t="str">
        <x:v>Detalle 8vos publicado</x:v>
      </x:c>
    </x:row>
    <x:row r="7" ht="15" hidden="0" customHeight="1">
      <x:c r="A7" t="str">
        <x:v>8vos</x:v>
      </x:c>
      <x:c r="B7" t="str">
        <x:v>O1</x:v>
      </x:c>
      <x:c r="C7" t="str">
        <x:v>Diego</x:v>
      </x:c>
      <x:c r="D7" t="str">
        <x:v>Canadá</x:v>
      </x:c>
      <x:c r="E7" t="str">
        <x:v>Marruecos</x:v>
      </x:c>
      <x:c r="F7" t="n">
        <x:v>1</x:v>
      </x:c>
      <x:c r="G7" t="n">
        <x:v>2</x:v>
      </x:c>
      <x:c r="H7" t="str">
        <x:v>Marruecos</x:v>
      </x:c>
      <x:c r="I7" t="str">
        <x:v>90 minutos</x:v>
      </x:c>
      <x:c r="J7" t="n">
        <x:v>0</x:v>
      </x:c>
      <x:c r="K7" t="n">
        <x:v>3</x:v>
      </x:c>
      <x:c r="L7" t="str">
        <x:v>Marruecos</x:v>
      </x:c>
      <x:c r="M7" t="str">
        <x:v>90 minutos</x:v>
      </x:c>
      <x:c r="N7" t="n">
        <x:v>5</x:v>
      </x:c>
      <x:c r="O7" t="n">
        <x:v>3</x:v>
      </x:c>
      <x:c r="P7" t="n">
        <x:v>2</x:v>
      </x:c>
      <x:c r="Q7" t="n">
        <x:v>0</x:v>
      </x:c>
      <x:c r="R7" t="n">
        <x:v>0</x:v>
      </x:c>
      <x:c r="S7" t="n">
        <x:v>0</x:v>
      </x:c>
      <x:c r="T7" t="n">
        <x:v>0</x:v>
      </x:c>
      <x:c r="U7" t="n">
        <x:v>10</x:v>
      </x:c>
      <x:c r="V7" t="str">
        <x:v>OK</x:v>
      </x:c>
      <x:c r="W7" t="str">
        <x:v>Detalle 8vos publicado</x:v>
      </x:c>
    </x:row>
    <x:row r="8" ht="15" hidden="0" customHeight="1">
      <x:c r="A8" t="str">
        <x:v>8vos</x:v>
      </x:c>
      <x:c r="B8" t="str">
        <x:v>O1</x:v>
      </x:c>
      <x:c r="C8" t="str">
        <x:v>Aldo</x:v>
      </x:c>
      <x:c r="D8" t="str">
        <x:v>Canadá</x:v>
      </x:c>
      <x:c r="E8" t="str">
        <x:v>Marruecos</x:v>
      </x:c>
      <x:c r="F8" t="n">
        <x:v>1</x:v>
      </x:c>
      <x:c r="G8" t="n">
        <x:v>2</x:v>
      </x:c>
      <x:c r="H8" t="str">
        <x:v>Marruecos</x:v>
      </x:c>
      <x:c r="I8" t="str">
        <x:v>90 minutos</x:v>
      </x:c>
      <x:c r="J8" t="n">
        <x:v>0</x:v>
      </x:c>
      <x:c r="K8" t="n">
        <x:v>3</x:v>
      </x:c>
      <x:c r="L8" t="str">
        <x:v>Marruecos</x:v>
      </x:c>
      <x:c r="M8" t="str">
        <x:v>90 minutos</x:v>
      </x:c>
      <x:c r="N8" t="n">
        <x:v>5</x:v>
      </x:c>
      <x:c r="O8" t="n">
        <x:v>3</x:v>
      </x:c>
      <x:c r="P8" t="n">
        <x:v>2</x:v>
      </x:c>
      <x:c r="Q8" t="n">
        <x:v>0</x:v>
      </x:c>
      <x:c r="R8" t="n">
        <x:v>0</x:v>
      </x:c>
      <x:c r="S8" t="n">
        <x:v>0</x:v>
      </x:c>
      <x:c r="T8" t="n">
        <x:v>0</x:v>
      </x:c>
      <x:c r="U8" t="n">
        <x:v>10</x:v>
      </x:c>
      <x:c r="V8" t="str">
        <x:v>OK</x:v>
      </x:c>
      <x:c r="W8" t="str">
        <x:v>Detalle 8vos publicado</x:v>
      </x:c>
    </x:row>
    <x:row r="9" ht="15" hidden="0" customHeight="1">
      <x:c r="A9" t="str">
        <x:v>8vos</x:v>
      </x:c>
      <x:c r="B9" t="str">
        <x:v>O1</x:v>
      </x:c>
      <x:c r="C9" t="str">
        <x:v>Javier</x:v>
      </x:c>
      <x:c r="D9" t="str">
        <x:v>Canadá</x:v>
      </x:c>
      <x:c r="E9" t="str">
        <x:v>Marruecos</x:v>
      </x:c>
      <x:c r="F9" t="n">
        <x:v>1</x:v>
      </x:c>
      <x:c r="G9" t="n">
        <x:v>2</x:v>
      </x:c>
      <x:c r="H9" t="str">
        <x:v>Marruecos</x:v>
      </x:c>
      <x:c r="I9" t="str">
        <x:v>90 minutos</x:v>
      </x:c>
      <x:c r="J9" t="n">
        <x:v>0</x:v>
      </x:c>
      <x:c r="K9" t="n">
        <x:v>3</x:v>
      </x:c>
      <x:c r="L9" t="str">
        <x:v>Marruecos</x:v>
      </x:c>
      <x:c r="M9" t="str">
        <x:v>90 minutos</x:v>
      </x:c>
      <x:c r="N9" t="n">
        <x:v>5</x:v>
      </x:c>
      <x:c r="O9" t="n">
        <x:v>3</x:v>
      </x:c>
      <x:c r="P9" t="n">
        <x:v>2</x:v>
      </x:c>
      <x:c r="Q9" t="n">
        <x:v>0</x:v>
      </x:c>
      <x:c r="R9" t="n">
        <x:v>0</x:v>
      </x:c>
      <x:c r="S9" t="n">
        <x:v>0</x:v>
      </x:c>
      <x:c r="T9" t="n">
        <x:v>0</x:v>
      </x:c>
      <x:c r="U9" t="n">
        <x:v>10</x:v>
      </x:c>
      <x:c r="V9" t="str">
        <x:v>OK</x:v>
      </x:c>
      <x:c r="W9" t="str">
        <x:v>Detalle 8vos publicado</x:v>
      </x:c>
    </x:row>
    <x:row r="10" ht="15" hidden="0" customHeight="1">
      <x:c r="A10" t="str">
        <x:v>8vos</x:v>
      </x:c>
      <x:c r="B10" t="str">
        <x:v>O1</x:v>
      </x:c>
      <x:c r="C10" t="str">
        <x:v>Gino</x:v>
      </x:c>
      <x:c r="D10" t="str">
        <x:v>Canadá</x:v>
      </x:c>
      <x:c r="E10" t="str">
        <x:v>Marruecos</x:v>
      </x:c>
      <x:c r="F10" t="n">
        <x:v>1</x:v>
      </x:c>
      <x:c r="G10" t="n">
        <x:v>2</x:v>
      </x:c>
      <x:c r="H10" t="str">
        <x:v>Marruecos</x:v>
      </x:c>
      <x:c r="I10" t="str">
        <x:v>Suplementario</x:v>
      </x:c>
      <x:c r="J10" t="n">
        <x:v>0</x:v>
      </x:c>
      <x:c r="K10" t="n">
        <x:v>3</x:v>
      </x:c>
      <x:c r="L10" t="str">
        <x:v>Marruecos</x:v>
      </x:c>
      <x:c r="M10" t="str">
        <x:v>90 minutos</x:v>
      </x:c>
      <x:c r="N10" t="n">
        <x:v>0</x:v>
      </x:c>
      <x:c r="O10" t="n">
        <x:v>0</x:v>
      </x:c>
      <x:c r="P10" t="n">
        <x:v>0</x:v>
      </x:c>
      <x:c r="Q10" t="n">
        <x:v>0</x:v>
      </x:c>
      <x:c r="R10" t="n">
        <x:v>0</x:v>
      </x:c>
      <x:c r="S10" t="n">
        <x:v>0</x:v>
      </x:c>
      <x:c r="T10" t="n">
        <x:v>0</x:v>
      </x:c>
      <x:c r="U10" t="n">
        <x:v>0</x:v>
      </x:c>
      <x:c r="V10" t="str">
        <x:v>Revisar: ganador en 90 debe tener método 90 minutos</x:v>
      </x:c>
      <x:c r="W10" t="str">
        <x:v>Detalle 8vos publicado</x:v>
      </x:c>
    </x:row>
    <x:row r="11" ht="15" hidden="0" customHeight="1">
      <x:c r="A11" t="str">
        <x:v>8vos</x:v>
      </x:c>
      <x:c r="B11" t="str">
        <x:v>O1</x:v>
      </x:c>
      <x:c r="C11" t="str">
        <x:v>Manuel</x:v>
      </x:c>
      <x:c r="D11" t="str">
        <x:v>Canadá</x:v>
      </x:c>
      <x:c r="E11" t="str">
        <x:v>Marruecos</x:v>
      </x:c>
      <x:c r="F11" t="n">
        <x:v>2</x:v>
      </x:c>
      <x:c r="G11" t="n">
        <x:v>2</x:v>
      </x:c>
      <x:c r="H11" t="str">
        <x:v>Marruecos</x:v>
      </x:c>
      <x:c r="I11" t="str">
        <x:v>Suplementario</x:v>
      </x:c>
      <x:c r="J11" t="n">
        <x:v>0</x:v>
      </x:c>
      <x:c r="K11" t="n">
        <x:v>3</x:v>
      </x:c>
      <x:c r="L11" t="str">
        <x:v>Marruecos</x:v>
      </x:c>
      <x:c r="M11" t="str">
        <x:v>90 minutos</x:v>
      </x:c>
      <x:c r="N11" t="n">
        <x:v>0</x:v>
      </x:c>
      <x:c r="O11" t="n">
        <x:v>3</x:v>
      </x:c>
      <x:c r="P11" t="n">
        <x:v>0</x:v>
      </x:c>
      <x:c r="Q11" t="n">
        <x:v>0</x:v>
      </x:c>
      <x:c r="R11" t="n">
        <x:v>0</x:v>
      </x:c>
      <x:c r="S11" t="n">
        <x:v>0</x:v>
      </x:c>
      <x:c r="T11" t="n">
        <x:v>0</x:v>
      </x:c>
      <x:c r="U11" t="n">
        <x:v>3</x:v>
      </x:c>
      <x:c r="V11" t="str">
        <x:v>OK</x:v>
      </x:c>
      <x:c r="W11" t="str">
        <x:v>Detalle 8vos publicado</x:v>
      </x:c>
    </x:row>
    <x:row r="12" ht="15" hidden="0" customHeight="1">
      <x:c r="A12" t="str">
        <x:v>8vos</x:v>
      </x:c>
      <x:c r="B12" t="str">
        <x:v>O1</x:v>
      </x:c>
      <x:c r="C12" t="str">
        <x:v>Jorge</x:v>
      </x:c>
      <x:c r="D12" t="str">
        <x:v>Canadá</x:v>
      </x:c>
      <x:c r="E12" t="str">
        <x:v>Marruecos</x:v>
      </x:c>
      <x:c r="F12" t="n">
        <x:v>0</x:v>
      </x:c>
      <x:c r="G12" t="n">
        <x:v>3</x:v>
      </x:c>
      <x:c r="H12" t="str">
        <x:v>Marruecos</x:v>
      </x:c>
      <x:c r="I12" t="str">
        <x:v>90 minutos</x:v>
      </x:c>
      <x:c r="J12" t="n">
        <x:v>0</x:v>
      </x:c>
      <x:c r="K12" t="n">
        <x:v>3</x:v>
      </x:c>
      <x:c r="L12" t="str">
        <x:v>Marruecos</x:v>
      </x:c>
      <x:c r="M12" t="str">
        <x:v>90 minutos</x:v>
      </x:c>
      <x:c r="N12" t="n">
        <x:v>5</x:v>
      </x:c>
      <x:c r="O12" t="n">
        <x:v>3</x:v>
      </x:c>
      <x:c r="P12" t="n">
        <x:v>2</x:v>
      </x:c>
      <x:c r="Q12" t="n">
        <x:v>4</x:v>
      </x:c>
      <x:c r="R12" t="n">
        <x:v>2</x:v>
      </x:c>
      <x:c r="S12" t="n">
        <x:v>1</x:v>
      </x:c>
      <x:c r="T12" t="n">
        <x:v>1</x:v>
      </x:c>
      <x:c r="U12" t="n">
        <x:v>18</x:v>
      </x:c>
      <x:c r="V12" t="str">
        <x:v>OK</x:v>
      </x:c>
      <x:c r="W12" t="str">
        <x:v>Detalle 8vos publicado</x:v>
      </x:c>
    </x:row>
    <x:row r="13" ht="15" hidden="0" customHeight="1">
      <x:c r="A13" t="str">
        <x:v>8vos</x:v>
      </x:c>
      <x:c r="B13" t="str">
        <x:v>O1</x:v>
      </x:c>
      <x:c r="C13" t="str">
        <x:v>Daniel</x:v>
      </x:c>
      <x:c r="D13" t="str">
        <x:v>Canadá</x:v>
      </x:c>
      <x:c r="E13" t="str">
        <x:v>Marruecos</x:v>
      </x:c>
      <x:c r="F13" t="n">
        <x:v>1</x:v>
      </x:c>
      <x:c r="G13" t="n">
        <x:v>1</x:v>
      </x:c>
      <x:c r="H13" t="str">
        <x:v>Canadá</x:v>
      </x:c>
      <x:c r="I13" t="str">
        <x:v>Penales</x:v>
      </x:c>
      <x:c r="J13" t="n">
        <x:v>0</x:v>
      </x:c>
      <x:c r="K13" t="n">
        <x:v>3</x:v>
      </x:c>
      <x:c r="L13" t="str">
        <x:v>Marruecos</x:v>
      </x:c>
      <x:c r="M13" t="str">
        <x:v>90 minutos</x:v>
      </x:c>
      <x:c r="N13" t="n">
        <x:v>0</x:v>
      </x:c>
      <x:c r="O13" t="n">
        <x:v>0</x:v>
      </x:c>
      <x:c r="P13" t="n">
        <x:v>0</x:v>
      </x:c>
      <x:c r="Q13" t="n">
        <x:v>0</x:v>
      </x:c>
      <x:c r="R13" t="n">
        <x:v>0</x:v>
      </x:c>
      <x:c r="S13" t="n">
        <x:v>0</x:v>
      </x:c>
      <x:c r="T13" t="n">
        <x:v>0</x:v>
      </x:c>
      <x:c r="U13" t="n">
        <x:v>0</x:v>
      </x:c>
      <x:c r="V13" t="str">
        <x:v>OK</x:v>
      </x:c>
      <x:c r="W13" t="str">
        <x:v>Detalle 8vos publicado</x:v>
      </x:c>
    </x:row>
    <x:row r="14" ht="15" hidden="0" customHeight="1">
      <x:c r="A14" t="str">
        <x:v>8vos</x:v>
      </x:c>
      <x:c r="B14" t="str">
        <x:v>O1</x:v>
      </x:c>
      <x:c r="C14" t="str">
        <x:v>Arthur</x:v>
      </x:c>
      <x:c r="D14" t="str">
        <x:v>Canadá</x:v>
      </x:c>
      <x:c r="E14" t="str">
        <x:v>Marruecos</x:v>
      </x:c>
      <x:c r="F14" t="n">
        <x:v>4</x:v>
      </x:c>
      <x:c r="G14" t="n">
        <x:v>5</x:v>
      </x:c>
      <x:c r="H14" t="str">
        <x:v>Marruecos</x:v>
      </x:c>
      <x:c r="I14" t="str">
        <x:v>Penales</x:v>
      </x:c>
      <x:c r="J14" t="n">
        <x:v>0</x:v>
      </x:c>
      <x:c r="K14" t="n">
        <x:v>3</x:v>
      </x:c>
      <x:c r="L14" t="str">
        <x:v>Marruecos</x:v>
      </x:c>
      <x:c r="M14" t="str">
        <x:v>90 minutos</x:v>
      </x:c>
      <x:c r="N14" t="n">
        <x:v>0</x:v>
      </x:c>
      <x:c r="O14" t="n">
        <x:v>0</x:v>
      </x:c>
      <x:c r="P14" t="n">
        <x:v>0</x:v>
      </x:c>
      <x:c r="Q14" t="n">
        <x:v>0</x:v>
      </x:c>
      <x:c r="R14" t="n">
        <x:v>0</x:v>
      </x:c>
      <x:c r="S14" t="n">
        <x:v>0</x:v>
      </x:c>
      <x:c r="T14" t="n">
        <x:v>0</x:v>
      </x:c>
      <x:c r="U14" t="n">
        <x:v>0</x:v>
      </x:c>
      <x:c r="V14" t="str">
        <x:v>Revisar: ganador en 90 debe tener método 90 minutos</x:v>
      </x:c>
      <x:c r="W14" t="str">
        <x:v>Detalle 8vos publicado</x:v>
      </x:c>
    </x:row>
    <x:row r="15" ht="15" hidden="0" customHeight="1">
      <x:c r="A15" t="str">
        <x:v>8vos</x:v>
      </x:c>
      <x:c r="B15" t="str">
        <x:v>O1</x:v>
      </x:c>
      <x:c r="C15" t="str">
        <x:v>José Luis</x:v>
      </x:c>
      <x:c r="D15" t="str">
        <x:v>Canadá</x:v>
      </x:c>
      <x:c r="E15" t="str">
        <x:v>Marruecos</x:v>
      </x:c>
      <x:c r="F15"/>
      <x:c r="G15"/>
      <x:c r="H15" t="str">
        <x:v>Sin envío</x:v>
      </x:c>
      <x:c r="I15" t="str">
        <x:v>Sin envío</x:v>
      </x:c>
      <x:c r="J15" t="n">
        <x:v>0</x:v>
      </x:c>
      <x:c r="K15" t="n">
        <x:v>3</x:v>
      </x:c>
      <x:c r="L15" t="str">
        <x:v>Marruecos</x:v>
      </x:c>
      <x:c r="M15" t="str">
        <x:v>90 minutos</x:v>
      </x:c>
      <x:c r="N15" t="n">
        <x:v>0</x:v>
      </x:c>
      <x:c r="O15" t="n">
        <x:v>0</x:v>
      </x:c>
      <x:c r="P15" t="n">
        <x:v>0</x:v>
      </x:c>
      <x:c r="Q15" t="n">
        <x:v>0</x:v>
      </x:c>
      <x:c r="R15" t="n">
        <x:v>0</x:v>
      </x:c>
      <x:c r="S15" t="n">
        <x:v>0</x:v>
      </x:c>
      <x:c r="T15" t="n">
        <x:v>0</x:v>
      </x:c>
      <x:c r="U15" t="n">
        <x:v>0</x:v>
      </x:c>
      <x:c r="V15" t="str">
        <x:v>Sin respuesta CSV</x:v>
      </x:c>
      <x:c r="W15" t="str">
        <x:v>Detalle 8vos publicado</x:v>
      </x:c>
    </x:row>
    <x:row r="16" ht="15" hidden="0" customHeight="1">
      <x:c r="A16" t="str">
        <x:v>8vos</x:v>
      </x:c>
      <x:c r="B16" t="str">
        <x:v>O1</x:v>
      </x:c>
      <x:c r="C16" t="str">
        <x:v>Marcelo</x:v>
      </x:c>
      <x:c r="D16" t="str">
        <x:v>Canadá</x:v>
      </x:c>
      <x:c r="E16" t="str">
        <x:v>Marruecos</x:v>
      </x:c>
      <x:c r="F16"/>
      <x:c r="G16"/>
      <x:c r="H16" t="str">
        <x:v>Sin envío</x:v>
      </x:c>
      <x:c r="I16" t="str">
        <x:v>Sin envío</x:v>
      </x:c>
      <x:c r="J16" t="n">
        <x:v>0</x:v>
      </x:c>
      <x:c r="K16" t="n">
        <x:v>3</x:v>
      </x:c>
      <x:c r="L16" t="str">
        <x:v>Marruecos</x:v>
      </x:c>
      <x:c r="M16" t="str">
        <x:v>90 minutos</x:v>
      </x:c>
      <x:c r="N16" t="n">
        <x:v>0</x:v>
      </x:c>
      <x:c r="O16" t="n">
        <x:v>0</x:v>
      </x:c>
      <x:c r="P16" t="n">
        <x:v>0</x:v>
      </x:c>
      <x:c r="Q16" t="n">
        <x:v>0</x:v>
      </x:c>
      <x:c r="R16" t="n">
        <x:v>0</x:v>
      </x:c>
      <x:c r="S16" t="n">
        <x:v>0</x:v>
      </x:c>
      <x:c r="T16" t="n">
        <x:v>0</x:v>
      </x:c>
      <x:c r="U16" t="n">
        <x:v>0</x:v>
      </x:c>
      <x:c r="V16" t="str">
        <x:v>Sin respuesta CSV</x:v>
      </x:c>
      <x:c r="W16" t="str">
        <x:v>Detalle 8vos publicado</x:v>
      </x:c>
    </x:row>
    <x:row r="17" ht="15" hidden="0" customHeight="1">
      <x:c r="A17" t="str">
        <x:v>8vos</x:v>
      </x:c>
      <x:c r="B17" t="str">
        <x:v>O1</x:v>
      </x:c>
      <x:c r="C17" t="str">
        <x:v>Anny</x:v>
      </x:c>
      <x:c r="D17" t="str">
        <x:v>Canadá</x:v>
      </x:c>
      <x:c r="E17" t="str">
        <x:v>Marruecos</x:v>
      </x:c>
      <x:c r="F17" t="n">
        <x:v>1</x:v>
      </x:c>
      <x:c r="G17" t="n">
        <x:v>2</x:v>
      </x:c>
      <x:c r="H17" t="str">
        <x:v>Marruecos</x:v>
      </x:c>
      <x:c r="I17" t="str">
        <x:v>90 minutos</x:v>
      </x:c>
      <x:c r="J17" t="n">
        <x:v>0</x:v>
      </x:c>
      <x:c r="K17" t="n">
        <x:v>3</x:v>
      </x:c>
      <x:c r="L17" t="str">
        <x:v>Marruecos</x:v>
      </x:c>
      <x:c r="M17" t="str">
        <x:v>90 minutos</x:v>
      </x:c>
      <x:c r="N17" t="n">
        <x:v>5</x:v>
      </x:c>
      <x:c r="O17" t="n">
        <x:v>3</x:v>
      </x:c>
      <x:c r="P17" t="n">
        <x:v>2</x:v>
      </x:c>
      <x:c r="Q17" t="n">
        <x:v>0</x:v>
      </x:c>
      <x:c r="R17" t="n">
        <x:v>0</x:v>
      </x:c>
      <x:c r="S17" t="n">
        <x:v>0</x:v>
      </x:c>
      <x:c r="T17" t="n">
        <x:v>0</x:v>
      </x:c>
      <x:c r="U17" t="n">
        <x:v>10</x:v>
      </x:c>
      <x:c r="V17" t="str">
        <x:v>OK</x:v>
      </x:c>
      <x:c r="W17" t="str">
        <x:v>Detalle 8vos publicado</x:v>
      </x:c>
    </x:row>
    <x:row r="18" ht="15" hidden="0" customHeight="1">
      <x:c r="A18" t="str">
        <x:v>8vos</x:v>
      </x:c>
      <x:c r="B18" t="str">
        <x:v>O1</x:v>
      </x:c>
      <x:c r="C18" t="str">
        <x:v>Moisés</x:v>
      </x:c>
      <x:c r="D18" t="str">
        <x:v>Canadá</x:v>
      </x:c>
      <x:c r="E18" t="str">
        <x:v>Marruecos</x:v>
      </x:c>
      <x:c r="F18" t="n">
        <x:v>1</x:v>
      </x:c>
      <x:c r="G18" t="n">
        <x:v>2</x:v>
      </x:c>
      <x:c r="H18" t="str">
        <x:v>Marruecos</x:v>
      </x:c>
      <x:c r="I18" t="str">
        <x:v>Suplementario</x:v>
      </x:c>
      <x:c r="J18" t="n">
        <x:v>0</x:v>
      </x:c>
      <x:c r="K18" t="n">
        <x:v>3</x:v>
      </x:c>
      <x:c r="L18" t="str">
        <x:v>Marruecos</x:v>
      </x:c>
      <x:c r="M18" t="str">
        <x:v>90 minutos</x:v>
      </x:c>
      <x:c r="N18" t="n">
        <x:v>0</x:v>
      </x:c>
      <x:c r="O18" t="n">
        <x:v>0</x:v>
      </x:c>
      <x:c r="P18" t="n">
        <x:v>0</x:v>
      </x:c>
      <x:c r="Q18" t="n">
        <x:v>0</x:v>
      </x:c>
      <x:c r="R18" t="n">
        <x:v>0</x:v>
      </x:c>
      <x:c r="S18" t="n">
        <x:v>0</x:v>
      </x:c>
      <x:c r="T18" t="n">
        <x:v>0</x:v>
      </x:c>
      <x:c r="U18" t="n">
        <x:v>0</x:v>
      </x:c>
      <x:c r="V18" t="str">
        <x:v>Revisar: ganador en 90 debe tener método 90 minutos</x:v>
      </x:c>
      <x:c r="W18" t="str">
        <x:v>Detalle 8vos publicado</x:v>
      </x:c>
    </x:row>
    <x:row r="19" ht="15" hidden="0" customHeight="1">
      <x:c r="A19" t="str">
        <x:v>8vos</x:v>
      </x:c>
      <x:c r="B19" t="str">
        <x:v>O1</x:v>
      </x:c>
      <x:c r="C19" t="str">
        <x:v>Alex</x:v>
      </x:c>
      <x:c r="D19" t="str">
        <x:v>Canadá</x:v>
      </x:c>
      <x:c r="E19" t="str">
        <x:v>Marruecos</x:v>
      </x:c>
      <x:c r="F19" t="n">
        <x:v>2</x:v>
      </x:c>
      <x:c r="G19" t="n">
        <x:v>3</x:v>
      </x:c>
      <x:c r="H19" t="str">
        <x:v>Marruecos</x:v>
      </x:c>
      <x:c r="I19" t="str">
        <x:v>Suplementario</x:v>
      </x:c>
      <x:c r="J19" t="n">
        <x:v>0</x:v>
      </x:c>
      <x:c r="K19" t="n">
        <x:v>3</x:v>
      </x:c>
      <x:c r="L19" t="str">
        <x:v>Marruecos</x:v>
      </x:c>
      <x:c r="M19" t="str">
        <x:v>90 minutos</x:v>
      </x:c>
      <x:c r="N19" t="n">
        <x:v>0</x:v>
      </x:c>
      <x:c r="O19" t="n">
        <x:v>0</x:v>
      </x:c>
      <x:c r="P19" t="n">
        <x:v>0</x:v>
      </x:c>
      <x:c r="Q19" t="n">
        <x:v>0</x:v>
      </x:c>
      <x:c r="R19" t="n">
        <x:v>0</x:v>
      </x:c>
      <x:c r="S19" t="n">
        <x:v>0</x:v>
      </x:c>
      <x:c r="T19" t="n">
        <x:v>0</x:v>
      </x:c>
      <x:c r="U19" t="n">
        <x:v>0</x:v>
      </x:c>
      <x:c r="V19" t="str">
        <x:v>Revisar: ganador en 90 debe tener método 90 minutos</x:v>
      </x:c>
      <x:c r="W19" t="str">
        <x:v>Detalle 8vos publicado</x:v>
      </x:c>
    </x:row>
    <x:row r="20" ht="15" hidden="0" customHeight="1">
      <x:c r="A20" t="str">
        <x:v>8vos</x:v>
      </x:c>
      <x:c r="B20" t="str">
        <x:v>O1</x:v>
      </x:c>
      <x:c r="C20" t="str">
        <x:v>Omar</x:v>
      </x:c>
      <x:c r="D20" t="str">
        <x:v>Canadá</x:v>
      </x:c>
      <x:c r="E20" t="str">
        <x:v>Marruecos</x:v>
      </x:c>
      <x:c r="F20"/>
      <x:c r="G20"/>
      <x:c r="H20" t="str">
        <x:v>Sin envío</x:v>
      </x:c>
      <x:c r="I20" t="str">
        <x:v>Sin envío</x:v>
      </x:c>
      <x:c r="J20" t="n">
        <x:v>0</x:v>
      </x:c>
      <x:c r="K20" t="n">
        <x:v>3</x:v>
      </x:c>
      <x:c r="L20" t="str">
        <x:v>Marruecos</x:v>
      </x:c>
      <x:c r="M20" t="str">
        <x:v>90 minutos</x:v>
      </x:c>
      <x:c r="N20" t="n">
        <x:v>0</x:v>
      </x:c>
      <x:c r="O20" t="n">
        <x:v>0</x:v>
      </x:c>
      <x:c r="P20" t="n">
        <x:v>0</x:v>
      </x:c>
      <x:c r="Q20" t="n">
        <x:v>0</x:v>
      </x:c>
      <x:c r="R20" t="n">
        <x:v>0</x:v>
      </x:c>
      <x:c r="S20" t="n">
        <x:v>0</x:v>
      </x:c>
      <x:c r="T20" t="n">
        <x:v>0</x:v>
      </x:c>
      <x:c r="U20" t="n">
        <x:v>0</x:v>
      </x:c>
      <x:c r="V20" t="str">
        <x:v>Sin respuesta CSV</x:v>
      </x:c>
      <x:c r="W20" t="str">
        <x:v>Detalle 8vos publicado</x:v>
      </x:c>
    </x:row>
    <x:row r="21" ht="15" hidden="0" customHeight="1">
      <x:c r="A21" t="str">
        <x:v>8vos</x:v>
      </x:c>
      <x:c r="B21" t="str">
        <x:v>O1</x:v>
      </x:c>
      <x:c r="C21" t="str">
        <x:v>Fernando</x:v>
      </x:c>
      <x:c r="D21" t="str">
        <x:v>Canadá</x:v>
      </x:c>
      <x:c r="E21" t="str">
        <x:v>Marruecos</x:v>
      </x:c>
      <x:c r="F21" t="n">
        <x:v>1</x:v>
      </x:c>
      <x:c r="G21" t="n">
        <x:v>2</x:v>
      </x:c>
      <x:c r="H21" t="str">
        <x:v>Marruecos</x:v>
      </x:c>
      <x:c r="I21" t="str">
        <x:v>90 minutos</x:v>
      </x:c>
      <x:c r="J21" t="n">
        <x:v>0</x:v>
      </x:c>
      <x:c r="K21" t="n">
        <x:v>3</x:v>
      </x:c>
      <x:c r="L21" t="str">
        <x:v>Marruecos</x:v>
      </x:c>
      <x:c r="M21" t="str">
        <x:v>90 minutos</x:v>
      </x:c>
      <x:c r="N21" t="n">
        <x:v>5</x:v>
      </x:c>
      <x:c r="O21" t="n">
        <x:v>3</x:v>
      </x:c>
      <x:c r="P21" t="n">
        <x:v>2</x:v>
      </x:c>
      <x:c r="Q21" t="n">
        <x:v>0</x:v>
      </x:c>
      <x:c r="R21" t="n">
        <x:v>0</x:v>
      </x:c>
      <x:c r="S21" t="n">
        <x:v>0</x:v>
      </x:c>
      <x:c r="T21" t="n">
        <x:v>0</x:v>
      </x:c>
      <x:c r="U21" t="n">
        <x:v>10</x:v>
      </x:c>
      <x:c r="V21" t="str">
        <x:v>OK</x:v>
      </x:c>
      <x:c r="W21" t="str">
        <x:v>Detalle 8vos publicado</x:v>
      </x:c>
    </x:row>
    <x:row r="22" ht="15" hidden="0" customHeight="1">
      <x:c r="A22" t="str">
        <x:v>8vos</x:v>
      </x:c>
      <x:c r="B22" t="str">
        <x:v>O1</x:v>
      </x:c>
      <x:c r="C22" t="str">
        <x:v>Diana</x:v>
      </x:c>
      <x:c r="D22" t="str">
        <x:v>Canadá</x:v>
      </x:c>
      <x:c r="E22" t="str">
        <x:v>Marruecos</x:v>
      </x:c>
      <x:c r="F22" t="n">
        <x:v>0</x:v>
      </x:c>
      <x:c r="G22" t="n">
        <x:v>0</x:v>
      </x:c>
      <x:c r="H22" t="str">
        <x:v>Canadá</x:v>
      </x:c>
      <x:c r="I22" t="str">
        <x:v>Penales</x:v>
      </x:c>
      <x:c r="J22" t="n">
        <x:v>0</x:v>
      </x:c>
      <x:c r="K22" t="n">
        <x:v>3</x:v>
      </x:c>
      <x:c r="L22" t="str">
        <x:v>Marruecos</x:v>
      </x:c>
      <x:c r="M22" t="str">
        <x:v>90 minutos</x:v>
      </x:c>
      <x:c r="N22" t="n">
        <x:v>0</x:v>
      </x:c>
      <x:c r="O22" t="n">
        <x:v>0</x:v>
      </x:c>
      <x:c r="P22" t="n">
        <x:v>0</x:v>
      </x:c>
      <x:c r="Q22" t="n">
        <x:v>0</x:v>
      </x:c>
      <x:c r="R22" t="n">
        <x:v>0</x:v>
      </x:c>
      <x:c r="S22" t="n">
        <x:v>1</x:v>
      </x:c>
      <x:c r="T22" t="n">
        <x:v>0</x:v>
      </x:c>
      <x:c r="U22" t="n">
        <x:v>1</x:v>
      </x:c>
      <x:c r="V22" t="str">
        <x:v>OK</x:v>
      </x:c>
      <x:c r="W22" t="str">
        <x:v>Detalle 8vos publicado</x:v>
      </x:c>
    </x:row>
    <x:row r="23" ht="15" hidden="0" customHeight="1">
      <x:c r="A23" t="str">
        <x:v>8vos</x:v>
      </x:c>
      <x:c r="B23" t="str">
        <x:v>O1</x:v>
      </x:c>
      <x:c r="C23" t="str">
        <x:v>Óscar</x:v>
      </x:c>
      <x:c r="D23" t="str">
        <x:v>Canadá</x:v>
      </x:c>
      <x:c r="E23" t="str">
        <x:v>Marruecos</x:v>
      </x:c>
      <x:c r="F23" t="n">
        <x:v>1</x:v>
      </x:c>
      <x:c r="G23" t="n">
        <x:v>2</x:v>
      </x:c>
      <x:c r="H23" t="str">
        <x:v>Marruecos</x:v>
      </x:c>
      <x:c r="I23" t="str">
        <x:v>Suplementario</x:v>
      </x:c>
      <x:c r="J23" t="n">
        <x:v>0</x:v>
      </x:c>
      <x:c r="K23" t="n">
        <x:v>3</x:v>
      </x:c>
      <x:c r="L23" t="str">
        <x:v>Marruecos</x:v>
      </x:c>
      <x:c r="M23" t="str">
        <x:v>90 minutos</x:v>
      </x:c>
      <x:c r="N23" t="n">
        <x:v>0</x:v>
      </x:c>
      <x:c r="O23" t="n">
        <x:v>0</x:v>
      </x:c>
      <x:c r="P23" t="n">
        <x:v>0</x:v>
      </x:c>
      <x:c r="Q23" t="n">
        <x:v>0</x:v>
      </x:c>
      <x:c r="R23" t="n">
        <x:v>0</x:v>
      </x:c>
      <x:c r="S23" t="n">
        <x:v>0</x:v>
      </x:c>
      <x:c r="T23" t="n">
        <x:v>0</x:v>
      </x:c>
      <x:c r="U23" t="n">
        <x:v>0</x:v>
      </x:c>
      <x:c r="V23" t="str">
        <x:v>Revisar: ganador en 90 debe tener método 90 minutos</x:v>
      </x:c>
      <x:c r="W23" t="str">
        <x:v>Detalle 8vos publicado</x:v>
      </x:c>
    </x:row>
    <x:row r="24" ht="15" hidden="0" customHeight="1">
      <x:c r="A24" t="str">
        <x:v>8vos</x:v>
      </x:c>
      <x:c r="B24" t="str">
        <x:v>O2</x:v>
      </x:c>
      <x:c r="C24" t="str">
        <x:v>Freddy</x:v>
      </x:c>
      <x:c r="D24" t="str">
        <x:v>Paraguay</x:v>
      </x:c>
      <x:c r="E24" t="str">
        <x:v>Francia</x:v>
      </x:c>
      <x:c r="F24" t="n">
        <x:v>1</x:v>
      </x:c>
      <x:c r="G24" t="n">
        <x:v>2</x:v>
      </x:c>
      <x:c r="H24" t="str">
        <x:v>Francia</x:v>
      </x:c>
      <x:c r="I24" t="str">
        <x:v>90 minutos</x:v>
      </x:c>
      <x:c r="J24" t="n">
        <x:v>0</x:v>
      </x:c>
      <x:c r="K24" t="n">
        <x:v>1</x:v>
      </x:c>
      <x:c r="L24" t="str">
        <x:v>Francia</x:v>
      </x:c>
      <x:c r="M24" t="str">
        <x:v>90 minutos</x:v>
      </x:c>
      <x:c r="N24" t="n">
        <x:v>5</x:v>
      </x:c>
      <x:c r="O24" t="n">
        <x:v>3</x:v>
      </x:c>
      <x:c r="P24" t="n">
        <x:v>2</x:v>
      </x:c>
      <x:c r="Q24" t="n">
        <x:v>0</x:v>
      </x:c>
      <x:c r="R24" t="n">
        <x:v>2</x:v>
      </x:c>
      <x:c r="S24" t="n">
        <x:v>0</x:v>
      </x:c>
      <x:c r="T24" t="n">
        <x:v>0</x:v>
      </x:c>
      <x:c r="U24" t="n">
        <x:v>12</x:v>
      </x:c>
      <x:c r="V24" t="str">
        <x:v>OK</x:v>
      </x:c>
      <x:c r="W24" t="str">
        <x:v>Detalle 8vos publicado</x:v>
      </x:c>
    </x:row>
    <x:row r="25" ht="15" hidden="0" customHeight="1">
      <x:c r="A25" t="str">
        <x:v>8vos</x:v>
      </x:c>
      <x:c r="B25" t="str">
        <x:v>O2</x:v>
      </x:c>
      <x:c r="C25" t="str">
        <x:v>Gabriela</x:v>
      </x:c>
      <x:c r="D25" t="str">
        <x:v>Paraguay</x:v>
      </x:c>
      <x:c r="E25" t="str">
        <x:v>Francia</x:v>
      </x:c>
      <x:c r="F25" t="n">
        <x:v>1</x:v>
      </x:c>
      <x:c r="G25" t="n">
        <x:v>2</x:v>
      </x:c>
      <x:c r="H25" t="str">
        <x:v>Francia</x:v>
      </x:c>
      <x:c r="I25" t="str">
        <x:v>90 minutos</x:v>
      </x:c>
      <x:c r="J25" t="n">
        <x:v>0</x:v>
      </x:c>
      <x:c r="K25" t="n">
        <x:v>1</x:v>
      </x:c>
      <x:c r="L25" t="str">
        <x:v>Francia</x:v>
      </x:c>
      <x:c r="M25" t="str">
        <x:v>90 minutos</x:v>
      </x:c>
      <x:c r="N25" t="n">
        <x:v>5</x:v>
      </x:c>
      <x:c r="O25" t="n">
        <x:v>3</x:v>
      </x:c>
      <x:c r="P25" t="n">
        <x:v>2</x:v>
      </x:c>
      <x:c r="Q25" t="n">
        <x:v>0</x:v>
      </x:c>
      <x:c r="R25" t="n">
        <x:v>2</x:v>
      </x:c>
      <x:c r="S25" t="n">
        <x:v>0</x:v>
      </x:c>
      <x:c r="T25" t="n">
        <x:v>0</x:v>
      </x:c>
      <x:c r="U25" t="n">
        <x:v>12</x:v>
      </x:c>
      <x:c r="V25" t="str">
        <x:v>OK</x:v>
      </x:c>
      <x:c r="W25" t="str">
        <x:v>Detalle 8vos publicado</x:v>
      </x:c>
    </x:row>
    <x:row r="26" ht="15" hidden="0" customHeight="1">
      <x:c r="A26" t="str">
        <x:v>8vos</x:v>
      </x:c>
      <x:c r="B26" t="str">
        <x:v>O2</x:v>
      </x:c>
      <x:c r="C26" t="str">
        <x:v>Jean</x:v>
      </x:c>
      <x:c r="D26" t="str">
        <x:v>Paraguay</x:v>
      </x:c>
      <x:c r="E26" t="str">
        <x:v>Francia</x:v>
      </x:c>
      <x:c r="F26" t="n">
        <x:v>0</x:v>
      </x:c>
      <x:c r="G26" t="n">
        <x:v>2</x:v>
      </x:c>
      <x:c r="H26" t="str">
        <x:v>Francia</x:v>
      </x:c>
      <x:c r="I26" t="str">
        <x:v>90 minutos</x:v>
      </x:c>
      <x:c r="J26" t="n">
        <x:v>0</x:v>
      </x:c>
      <x:c r="K26" t="n">
        <x:v>1</x:v>
      </x:c>
      <x:c r="L26" t="str">
        <x:v>Francia</x:v>
      </x:c>
      <x:c r="M26" t="str">
        <x:v>90 minutos</x:v>
      </x:c>
      <x:c r="N26" t="n">
        <x:v>5</x:v>
      </x:c>
      <x:c r="O26" t="n">
        <x:v>3</x:v>
      </x:c>
      <x:c r="P26" t="n">
        <x:v>2</x:v>
      </x:c>
      <x:c r="Q26" t="n">
        <x:v>0</x:v>
      </x:c>
      <x:c r="R26" t="n">
        <x:v>0</x:v>
      </x:c>
      <x:c r="S26" t="n">
        <x:v>1</x:v>
      </x:c>
      <x:c r="T26" t="n">
        <x:v>0</x:v>
      </x:c>
      <x:c r="U26" t="n">
        <x:v>11</x:v>
      </x:c>
      <x:c r="V26" t="str">
        <x:v>OK</x:v>
      </x:c>
      <x:c r="W26" t="str">
        <x:v>Detalle 8vos publicado</x:v>
      </x:c>
    </x:row>
    <x:row r="27" ht="15" hidden="0" customHeight="1">
      <x:c r="A27" t="str">
        <x:v>8vos</x:v>
      </x:c>
      <x:c r="B27" t="str">
        <x:v>O2</x:v>
      </x:c>
      <x:c r="C27" t="str">
        <x:v>Juan</x:v>
      </x:c>
      <x:c r="D27" t="str">
        <x:v>Paraguay</x:v>
      </x:c>
      <x:c r="E27" t="str">
        <x:v>Francia</x:v>
      </x:c>
      <x:c r="F27" t="n">
        <x:v>1</x:v>
      </x:c>
      <x:c r="G27" t="n">
        <x:v>3</x:v>
      </x:c>
      <x:c r="H27" t="str">
        <x:v>Francia</x:v>
      </x:c>
      <x:c r="I27" t="str">
        <x:v>90 minutos</x:v>
      </x:c>
      <x:c r="J27" t="n">
        <x:v>0</x:v>
      </x:c>
      <x:c r="K27" t="n">
        <x:v>1</x:v>
      </x:c>
      <x:c r="L27" t="str">
        <x:v>Francia</x:v>
      </x:c>
      <x:c r="M27" t="str">
        <x:v>90 minutos</x:v>
      </x:c>
      <x:c r="N27" t="n">
        <x:v>5</x:v>
      </x:c>
      <x:c r="O27" t="n">
        <x:v>3</x:v>
      </x:c>
      <x:c r="P27" t="n">
        <x:v>2</x:v>
      </x:c>
      <x:c r="Q27" t="n">
        <x:v>0</x:v>
      </x:c>
      <x:c r="R27" t="n">
        <x:v>0</x:v>
      </x:c>
      <x:c r="S27" t="n">
        <x:v>0</x:v>
      </x:c>
      <x:c r="T27" t="n">
        <x:v>0</x:v>
      </x:c>
      <x:c r="U27" t="n">
        <x:v>10</x:v>
      </x:c>
      <x:c r="V27" t="str">
        <x:v>OK</x:v>
      </x:c>
      <x:c r="W27" t="str">
        <x:v>Detalle 8vos publicado</x:v>
      </x:c>
    </x:row>
    <x:row r="28" ht="15" hidden="0" customHeight="1">
      <x:c r="A28" t="str">
        <x:v>8vos</x:v>
      </x:c>
      <x:c r="B28" t="str">
        <x:v>O2</x:v>
      </x:c>
      <x:c r="C28" t="str">
        <x:v>Jesús</x:v>
      </x:c>
      <x:c r="D28" t="str">
        <x:v>Paraguay</x:v>
      </x:c>
      <x:c r="E28" t="str">
        <x:v>Francia</x:v>
      </x:c>
      <x:c r="F28" t="n">
        <x:v>1</x:v>
      </x:c>
      <x:c r="G28" t="n">
        <x:v>3</x:v>
      </x:c>
      <x:c r="H28" t="str">
        <x:v>Francia</x:v>
      </x:c>
      <x:c r="I28" t="str">
        <x:v>90 minutos</x:v>
      </x:c>
      <x:c r="J28" t="n">
        <x:v>0</x:v>
      </x:c>
      <x:c r="K28" t="n">
        <x:v>1</x:v>
      </x:c>
      <x:c r="L28" t="str">
        <x:v>Francia</x:v>
      </x:c>
      <x:c r="M28" t="str">
        <x:v>90 minutos</x:v>
      </x:c>
      <x:c r="N28" t="n">
        <x:v>5</x:v>
      </x:c>
      <x:c r="O28" t="n">
        <x:v>3</x:v>
      </x:c>
      <x:c r="P28" t="n">
        <x:v>2</x:v>
      </x:c>
      <x:c r="Q28" t="n">
        <x:v>0</x:v>
      </x:c>
      <x:c r="R28" t="n">
        <x:v>0</x:v>
      </x:c>
      <x:c r="S28" t="n">
        <x:v>0</x:v>
      </x:c>
      <x:c r="T28" t="n">
        <x:v>0</x:v>
      </x:c>
      <x:c r="U28" t="n">
        <x:v>10</x:v>
      </x:c>
      <x:c r="V28" t="str">
        <x:v>OK</x:v>
      </x:c>
      <x:c r="W28" t="str">
        <x:v>Detalle 8vos publicado</x:v>
      </x:c>
    </x:row>
    <x:row r="29" ht="15" hidden="0" customHeight="1">
      <x:c r="A29" t="str">
        <x:v>8vos</x:v>
      </x:c>
      <x:c r="B29" t="str">
        <x:v>O2</x:v>
      </x:c>
      <x:c r="C29" t="str">
        <x:v>Diego</x:v>
      </x:c>
      <x:c r="D29" t="str">
        <x:v>Paraguay</x:v>
      </x:c>
      <x:c r="E29" t="str">
        <x:v>Francia</x:v>
      </x:c>
      <x:c r="F29" t="n">
        <x:v>0</x:v>
      </x:c>
      <x:c r="G29" t="n">
        <x:v>2</x:v>
      </x:c>
      <x:c r="H29" t="str">
        <x:v>Francia</x:v>
      </x:c>
      <x:c r="I29" t="str">
        <x:v>90 minutos</x:v>
      </x:c>
      <x:c r="J29" t="n">
        <x:v>0</x:v>
      </x:c>
      <x:c r="K29" t="n">
        <x:v>1</x:v>
      </x:c>
      <x:c r="L29" t="str">
        <x:v>Francia</x:v>
      </x:c>
      <x:c r="M29" t="str">
        <x:v>90 minutos</x:v>
      </x:c>
      <x:c r="N29" t="n">
        <x:v>5</x:v>
      </x:c>
      <x:c r="O29" t="n">
        <x:v>3</x:v>
      </x:c>
      <x:c r="P29" t="n">
        <x:v>2</x:v>
      </x:c>
      <x:c r="Q29" t="n">
        <x:v>0</x:v>
      </x:c>
      <x:c r="R29" t="n">
        <x:v>0</x:v>
      </x:c>
      <x:c r="S29" t="n">
        <x:v>1</x:v>
      </x:c>
      <x:c r="T29" t="n">
        <x:v>0</x:v>
      </x:c>
      <x:c r="U29" t="n">
        <x:v>11</x:v>
      </x:c>
      <x:c r="V29" t="str">
        <x:v>OK</x:v>
      </x:c>
      <x:c r="W29" t="str">
        <x:v>Detalle 8vos publicado</x:v>
      </x:c>
    </x:row>
    <x:row r="30" ht="15" hidden="0" customHeight="1">
      <x:c r="A30" t="str">
        <x:v>8vos</x:v>
      </x:c>
      <x:c r="B30" t="str">
        <x:v>O2</x:v>
      </x:c>
      <x:c r="C30" t="str">
        <x:v>Aldo</x:v>
      </x:c>
      <x:c r="D30" t="str">
        <x:v>Paraguay</x:v>
      </x:c>
      <x:c r="E30" t="str">
        <x:v>Francia</x:v>
      </x:c>
      <x:c r="F30" t="n">
        <x:v>1</x:v>
      </x:c>
      <x:c r="G30" t="n">
        <x:v>1</x:v>
      </x:c>
      <x:c r="H30" t="str">
        <x:v>Paraguay</x:v>
      </x:c>
      <x:c r="I30" t="str">
        <x:v>Penales</x:v>
      </x:c>
      <x:c r="J30" t="n">
        <x:v>0</x:v>
      </x:c>
      <x:c r="K30" t="n">
        <x:v>1</x:v>
      </x:c>
      <x:c r="L30" t="str">
        <x:v>Francia</x:v>
      </x:c>
      <x:c r="M30" t="str">
        <x:v>90 minutos</x:v>
      </x:c>
      <x:c r="N30" t="n">
        <x:v>0</x:v>
      </x:c>
      <x:c r="O30" t="n">
        <x:v>0</x:v>
      </x:c>
      <x:c r="P30" t="n">
        <x:v>0</x:v>
      </x:c>
      <x:c r="Q30" t="n">
        <x:v>0</x:v>
      </x:c>
      <x:c r="R30" t="n">
        <x:v>0</x:v>
      </x:c>
      <x:c r="S30" t="n">
        <x:v>0</x:v>
      </x:c>
      <x:c r="T30" t="n">
        <x:v>1</x:v>
      </x:c>
      <x:c r="U30" t="n">
        <x:v>1</x:v>
      </x:c>
      <x:c r="V30" t="str">
        <x:v>OK</x:v>
      </x:c>
      <x:c r="W30" t="str">
        <x:v>Detalle 8vos publicado</x:v>
      </x:c>
    </x:row>
    <x:row r="31" ht="15" hidden="0" customHeight="1">
      <x:c r="A31" t="str">
        <x:v>8vos</x:v>
      </x:c>
      <x:c r="B31" t="str">
        <x:v>O2</x:v>
      </x:c>
      <x:c r="C31" t="str">
        <x:v>Javier</x:v>
      </x:c>
      <x:c r="D31" t="str">
        <x:v>Paraguay</x:v>
      </x:c>
      <x:c r="E31" t="str">
        <x:v>Francia</x:v>
      </x:c>
      <x:c r="F31" t="n">
        <x:v>0</x:v>
      </x:c>
      <x:c r="G31" t="n">
        <x:v>2</x:v>
      </x:c>
      <x:c r="H31" t="str">
        <x:v>Francia</x:v>
      </x:c>
      <x:c r="I31" t="str">
        <x:v>90 minutos</x:v>
      </x:c>
      <x:c r="J31" t="n">
        <x:v>0</x:v>
      </x:c>
      <x:c r="K31" t="n">
        <x:v>1</x:v>
      </x:c>
      <x:c r="L31" t="str">
        <x:v>Francia</x:v>
      </x:c>
      <x:c r="M31" t="str">
        <x:v>90 minutos</x:v>
      </x:c>
      <x:c r="N31" t="n">
        <x:v>5</x:v>
      </x:c>
      <x:c r="O31" t="n">
        <x:v>3</x:v>
      </x:c>
      <x:c r="P31" t="n">
        <x:v>2</x:v>
      </x:c>
      <x:c r="Q31" t="n">
        <x:v>0</x:v>
      </x:c>
      <x:c r="R31" t="n">
        <x:v>0</x:v>
      </x:c>
      <x:c r="S31" t="n">
        <x:v>1</x:v>
      </x:c>
      <x:c r="T31" t="n">
        <x:v>0</x:v>
      </x:c>
      <x:c r="U31" t="n">
        <x:v>11</x:v>
      </x:c>
      <x:c r="V31" t="str">
        <x:v>OK</x:v>
      </x:c>
      <x:c r="W31" t="str">
        <x:v>Detalle 8vos publicado</x:v>
      </x:c>
    </x:row>
    <x:row r="32" ht="15" hidden="0" customHeight="1">
      <x:c r="A32" t="str">
        <x:v>8vos</x:v>
      </x:c>
      <x:c r="B32" t="str">
        <x:v>O2</x:v>
      </x:c>
      <x:c r="C32" t="str">
        <x:v>Gino</x:v>
      </x:c>
      <x:c r="D32" t="str">
        <x:v>Paraguay</x:v>
      </x:c>
      <x:c r="E32" t="str">
        <x:v>Francia</x:v>
      </x:c>
      <x:c r="F32" t="n">
        <x:v>0</x:v>
      </x:c>
      <x:c r="G32" t="n">
        <x:v>3</x:v>
      </x:c>
      <x:c r="H32" t="str">
        <x:v>Francia</x:v>
      </x:c>
      <x:c r="I32" t="str">
        <x:v>90 minutos</x:v>
      </x:c>
      <x:c r="J32" t="n">
        <x:v>0</x:v>
      </x:c>
      <x:c r="K32" t="n">
        <x:v>1</x:v>
      </x:c>
      <x:c r="L32" t="str">
        <x:v>Francia</x:v>
      </x:c>
      <x:c r="M32" t="str">
        <x:v>90 minutos</x:v>
      </x:c>
      <x:c r="N32" t="n">
        <x:v>5</x:v>
      </x:c>
      <x:c r="O32" t="n">
        <x:v>3</x:v>
      </x:c>
      <x:c r="P32" t="n">
        <x:v>2</x:v>
      </x:c>
      <x:c r="Q32" t="n">
        <x:v>0</x:v>
      </x:c>
      <x:c r="R32" t="n">
        <x:v>0</x:v>
      </x:c>
      <x:c r="S32" t="n">
        <x:v>1</x:v>
      </x:c>
      <x:c r="T32" t="n">
        <x:v>0</x:v>
      </x:c>
      <x:c r="U32" t="n">
        <x:v>11</x:v>
      </x:c>
      <x:c r="V32" t="str">
        <x:v>OK</x:v>
      </x:c>
      <x:c r="W32" t="str">
        <x:v>Detalle 8vos publicado</x:v>
      </x:c>
    </x:row>
    <x:row r="33" ht="15" hidden="0" customHeight="1">
      <x:c r="A33" t="str">
        <x:v>8vos</x:v>
      </x:c>
      <x:c r="B33" t="str">
        <x:v>O2</x:v>
      </x:c>
      <x:c r="C33" t="str">
        <x:v>Manuel</x:v>
      </x:c>
      <x:c r="D33" t="str">
        <x:v>Paraguay</x:v>
      </x:c>
      <x:c r="E33" t="str">
        <x:v>Francia</x:v>
      </x:c>
      <x:c r="F33" t="n">
        <x:v>1</x:v>
      </x:c>
      <x:c r="G33" t="n">
        <x:v>1</x:v>
      </x:c>
      <x:c r="H33" t="str">
        <x:v>Francia</x:v>
      </x:c>
      <x:c r="I33" t="str">
        <x:v>Suplementario</x:v>
      </x:c>
      <x:c r="J33" t="n">
        <x:v>0</x:v>
      </x:c>
      <x:c r="K33" t="n">
        <x:v>1</x:v>
      </x:c>
      <x:c r="L33" t="str">
        <x:v>Francia</x:v>
      </x:c>
      <x:c r="M33" t="str">
        <x:v>90 minutos</x:v>
      </x:c>
      <x:c r="N33" t="n">
        <x:v>0</x:v>
      </x:c>
      <x:c r="O33" t="n">
        <x:v>3</x:v>
      </x:c>
      <x:c r="P33" t="n">
        <x:v>0</x:v>
      </x:c>
      <x:c r="Q33" t="n">
        <x:v>0</x:v>
      </x:c>
      <x:c r="R33" t="n">
        <x:v>0</x:v>
      </x:c>
      <x:c r="S33" t="n">
        <x:v>0</x:v>
      </x:c>
      <x:c r="T33" t="n">
        <x:v>1</x:v>
      </x:c>
      <x:c r="U33" t="n">
        <x:v>4</x:v>
      </x:c>
      <x:c r="V33" t="str">
        <x:v>OK</x:v>
      </x:c>
      <x:c r="W33" t="str">
        <x:v>Detalle 8vos publicado</x:v>
      </x:c>
    </x:row>
    <x:row r="34" ht="15" hidden="0" customHeight="1">
      <x:c r="A34" t="str">
        <x:v>8vos</x:v>
      </x:c>
      <x:c r="B34" t="str">
        <x:v>O2</x:v>
      </x:c>
      <x:c r="C34" t="str">
        <x:v>Jorge</x:v>
      </x:c>
      <x:c r="D34" t="str">
        <x:v>Paraguay</x:v>
      </x:c>
      <x:c r="E34" t="str">
        <x:v>Francia</x:v>
      </x:c>
      <x:c r="F34" t="n">
        <x:v>1</x:v>
      </x:c>
      <x:c r="G34" t="n">
        <x:v>3</x:v>
      </x:c>
      <x:c r="H34" t="str">
        <x:v>Francia</x:v>
      </x:c>
      <x:c r="I34" t="str">
        <x:v>90 minutos</x:v>
      </x:c>
      <x:c r="J34" t="n">
        <x:v>0</x:v>
      </x:c>
      <x:c r="K34" t="n">
        <x:v>1</x:v>
      </x:c>
      <x:c r="L34" t="str">
        <x:v>Francia</x:v>
      </x:c>
      <x:c r="M34" t="str">
        <x:v>90 minutos</x:v>
      </x:c>
      <x:c r="N34" t="n">
        <x:v>5</x:v>
      </x:c>
      <x:c r="O34" t="n">
        <x:v>3</x:v>
      </x:c>
      <x:c r="P34" t="n">
        <x:v>2</x:v>
      </x:c>
      <x:c r="Q34" t="n">
        <x:v>0</x:v>
      </x:c>
      <x:c r="R34" t="n">
        <x:v>0</x:v>
      </x:c>
      <x:c r="S34" t="n">
        <x:v>0</x:v>
      </x:c>
      <x:c r="T34" t="n">
        <x:v>0</x:v>
      </x:c>
      <x:c r="U34" t="n">
        <x:v>10</x:v>
      </x:c>
      <x:c r="V34" t="str">
        <x:v>OK</x:v>
      </x:c>
      <x:c r="W34" t="str">
        <x:v>Detalle 8vos publicado</x:v>
      </x:c>
    </x:row>
    <x:row r="35" ht="15" hidden="0" customHeight="1">
      <x:c r="A35" t="str">
        <x:v>8vos</x:v>
      </x:c>
      <x:c r="B35" t="str">
        <x:v>O2</x:v>
      </x:c>
      <x:c r="C35" t="str">
        <x:v>Daniel</x:v>
      </x:c>
      <x:c r="D35" t="str">
        <x:v>Paraguay</x:v>
      </x:c>
      <x:c r="E35" t="str">
        <x:v>Francia</x:v>
      </x:c>
      <x:c r="F35" t="n">
        <x:v>1</x:v>
      </x:c>
      <x:c r="G35" t="n">
        <x:v>2</x:v>
      </x:c>
      <x:c r="H35" t="str">
        <x:v>Francia</x:v>
      </x:c>
      <x:c r="I35" t="str">
        <x:v>90 minutos</x:v>
      </x:c>
      <x:c r="J35" t="n">
        <x:v>0</x:v>
      </x:c>
      <x:c r="K35" t="n">
        <x:v>1</x:v>
      </x:c>
      <x:c r="L35" t="str">
        <x:v>Francia</x:v>
      </x:c>
      <x:c r="M35" t="str">
        <x:v>90 minutos</x:v>
      </x:c>
      <x:c r="N35" t="n">
        <x:v>5</x:v>
      </x:c>
      <x:c r="O35" t="n">
        <x:v>3</x:v>
      </x:c>
      <x:c r="P35" t="n">
        <x:v>2</x:v>
      </x:c>
      <x:c r="Q35" t="n">
        <x:v>0</x:v>
      </x:c>
      <x:c r="R35" t="n">
        <x:v>2</x:v>
      </x:c>
      <x:c r="S35" t="n">
        <x:v>0</x:v>
      </x:c>
      <x:c r="T35" t="n">
        <x:v>0</x:v>
      </x:c>
      <x:c r="U35" t="n">
        <x:v>12</x:v>
      </x:c>
      <x:c r="V35" t="str">
        <x:v>OK</x:v>
      </x:c>
      <x:c r="W35" t="str">
        <x:v>Detalle 8vos publicado</x:v>
      </x:c>
    </x:row>
    <x:row r="36" ht="15" hidden="0" customHeight="1">
      <x:c r="A36" t="str">
        <x:v>8vos</x:v>
      </x:c>
      <x:c r="B36" t="str">
        <x:v>O2</x:v>
      </x:c>
      <x:c r="C36" t="str">
        <x:v>Arthur</x:v>
      </x:c>
      <x:c r="D36" t="str">
        <x:v>Paraguay</x:v>
      </x:c>
      <x:c r="E36" t="str">
        <x:v>Francia</x:v>
      </x:c>
      <x:c r="F36" t="n">
        <x:v>0</x:v>
      </x:c>
      <x:c r="G36" t="n">
        <x:v>2</x:v>
      </x:c>
      <x:c r="H36" t="str">
        <x:v>Francia</x:v>
      </x:c>
      <x:c r="I36" t="str">
        <x:v>90 minutos</x:v>
      </x:c>
      <x:c r="J36" t="n">
        <x:v>0</x:v>
      </x:c>
      <x:c r="K36" t="n">
        <x:v>1</x:v>
      </x:c>
      <x:c r="L36" t="str">
        <x:v>Francia</x:v>
      </x:c>
      <x:c r="M36" t="str">
        <x:v>90 minutos</x:v>
      </x:c>
      <x:c r="N36" t="n">
        <x:v>5</x:v>
      </x:c>
      <x:c r="O36" t="n">
        <x:v>3</x:v>
      </x:c>
      <x:c r="P36" t="n">
        <x:v>2</x:v>
      </x:c>
      <x:c r="Q36" t="n">
        <x:v>0</x:v>
      </x:c>
      <x:c r="R36" t="n">
        <x:v>0</x:v>
      </x:c>
      <x:c r="S36" t="n">
        <x:v>1</x:v>
      </x:c>
      <x:c r="T36" t="n">
        <x:v>0</x:v>
      </x:c>
      <x:c r="U36" t="n">
        <x:v>11</x:v>
      </x:c>
      <x:c r="V36" t="str">
        <x:v>OK</x:v>
      </x:c>
      <x:c r="W36" t="str">
        <x:v>Detalle 8vos publicado</x:v>
      </x:c>
    </x:row>
    <x:row r="37" ht="15" hidden="0" customHeight="1">
      <x:c r="A37" t="str">
        <x:v>8vos</x:v>
      </x:c>
      <x:c r="B37" t="str">
        <x:v>O2</x:v>
      </x:c>
      <x:c r="C37" t="str">
        <x:v>José Luis</x:v>
      </x:c>
      <x:c r="D37" t="str">
        <x:v>Paraguay</x:v>
      </x:c>
      <x:c r="E37" t="str">
        <x:v>Francia</x:v>
      </x:c>
      <x:c r="F37"/>
      <x:c r="G37"/>
      <x:c r="H37" t="str">
        <x:v>Sin envío</x:v>
      </x:c>
      <x:c r="I37" t="str">
        <x:v>Sin envío</x:v>
      </x:c>
      <x:c r="J37" t="n">
        <x:v>0</x:v>
      </x:c>
      <x:c r="K37" t="n">
        <x:v>1</x:v>
      </x:c>
      <x:c r="L37" t="str">
        <x:v>Francia</x:v>
      </x:c>
      <x:c r="M37" t="str">
        <x:v>90 minutos</x:v>
      </x:c>
      <x:c r="N37" t="n">
        <x:v>0</x:v>
      </x:c>
      <x:c r="O37" t="n">
        <x:v>0</x:v>
      </x:c>
      <x:c r="P37" t="n">
        <x:v>0</x:v>
      </x:c>
      <x:c r="Q37" t="n">
        <x:v>0</x:v>
      </x:c>
      <x:c r="R37" t="n">
        <x:v>0</x:v>
      </x:c>
      <x:c r="S37" t="n">
        <x:v>0</x:v>
      </x:c>
      <x:c r="T37" t="n">
        <x:v>0</x:v>
      </x:c>
      <x:c r="U37" t="n">
        <x:v>0</x:v>
      </x:c>
      <x:c r="V37" t="str">
        <x:v>Sin respuesta CSV</x:v>
      </x:c>
      <x:c r="W37" t="str">
        <x:v>Detalle 8vos publicado</x:v>
      </x:c>
    </x:row>
    <x:row r="38" ht="15" hidden="0" customHeight="1">
      <x:c r="A38" t="str">
        <x:v>8vos</x:v>
      </x:c>
      <x:c r="B38" t="str">
        <x:v>O2</x:v>
      </x:c>
      <x:c r="C38" t="str">
        <x:v>Marcelo</x:v>
      </x:c>
      <x:c r="D38" t="str">
        <x:v>Paraguay</x:v>
      </x:c>
      <x:c r="E38" t="str">
        <x:v>Francia</x:v>
      </x:c>
      <x:c r="F38"/>
      <x:c r="G38"/>
      <x:c r="H38" t="str">
        <x:v>Sin envío</x:v>
      </x:c>
      <x:c r="I38" t="str">
        <x:v>Sin envío</x:v>
      </x:c>
      <x:c r="J38" t="n">
        <x:v>0</x:v>
      </x:c>
      <x:c r="K38" t="n">
        <x:v>1</x:v>
      </x:c>
      <x:c r="L38" t="str">
        <x:v>Francia</x:v>
      </x:c>
      <x:c r="M38" t="str">
        <x:v>90 minutos</x:v>
      </x:c>
      <x:c r="N38" t="n">
        <x:v>0</x:v>
      </x:c>
      <x:c r="O38" t="n">
        <x:v>0</x:v>
      </x:c>
      <x:c r="P38" t="n">
        <x:v>0</x:v>
      </x:c>
      <x:c r="Q38" t="n">
        <x:v>0</x:v>
      </x:c>
      <x:c r="R38" t="n">
        <x:v>0</x:v>
      </x:c>
      <x:c r="S38" t="n">
        <x:v>0</x:v>
      </x:c>
      <x:c r="T38" t="n">
        <x:v>0</x:v>
      </x:c>
      <x:c r="U38" t="n">
        <x:v>0</x:v>
      </x:c>
      <x:c r="V38" t="str">
        <x:v>Sin respuesta CSV</x:v>
      </x:c>
      <x:c r="W38" t="str">
        <x:v>Detalle 8vos publicado</x:v>
      </x:c>
    </x:row>
    <x:row r="39" ht="15" hidden="0" customHeight="1">
      <x:c r="A39" t="str">
        <x:v>8vos</x:v>
      </x:c>
      <x:c r="B39" t="str">
        <x:v>O2</x:v>
      </x:c>
      <x:c r="C39" t="str">
        <x:v>Anny</x:v>
      </x:c>
      <x:c r="D39" t="str">
        <x:v>Paraguay</x:v>
      </x:c>
      <x:c r="E39" t="str">
        <x:v>Francia</x:v>
      </x:c>
      <x:c r="F39" t="n">
        <x:v>0</x:v>
      </x:c>
      <x:c r="G39" t="n">
        <x:v>3</x:v>
      </x:c>
      <x:c r="H39" t="str">
        <x:v>Francia</x:v>
      </x:c>
      <x:c r="I39" t="str">
        <x:v>90 minutos</x:v>
      </x:c>
      <x:c r="J39" t="n">
        <x:v>0</x:v>
      </x:c>
      <x:c r="K39" t="n">
        <x:v>1</x:v>
      </x:c>
      <x:c r="L39" t="str">
        <x:v>Francia</x:v>
      </x:c>
      <x:c r="M39" t="str">
        <x:v>90 minutos</x:v>
      </x:c>
      <x:c r="N39" t="n">
        <x:v>5</x:v>
      </x:c>
      <x:c r="O39" t="n">
        <x:v>3</x:v>
      </x:c>
      <x:c r="P39" t="n">
        <x:v>2</x:v>
      </x:c>
      <x:c r="Q39" t="n">
        <x:v>0</x:v>
      </x:c>
      <x:c r="R39" t="n">
        <x:v>0</x:v>
      </x:c>
      <x:c r="S39" t="n">
        <x:v>1</x:v>
      </x:c>
      <x:c r="T39" t="n">
        <x:v>0</x:v>
      </x:c>
      <x:c r="U39" t="n">
        <x:v>11</x:v>
      </x:c>
      <x:c r="V39" t="str">
        <x:v>OK</x:v>
      </x:c>
      <x:c r="W39" t="str">
        <x:v>Detalle 8vos publicado</x:v>
      </x:c>
    </x:row>
    <x:row r="40" ht="15" hidden="0" customHeight="1">
      <x:c r="A40" t="str">
        <x:v>8vos</x:v>
      </x:c>
      <x:c r="B40" t="str">
        <x:v>O2</x:v>
      </x:c>
      <x:c r="C40" t="str">
        <x:v>Moisés</x:v>
      </x:c>
      <x:c r="D40" t="str">
        <x:v>Paraguay</x:v>
      </x:c>
      <x:c r="E40" t="str">
        <x:v>Francia</x:v>
      </x:c>
      <x:c r="F40" t="n">
        <x:v>1</x:v>
      </x:c>
      <x:c r="G40" t="n">
        <x:v>3</x:v>
      </x:c>
      <x:c r="H40" t="str">
        <x:v>Francia</x:v>
      </x:c>
      <x:c r="I40" t="str">
        <x:v>90 minutos</x:v>
      </x:c>
      <x:c r="J40" t="n">
        <x:v>0</x:v>
      </x:c>
      <x:c r="K40" t="n">
        <x:v>1</x:v>
      </x:c>
      <x:c r="L40" t="str">
        <x:v>Francia</x:v>
      </x:c>
      <x:c r="M40" t="str">
        <x:v>90 minutos</x:v>
      </x:c>
      <x:c r="N40" t="n">
        <x:v>5</x:v>
      </x:c>
      <x:c r="O40" t="n">
        <x:v>3</x:v>
      </x:c>
      <x:c r="P40" t="n">
        <x:v>2</x:v>
      </x:c>
      <x:c r="Q40" t="n">
        <x:v>0</x:v>
      </x:c>
      <x:c r="R40" t="n">
        <x:v>0</x:v>
      </x:c>
      <x:c r="S40" t="n">
        <x:v>0</x:v>
      </x:c>
      <x:c r="T40" t="n">
        <x:v>0</x:v>
      </x:c>
      <x:c r="U40" t="n">
        <x:v>10</x:v>
      </x:c>
      <x:c r="V40" t="str">
        <x:v>OK</x:v>
      </x:c>
      <x:c r="W40" t="str">
        <x:v>Detalle 8vos publicado</x:v>
      </x:c>
    </x:row>
    <x:row r="41" ht="15" hidden="0" customHeight="1">
      <x:c r="A41" t="str">
        <x:v>8vos</x:v>
      </x:c>
      <x:c r="B41" t="str">
        <x:v>O2</x:v>
      </x:c>
      <x:c r="C41" t="str">
        <x:v>Alex</x:v>
      </x:c>
      <x:c r="D41" t="str">
        <x:v>Paraguay</x:v>
      </x:c>
      <x:c r="E41" t="str">
        <x:v>Francia</x:v>
      </x:c>
      <x:c r="F41" t="n">
        <x:v>1</x:v>
      </x:c>
      <x:c r="G41" t="n">
        <x:v>3</x:v>
      </x:c>
      <x:c r="H41" t="str">
        <x:v>Francia</x:v>
      </x:c>
      <x:c r="I41" t="str">
        <x:v>90 minutos</x:v>
      </x:c>
      <x:c r="J41" t="n">
        <x:v>0</x:v>
      </x:c>
      <x:c r="K41" t="n">
        <x:v>1</x:v>
      </x:c>
      <x:c r="L41" t="str">
        <x:v>Francia</x:v>
      </x:c>
      <x:c r="M41" t="str">
        <x:v>90 minutos</x:v>
      </x:c>
      <x:c r="N41" t="n">
        <x:v>5</x:v>
      </x:c>
      <x:c r="O41" t="n">
        <x:v>3</x:v>
      </x:c>
      <x:c r="P41" t="n">
        <x:v>2</x:v>
      </x:c>
      <x:c r="Q41" t="n">
        <x:v>0</x:v>
      </x:c>
      <x:c r="R41" t="n">
        <x:v>0</x:v>
      </x:c>
      <x:c r="S41" t="n">
        <x:v>0</x:v>
      </x:c>
      <x:c r="T41" t="n">
        <x:v>0</x:v>
      </x:c>
      <x:c r="U41" t="n">
        <x:v>10</x:v>
      </x:c>
      <x:c r="V41" t="str">
        <x:v>OK</x:v>
      </x:c>
      <x:c r="W41" t="str">
        <x:v>Detalle 8vos publicado</x:v>
      </x:c>
    </x:row>
    <x:row r="42" ht="15" hidden="0" customHeight="1">
      <x:c r="A42" t="str">
        <x:v>8vos</x:v>
      </x:c>
      <x:c r="B42" t="str">
        <x:v>O2</x:v>
      </x:c>
      <x:c r="C42" t="str">
        <x:v>Omar</x:v>
      </x:c>
      <x:c r="D42" t="str">
        <x:v>Paraguay</x:v>
      </x:c>
      <x:c r="E42" t="str">
        <x:v>Francia</x:v>
      </x:c>
      <x:c r="F42"/>
      <x:c r="G42"/>
      <x:c r="H42" t="str">
        <x:v>Sin envío</x:v>
      </x:c>
      <x:c r="I42" t="str">
        <x:v>Sin envío</x:v>
      </x:c>
      <x:c r="J42" t="n">
        <x:v>0</x:v>
      </x:c>
      <x:c r="K42" t="n">
        <x:v>1</x:v>
      </x:c>
      <x:c r="L42" t="str">
        <x:v>Francia</x:v>
      </x:c>
      <x:c r="M42" t="str">
        <x:v>90 minutos</x:v>
      </x:c>
      <x:c r="N42" t="n">
        <x:v>0</x:v>
      </x:c>
      <x:c r="O42" t="n">
        <x:v>0</x:v>
      </x:c>
      <x:c r="P42" t="n">
        <x:v>0</x:v>
      </x:c>
      <x:c r="Q42" t="n">
        <x:v>0</x:v>
      </x:c>
      <x:c r="R42" t="n">
        <x:v>0</x:v>
      </x:c>
      <x:c r="S42" t="n">
        <x:v>0</x:v>
      </x:c>
      <x:c r="T42" t="n">
        <x:v>0</x:v>
      </x:c>
      <x:c r="U42" t="n">
        <x:v>0</x:v>
      </x:c>
      <x:c r="V42" t="str">
        <x:v>Sin respuesta CSV</x:v>
      </x:c>
      <x:c r="W42" t="str">
        <x:v>Detalle 8vos publicado</x:v>
      </x:c>
    </x:row>
    <x:row r="43" ht="15" hidden="0" customHeight="1">
      <x:c r="A43" t="str">
        <x:v>8vos</x:v>
      </x:c>
      <x:c r="B43" t="str">
        <x:v>O2</x:v>
      </x:c>
      <x:c r="C43" t="str">
        <x:v>Fernando</x:v>
      </x:c>
      <x:c r="D43" t="str">
        <x:v>Paraguay</x:v>
      </x:c>
      <x:c r="E43" t="str">
        <x:v>Francia</x:v>
      </x:c>
      <x:c r="F43" t="n">
        <x:v>1</x:v>
      </x:c>
      <x:c r="G43" t="n">
        <x:v>1</x:v>
      </x:c>
      <x:c r="H43" t="str">
        <x:v>Paraguay</x:v>
      </x:c>
      <x:c r="I43" t="str">
        <x:v>Penales</x:v>
      </x:c>
      <x:c r="J43" t="n">
        <x:v>0</x:v>
      </x:c>
      <x:c r="K43" t="n">
        <x:v>1</x:v>
      </x:c>
      <x:c r="L43" t="str">
        <x:v>Francia</x:v>
      </x:c>
      <x:c r="M43" t="str">
        <x:v>90 minutos</x:v>
      </x:c>
      <x:c r="N43" t="n">
        <x:v>0</x:v>
      </x:c>
      <x:c r="O43" t="n">
        <x:v>0</x:v>
      </x:c>
      <x:c r="P43" t="n">
        <x:v>0</x:v>
      </x:c>
      <x:c r="Q43" t="n">
        <x:v>0</x:v>
      </x:c>
      <x:c r="R43" t="n">
        <x:v>0</x:v>
      </x:c>
      <x:c r="S43" t="n">
        <x:v>0</x:v>
      </x:c>
      <x:c r="T43" t="n">
        <x:v>1</x:v>
      </x:c>
      <x:c r="U43" t="n">
        <x:v>1</x:v>
      </x:c>
      <x:c r="V43" t="str">
        <x:v>OK</x:v>
      </x:c>
      <x:c r="W43" t="str">
        <x:v>Detalle 8vos publicado</x:v>
      </x:c>
    </x:row>
    <x:row r="44" ht="15" hidden="0" customHeight="1">
      <x:c r="A44" t="str">
        <x:v>8vos</x:v>
      </x:c>
      <x:c r="B44" t="str">
        <x:v>O2</x:v>
      </x:c>
      <x:c r="C44" t="str">
        <x:v>Diana</x:v>
      </x:c>
      <x:c r="D44" t="str">
        <x:v>Paraguay</x:v>
      </x:c>
      <x:c r="E44" t="str">
        <x:v>Francia</x:v>
      </x:c>
      <x:c r="F44" t="n">
        <x:v>0</x:v>
      </x:c>
      <x:c r="G44" t="n">
        <x:v>0</x:v>
      </x:c>
      <x:c r="H44" t="str">
        <x:v>Paraguay</x:v>
      </x:c>
      <x:c r="I44" t="str">
        <x:v>Penales</x:v>
      </x:c>
      <x:c r="J44" t="n">
        <x:v>0</x:v>
      </x:c>
      <x:c r="K44" t="n">
        <x:v>1</x:v>
      </x:c>
      <x:c r="L44" t="str">
        <x:v>Francia</x:v>
      </x:c>
      <x:c r="M44" t="str">
        <x:v>90 minutos</x:v>
      </x:c>
      <x:c r="N44" t="n">
        <x:v>0</x:v>
      </x:c>
      <x:c r="O44" t="n">
        <x:v>0</x:v>
      </x:c>
      <x:c r="P44" t="n">
        <x:v>0</x:v>
      </x:c>
      <x:c r="Q44" t="n">
        <x:v>0</x:v>
      </x:c>
      <x:c r="R44" t="n">
        <x:v>0</x:v>
      </x:c>
      <x:c r="S44" t="n">
        <x:v>1</x:v>
      </x:c>
      <x:c r="T44" t="n">
        <x:v>0</x:v>
      </x:c>
      <x:c r="U44" t="n">
        <x:v>1</x:v>
      </x:c>
      <x:c r="V44" t="str">
        <x:v>OK</x:v>
      </x:c>
      <x:c r="W44" t="str">
        <x:v>Detalle 8vos publicado</x:v>
      </x:c>
    </x:row>
    <x:row r="45" ht="15" hidden="0" customHeight="1">
      <x:c r="A45" t="str">
        <x:v>8vos</x:v>
      </x:c>
      <x:c r="B45" t="str">
        <x:v>O2</x:v>
      </x:c>
      <x:c r="C45" t="str">
        <x:v>Óscar</x:v>
      </x:c>
      <x:c r="D45" t="str">
        <x:v>Paraguay</x:v>
      </x:c>
      <x:c r="E45" t="str">
        <x:v>Francia</x:v>
      </x:c>
      <x:c r="F45" t="n">
        <x:v>0</x:v>
      </x:c>
      <x:c r="G45" t="n">
        <x:v>2</x:v>
      </x:c>
      <x:c r="H45" t="str">
        <x:v>Francia</x:v>
      </x:c>
      <x:c r="I45" t="str">
        <x:v>90 minutos</x:v>
      </x:c>
      <x:c r="J45" t="n">
        <x:v>0</x:v>
      </x:c>
      <x:c r="K45" t="n">
        <x:v>1</x:v>
      </x:c>
      <x:c r="L45" t="str">
        <x:v>Francia</x:v>
      </x:c>
      <x:c r="M45" t="str">
        <x:v>90 minutos</x:v>
      </x:c>
      <x:c r="N45" t="n">
        <x:v>5</x:v>
      </x:c>
      <x:c r="O45" t="n">
        <x:v>3</x:v>
      </x:c>
      <x:c r="P45" t="n">
        <x:v>2</x:v>
      </x:c>
      <x:c r="Q45" t="n">
        <x:v>0</x:v>
      </x:c>
      <x:c r="R45" t="n">
        <x:v>0</x:v>
      </x:c>
      <x:c r="S45" t="n">
        <x:v>1</x:v>
      </x:c>
      <x:c r="T45" t="n">
        <x:v>0</x:v>
      </x:c>
      <x:c r="U45" t="n">
        <x:v>11</x:v>
      </x:c>
      <x:c r="V45" t="str">
        <x:v>OK</x:v>
      </x:c>
      <x:c r="W45" t="str">
        <x:v>Detalle 8vos publicado</x:v>
      </x:c>
    </x:row>
    <x:row r="46" ht="15" hidden="0" customHeight="1">
      <x:c r="A46" t="str">
        <x:v>8vos</x:v>
      </x:c>
      <x:c r="B46" t="str">
        <x:v>O3</x:v>
      </x:c>
      <x:c r="C46" t="str">
        <x:v>Freddy</x:v>
      </x:c>
      <x:c r="D46" t="str">
        <x:v>Brasil</x:v>
      </x:c>
      <x:c r="E46" t="str">
        <x:v>Noruega</x:v>
      </x:c>
      <x:c r="F46" t="n">
        <x:v>2</x:v>
      </x:c>
      <x:c r="G46" t="n">
        <x:v>1</x:v>
      </x:c>
      <x:c r="H46" t="str">
        <x:v>Brasil</x:v>
      </x:c>
      <x:c r="I46" t="str">
        <x:v>90 minutos</x:v>
      </x:c>
      <x:c r="J46" t="n">
        <x:v>1</x:v>
      </x:c>
      <x:c r="K46" t="n">
        <x:v>2</x:v>
      </x:c>
      <x:c r="L46" t="str">
        <x:v>Noruega</x:v>
      </x:c>
      <x:c r="M46" t="str">
        <x:v>90 minutos</x:v>
      </x:c>
      <x:c r="N46" t="n">
        <x:v>0</x:v>
      </x:c>
      <x:c r="O46" t="n">
        <x:v>0</x:v>
      </x:c>
      <x:c r="P46" t="n">
        <x:v>2</x:v>
      </x:c>
      <x:c r="Q46" t="n">
        <x:v>0</x:v>
      </x:c>
      <x:c r="R46" t="n">
        <x:v>0</x:v>
      </x:c>
      <x:c r="S46" t="n">
        <x:v>0</x:v>
      </x:c>
      <x:c r="T46" t="n">
        <x:v>0</x:v>
      </x:c>
      <x:c r="U46" t="n">
        <x:v>2</x:v>
      </x:c>
      <x:c r="V46" t="str">
        <x:v>OK</x:v>
      </x:c>
      <x:c r="W46" t="str">
        <x:v>Detalle 8vos publicado</x:v>
      </x:c>
    </x:row>
    <x:row r="47" ht="15" hidden="0" customHeight="1">
      <x:c r="A47" t="str">
        <x:v>8vos</x:v>
      </x:c>
      <x:c r="B47" t="str">
        <x:v>O3</x:v>
      </x:c>
      <x:c r="C47" t="str">
        <x:v>Gabriela</x:v>
      </x:c>
      <x:c r="D47" t="str">
        <x:v>Brasil</x:v>
      </x:c>
      <x:c r="E47" t="str">
        <x:v>Noruega</x:v>
      </x:c>
      <x:c r="F47" t="n">
        <x:v>2</x:v>
      </x:c>
      <x:c r="G47" t="n">
        <x:v>2</x:v>
      </x:c>
      <x:c r="H47" t="str">
        <x:v>Noruega</x:v>
      </x:c>
      <x:c r="I47" t="str">
        <x:v>Penales</x:v>
      </x:c>
      <x:c r="J47" t="n">
        <x:v>1</x:v>
      </x:c>
      <x:c r="K47" t="n">
        <x:v>2</x:v>
      </x:c>
      <x:c r="L47" t="str">
        <x:v>Noruega</x:v>
      </x:c>
      <x:c r="M47" t="str">
        <x:v>90 minutos</x:v>
      </x:c>
      <x:c r="N47" t="n">
        <x:v>0</x:v>
      </x:c>
      <x:c r="O47" t="n">
        <x:v>3</x:v>
      </x:c>
      <x:c r="P47" t="n">
        <x:v>0</x:v>
      </x:c>
      <x:c r="Q47" t="n">
        <x:v>0</x:v>
      </x:c>
      <x:c r="R47" t="n">
        <x:v>0</x:v>
      </x:c>
      <x:c r="S47" t="n">
        <x:v>0</x:v>
      </x:c>
      <x:c r="T47" t="n">
        <x:v>1</x:v>
      </x:c>
      <x:c r="U47" t="n">
        <x:v>4</x:v>
      </x:c>
      <x:c r="V47" t="str">
        <x:v>OK</x:v>
      </x:c>
      <x:c r="W47" t="str">
        <x:v>Detalle 8vos publicado</x:v>
      </x:c>
    </x:row>
    <x:row r="48" ht="15" hidden="0" customHeight="1">
      <x:c r="A48" t="str">
        <x:v>8vos</x:v>
      </x:c>
      <x:c r="B48" t="str">
        <x:v>O3</x:v>
      </x:c>
      <x:c r="C48" t="str">
        <x:v>Jean</x:v>
      </x:c>
      <x:c r="D48" t="str">
        <x:v>Brasil</x:v>
      </x:c>
      <x:c r="E48" t="str">
        <x:v>Noruega</x:v>
      </x:c>
      <x:c r="F48" t="n">
        <x:v>1</x:v>
      </x:c>
      <x:c r="G48" t="n">
        <x:v>0</x:v>
      </x:c>
      <x:c r="H48" t="str">
        <x:v>Brasil</x:v>
      </x:c>
      <x:c r="I48" t="str">
        <x:v>90 minutos</x:v>
      </x:c>
      <x:c r="J48" t="n">
        <x:v>1</x:v>
      </x:c>
      <x:c r="K48" t="n">
        <x:v>2</x:v>
      </x:c>
      <x:c r="L48" t="str">
        <x:v>Noruega</x:v>
      </x:c>
      <x:c r="M48" t="str">
        <x:v>90 minutos</x:v>
      </x:c>
      <x:c r="N48" t="n">
        <x:v>0</x:v>
      </x:c>
      <x:c r="O48" t="n">
        <x:v>0</x:v>
      </x:c>
      <x:c r="P48" t="n">
        <x:v>2</x:v>
      </x:c>
      <x:c r="Q48" t="n">
        <x:v>0</x:v>
      </x:c>
      <x:c r="R48" t="n">
        <x:v>0</x:v>
      </x:c>
      <x:c r="S48" t="n">
        <x:v>1</x:v>
      </x:c>
      <x:c r="T48" t="n">
        <x:v>0</x:v>
      </x:c>
      <x:c r="U48" t="n">
        <x:v>3</x:v>
      </x:c>
      <x:c r="V48" t="str">
        <x:v>OK</x:v>
      </x:c>
      <x:c r="W48" t="str">
        <x:v>Detalle 8vos publicado</x:v>
      </x:c>
    </x:row>
    <x:row r="49" ht="15" hidden="0" customHeight="1">
      <x:c r="A49" t="str">
        <x:v>8vos</x:v>
      </x:c>
      <x:c r="B49" t="str">
        <x:v>O3</x:v>
      </x:c>
      <x:c r="C49" t="str">
        <x:v>Juan</x:v>
      </x:c>
      <x:c r="D49" t="str">
        <x:v>Brasil</x:v>
      </x:c>
      <x:c r="E49" t="str">
        <x:v>Noruega</x:v>
      </x:c>
      <x:c r="F49" t="n">
        <x:v>2</x:v>
      </x:c>
      <x:c r="G49" t="n">
        <x:v>3</x:v>
      </x:c>
      <x:c r="H49" t="str">
        <x:v>Noruega</x:v>
      </x:c>
      <x:c r="I49" t="str">
        <x:v>Suplementario</x:v>
      </x:c>
      <x:c r="J49" t="n">
        <x:v>1</x:v>
      </x:c>
      <x:c r="K49" t="n">
        <x:v>2</x:v>
      </x:c>
      <x:c r="L49" t="str">
        <x:v>Noruega</x:v>
      </x:c>
      <x:c r="M49" t="str">
        <x:v>90 minutos</x:v>
      </x:c>
      <x:c r="N49" t="n">
        <x:v>0</x:v>
      </x:c>
      <x:c r="O49" t="n">
        <x:v>0</x:v>
      </x:c>
      <x:c r="P49" t="n">
        <x:v>0</x:v>
      </x:c>
      <x:c r="Q49" t="n">
        <x:v>0</x:v>
      </x:c>
      <x:c r="R49" t="n">
        <x:v>0</x:v>
      </x:c>
      <x:c r="S49" t="n">
        <x:v>0</x:v>
      </x:c>
      <x:c r="T49" t="n">
        <x:v>0</x:v>
      </x:c>
      <x:c r="U49" t="n">
        <x:v>0</x:v>
      </x:c>
      <x:c r="V49" t="str">
        <x:v>Revisar: ganador en 90 debe tener método 90 minutos</x:v>
      </x:c>
      <x:c r="W49" t="str">
        <x:v>Detalle 8vos publicado</x:v>
      </x:c>
    </x:row>
    <x:row r="50" ht="15" hidden="0" customHeight="1">
      <x:c r="A50" t="str">
        <x:v>8vos</x:v>
      </x:c>
      <x:c r="B50" t="str">
        <x:v>O3</x:v>
      </x:c>
      <x:c r="C50" t="str">
        <x:v>Jesús</x:v>
      </x:c>
      <x:c r="D50" t="str">
        <x:v>Brasil</x:v>
      </x:c>
      <x:c r="E50" t="str">
        <x:v>Noruega</x:v>
      </x:c>
      <x:c r="F50" t="n">
        <x:v>2</x:v>
      </x:c>
      <x:c r="G50" t="n">
        <x:v>1</x:v>
      </x:c>
      <x:c r="H50" t="str">
        <x:v>Brasil</x:v>
      </x:c>
      <x:c r="I50" t="str">
        <x:v>90 minutos</x:v>
      </x:c>
      <x:c r="J50" t="n">
        <x:v>1</x:v>
      </x:c>
      <x:c r="K50" t="n">
        <x:v>2</x:v>
      </x:c>
      <x:c r="L50" t="str">
        <x:v>Noruega</x:v>
      </x:c>
      <x:c r="M50" t="str">
        <x:v>90 minutos</x:v>
      </x:c>
      <x:c r="N50" t="n">
        <x:v>0</x:v>
      </x:c>
      <x:c r="O50" t="n">
        <x:v>0</x:v>
      </x:c>
      <x:c r="P50" t="n">
        <x:v>2</x:v>
      </x:c>
      <x:c r="Q50" t="n">
        <x:v>0</x:v>
      </x:c>
      <x:c r="R50" t="n">
        <x:v>0</x:v>
      </x:c>
      <x:c r="S50" t="n">
        <x:v>0</x:v>
      </x:c>
      <x:c r="T50" t="n">
        <x:v>0</x:v>
      </x:c>
      <x:c r="U50" t="n">
        <x:v>2</x:v>
      </x:c>
      <x:c r="V50" t="str">
        <x:v>OK</x:v>
      </x:c>
      <x:c r="W50" t="str">
        <x:v>Detalle 8vos publicado</x:v>
      </x:c>
    </x:row>
    <x:row r="51" ht="15" hidden="0" customHeight="1">
      <x:c r="A51" t="str">
        <x:v>8vos</x:v>
      </x:c>
      <x:c r="B51" t="str">
        <x:v>O3</x:v>
      </x:c>
      <x:c r="C51" t="str">
        <x:v>Diego</x:v>
      </x:c>
      <x:c r="D51" t="str">
        <x:v>Brasil</x:v>
      </x:c>
      <x:c r="E51" t="str">
        <x:v>Noruega</x:v>
      </x:c>
      <x:c r="F51" t="n">
        <x:v>2</x:v>
      </x:c>
      <x:c r="G51" t="n">
        <x:v>2</x:v>
      </x:c>
      <x:c r="H51" t="str">
        <x:v>Brasil</x:v>
      </x:c>
      <x:c r="I51" t="str">
        <x:v>Penales</x:v>
      </x:c>
      <x:c r="J51" t="n">
        <x:v>1</x:v>
      </x:c>
      <x:c r="K51" t="n">
        <x:v>2</x:v>
      </x:c>
      <x:c r="L51" t="str">
        <x:v>Noruega</x:v>
      </x:c>
      <x:c r="M51" t="str">
        <x:v>90 minutos</x:v>
      </x:c>
      <x:c r="N51" t="n">
        <x:v>0</x:v>
      </x:c>
      <x:c r="O51" t="n">
        <x:v>0</x:v>
      </x:c>
      <x:c r="P51" t="n">
        <x:v>0</x:v>
      </x:c>
      <x:c r="Q51" t="n">
        <x:v>0</x:v>
      </x:c>
      <x:c r="R51" t="n">
        <x:v>0</x:v>
      </x:c>
      <x:c r="S51" t="n">
        <x:v>0</x:v>
      </x:c>
      <x:c r="T51" t="n">
        <x:v>1</x:v>
      </x:c>
      <x:c r="U51" t="n">
        <x:v>1</x:v>
      </x:c>
      <x:c r="V51" t="str">
        <x:v>OK</x:v>
      </x:c>
      <x:c r="W51" t="str">
        <x:v>Detalle 8vos publicado</x:v>
      </x:c>
    </x:row>
    <x:row r="52" ht="15" hidden="0" customHeight="1">
      <x:c r="A52" t="str">
        <x:v>8vos</x:v>
      </x:c>
      <x:c r="B52" t="str">
        <x:v>O3</x:v>
      </x:c>
      <x:c r="C52" t="str">
        <x:v>Aldo</x:v>
      </x:c>
      <x:c r="D52" t="str">
        <x:v>Brasil</x:v>
      </x:c>
      <x:c r="E52" t="str">
        <x:v>Noruega</x:v>
      </x:c>
      <x:c r="F52" t="n">
        <x:v>2</x:v>
      </x:c>
      <x:c r="G52" t="n">
        <x:v>1</x:v>
      </x:c>
      <x:c r="H52" t="str">
        <x:v>Brasil</x:v>
      </x:c>
      <x:c r="I52" t="str">
        <x:v>90 minutos</x:v>
      </x:c>
      <x:c r="J52" t="n">
        <x:v>1</x:v>
      </x:c>
      <x:c r="K52" t="n">
        <x:v>2</x:v>
      </x:c>
      <x:c r="L52" t="str">
        <x:v>Noruega</x:v>
      </x:c>
      <x:c r="M52" t="str">
        <x:v>90 minutos</x:v>
      </x:c>
      <x:c r="N52" t="n">
        <x:v>0</x:v>
      </x:c>
      <x:c r="O52" t="n">
        <x:v>0</x:v>
      </x:c>
      <x:c r="P52" t="n">
        <x:v>2</x:v>
      </x:c>
      <x:c r="Q52" t="n">
        <x:v>0</x:v>
      </x:c>
      <x:c r="R52" t="n">
        <x:v>0</x:v>
      </x:c>
      <x:c r="S52" t="n">
        <x:v>0</x:v>
      </x:c>
      <x:c r="T52" t="n">
        <x:v>0</x:v>
      </x:c>
      <x:c r="U52" t="n">
        <x:v>2</x:v>
      </x:c>
      <x:c r="V52" t="str">
        <x:v>OK</x:v>
      </x:c>
      <x:c r="W52" t="str">
        <x:v>Detalle 8vos publicado</x:v>
      </x:c>
    </x:row>
    <x:row r="53" ht="15" hidden="0" customHeight="1">
      <x:c r="A53" t="str">
        <x:v>8vos</x:v>
      </x:c>
      <x:c r="B53" t="str">
        <x:v>O3</x:v>
      </x:c>
      <x:c r="C53" t="str">
        <x:v>Javier</x:v>
      </x:c>
      <x:c r="D53" t="str">
        <x:v>Brasil</x:v>
      </x:c>
      <x:c r="E53" t="str">
        <x:v>Noruega</x:v>
      </x:c>
      <x:c r="F53" t="n">
        <x:v>1</x:v>
      </x:c>
      <x:c r="G53" t="n">
        <x:v>0</x:v>
      </x:c>
      <x:c r="H53" t="str">
        <x:v>Brasil</x:v>
      </x:c>
      <x:c r="I53" t="str">
        <x:v>90 minutos</x:v>
      </x:c>
      <x:c r="J53" t="n">
        <x:v>1</x:v>
      </x:c>
      <x:c r="K53" t="n">
        <x:v>2</x:v>
      </x:c>
      <x:c r="L53" t="str">
        <x:v>Noruega</x:v>
      </x:c>
      <x:c r="M53" t="str">
        <x:v>90 minutos</x:v>
      </x:c>
      <x:c r="N53" t="n">
        <x:v>0</x:v>
      </x:c>
      <x:c r="O53" t="n">
        <x:v>0</x:v>
      </x:c>
      <x:c r="P53" t="n">
        <x:v>2</x:v>
      </x:c>
      <x:c r="Q53" t="n">
        <x:v>0</x:v>
      </x:c>
      <x:c r="R53" t="n">
        <x:v>0</x:v>
      </x:c>
      <x:c r="S53" t="n">
        <x:v>1</x:v>
      </x:c>
      <x:c r="T53" t="n">
        <x:v>0</x:v>
      </x:c>
      <x:c r="U53" t="n">
        <x:v>3</x:v>
      </x:c>
      <x:c r="V53" t="str">
        <x:v>OK</x:v>
      </x:c>
      <x:c r="W53" t="str">
        <x:v>Detalle 8vos publicado</x:v>
      </x:c>
    </x:row>
    <x:row r="54" ht="15" hidden="0" customHeight="1">
      <x:c r="A54" t="str">
        <x:v>8vos</x:v>
      </x:c>
      <x:c r="B54" t="str">
        <x:v>O3</x:v>
      </x:c>
      <x:c r="C54" t="str">
        <x:v>Gino</x:v>
      </x:c>
      <x:c r="D54" t="str">
        <x:v>Brasil</x:v>
      </x:c>
      <x:c r="E54" t="str">
        <x:v>Noruega</x:v>
      </x:c>
      <x:c r="F54" t="n">
        <x:v>2</x:v>
      </x:c>
      <x:c r="G54" t="n">
        <x:v>1</x:v>
      </x:c>
      <x:c r="H54" t="str">
        <x:v>Brasil</x:v>
      </x:c>
      <x:c r="I54" t="str">
        <x:v>90 minutos</x:v>
      </x:c>
      <x:c r="J54" t="n">
        <x:v>1</x:v>
      </x:c>
      <x:c r="K54" t="n">
        <x:v>2</x:v>
      </x:c>
      <x:c r="L54" t="str">
        <x:v>Noruega</x:v>
      </x:c>
      <x:c r="M54" t="str">
        <x:v>90 minutos</x:v>
      </x:c>
      <x:c r="N54" t="n">
        <x:v>0</x:v>
      </x:c>
      <x:c r="O54" t="n">
        <x:v>0</x:v>
      </x:c>
      <x:c r="P54" t="n">
        <x:v>2</x:v>
      </x:c>
      <x:c r="Q54" t="n">
        <x:v>0</x:v>
      </x:c>
      <x:c r="R54" t="n">
        <x:v>0</x:v>
      </x:c>
      <x:c r="S54" t="n">
        <x:v>0</x:v>
      </x:c>
      <x:c r="T54" t="n">
        <x:v>0</x:v>
      </x:c>
      <x:c r="U54" t="n">
        <x:v>2</x:v>
      </x:c>
      <x:c r="V54" t="str">
        <x:v>OK</x:v>
      </x:c>
      <x:c r="W54" t="str">
        <x:v>Detalle 8vos publicado</x:v>
      </x:c>
    </x:row>
    <x:row r="55" ht="15" hidden="0" customHeight="1">
      <x:c r="A55" t="str">
        <x:v>8vos</x:v>
      </x:c>
      <x:c r="B55" t="str">
        <x:v>O3</x:v>
      </x:c>
      <x:c r="C55" t="str">
        <x:v>Manuel</x:v>
      </x:c>
      <x:c r="D55" t="str">
        <x:v>Brasil</x:v>
      </x:c>
      <x:c r="E55" t="str">
        <x:v>Noruega</x:v>
      </x:c>
      <x:c r="F55" t="n">
        <x:v>1</x:v>
      </x:c>
      <x:c r="G55" t="n">
        <x:v>2</x:v>
      </x:c>
      <x:c r="H55" t="str">
        <x:v>Noruega</x:v>
      </x:c>
      <x:c r="I55" t="str">
        <x:v>90 minutos</x:v>
      </x:c>
      <x:c r="J55" t="n">
        <x:v>1</x:v>
      </x:c>
      <x:c r="K55" t="n">
        <x:v>2</x:v>
      </x:c>
      <x:c r="L55" t="str">
        <x:v>Noruega</x:v>
      </x:c>
      <x:c r="M55" t="str">
        <x:v>90 minutos</x:v>
      </x:c>
      <x:c r="N55" t="n">
        <x:v>5</x:v>
      </x:c>
      <x:c r="O55" t="n">
        <x:v>3</x:v>
      </x:c>
      <x:c r="P55" t="n">
        <x:v>2</x:v>
      </x:c>
      <x:c r="Q55" t="n">
        <x:v>4</x:v>
      </x:c>
      <x:c r="R55" t="n">
        <x:v>2</x:v>
      </x:c>
      <x:c r="S55" t="n">
        <x:v>1</x:v>
      </x:c>
      <x:c r="T55" t="n">
        <x:v>1</x:v>
      </x:c>
      <x:c r="U55" t="n">
        <x:v>18</x:v>
      </x:c>
      <x:c r="V55" t="str">
        <x:v>OK</x:v>
      </x:c>
      <x:c r="W55" t="str">
        <x:v>Detalle 8vos publicado</x:v>
      </x:c>
    </x:row>
    <x:row r="56" ht="15" hidden="0" customHeight="1">
      <x:c r="A56" t="str">
        <x:v>8vos</x:v>
      </x:c>
      <x:c r="B56" t="str">
        <x:v>O3</x:v>
      </x:c>
      <x:c r="C56" t="str">
        <x:v>Jorge</x:v>
      </x:c>
      <x:c r="D56" t="str">
        <x:v>Brasil</x:v>
      </x:c>
      <x:c r="E56" t="str">
        <x:v>Noruega</x:v>
      </x:c>
      <x:c r="F56" t="n">
        <x:v>3</x:v>
      </x:c>
      <x:c r="G56" t="n">
        <x:v>1</x:v>
      </x:c>
      <x:c r="H56" t="str">
        <x:v>Brasil</x:v>
      </x:c>
      <x:c r="I56" t="str">
        <x:v>90 minutos</x:v>
      </x:c>
      <x:c r="J56" t="n">
        <x:v>1</x:v>
      </x:c>
      <x:c r="K56" t="n">
        <x:v>2</x:v>
      </x:c>
      <x:c r="L56" t="str">
        <x:v>Noruega</x:v>
      </x:c>
      <x:c r="M56" t="str">
        <x:v>90 minutos</x:v>
      </x:c>
      <x:c r="N56" t="n">
        <x:v>0</x:v>
      </x:c>
      <x:c r="O56" t="n">
        <x:v>0</x:v>
      </x:c>
      <x:c r="P56" t="n">
        <x:v>2</x:v>
      </x:c>
      <x:c r="Q56" t="n">
        <x:v>0</x:v>
      </x:c>
      <x:c r="R56" t="n">
        <x:v>0</x:v>
      </x:c>
      <x:c r="S56" t="n">
        <x:v>0</x:v>
      </x:c>
      <x:c r="T56" t="n">
        <x:v>0</x:v>
      </x:c>
      <x:c r="U56" t="n">
        <x:v>2</x:v>
      </x:c>
      <x:c r="V56" t="str">
        <x:v>OK</x:v>
      </x:c>
      <x:c r="W56" t="str">
        <x:v>Detalle 8vos publicado</x:v>
      </x:c>
    </x:row>
    <x:row r="57" ht="15" hidden="0" customHeight="1">
      <x:c r="A57" t="str">
        <x:v>8vos</x:v>
      </x:c>
      <x:c r="B57" t="str">
        <x:v>O3</x:v>
      </x:c>
      <x:c r="C57" t="str">
        <x:v>Daniel</x:v>
      </x:c>
      <x:c r="D57" t="str">
        <x:v>Brasil</x:v>
      </x:c>
      <x:c r="E57" t="str">
        <x:v>Noruega</x:v>
      </x:c>
      <x:c r="F57" t="n">
        <x:v>1</x:v>
      </x:c>
      <x:c r="G57" t="n">
        <x:v>1</x:v>
      </x:c>
      <x:c r="H57" t="str">
        <x:v>Brasil</x:v>
      </x:c>
      <x:c r="I57" t="str">
        <x:v>Penales</x:v>
      </x:c>
      <x:c r="J57" t="n">
        <x:v>1</x:v>
      </x:c>
      <x:c r="K57" t="n">
        <x:v>2</x:v>
      </x:c>
      <x:c r="L57" t="str">
        <x:v>Noruega</x:v>
      </x:c>
      <x:c r="M57" t="str">
        <x:v>90 minutos</x:v>
      </x:c>
      <x:c r="N57" t="n">
        <x:v>0</x:v>
      </x:c>
      <x:c r="O57" t="n">
        <x:v>0</x:v>
      </x:c>
      <x:c r="P57" t="n">
        <x:v>0</x:v>
      </x:c>
      <x:c r="Q57" t="n">
        <x:v>0</x:v>
      </x:c>
      <x:c r="R57" t="n">
        <x:v>0</x:v>
      </x:c>
      <x:c r="S57" t="n">
        <x:v>1</x:v>
      </x:c>
      <x:c r="T57" t="n">
        <x:v>0</x:v>
      </x:c>
      <x:c r="U57" t="n">
        <x:v>1</x:v>
      </x:c>
      <x:c r="V57" t="str">
        <x:v>OK</x:v>
      </x:c>
      <x:c r="W57" t="str">
        <x:v>Detalle 8vos publicado</x:v>
      </x:c>
    </x:row>
    <x:row r="58" ht="15" hidden="0" customHeight="1">
      <x:c r="A58" t="str">
        <x:v>8vos</x:v>
      </x:c>
      <x:c r="B58" t="str">
        <x:v>O3</x:v>
      </x:c>
      <x:c r="C58" t="str">
        <x:v>Arthur</x:v>
      </x:c>
      <x:c r="D58" t="str">
        <x:v>Brasil</x:v>
      </x:c>
      <x:c r="E58" t="str">
        <x:v>Noruega</x:v>
      </x:c>
      <x:c r="F58" t="n">
        <x:v>2</x:v>
      </x:c>
      <x:c r="G58" t="n">
        <x:v>1</x:v>
      </x:c>
      <x:c r="H58" t="str">
        <x:v>Brasil</x:v>
      </x:c>
      <x:c r="I58" t="str">
        <x:v>90 minutos</x:v>
      </x:c>
      <x:c r="J58" t="n">
        <x:v>1</x:v>
      </x:c>
      <x:c r="K58" t="n">
        <x:v>2</x:v>
      </x:c>
      <x:c r="L58" t="str">
        <x:v>Noruega</x:v>
      </x:c>
      <x:c r="M58" t="str">
        <x:v>90 minutos</x:v>
      </x:c>
      <x:c r="N58" t="n">
        <x:v>0</x:v>
      </x:c>
      <x:c r="O58" t="n">
        <x:v>0</x:v>
      </x:c>
      <x:c r="P58" t="n">
        <x:v>2</x:v>
      </x:c>
      <x:c r="Q58" t="n">
        <x:v>0</x:v>
      </x:c>
      <x:c r="R58" t="n">
        <x:v>0</x:v>
      </x:c>
      <x:c r="S58" t="n">
        <x:v>0</x:v>
      </x:c>
      <x:c r="T58" t="n">
        <x:v>0</x:v>
      </x:c>
      <x:c r="U58" t="n">
        <x:v>2</x:v>
      </x:c>
      <x:c r="V58" t="str">
        <x:v>OK</x:v>
      </x:c>
      <x:c r="W58" t="str">
        <x:v>Detalle 8vos publicado</x:v>
      </x:c>
    </x:row>
    <x:row r="59" ht="15" hidden="0" customHeight="1">
      <x:c r="A59" t="str">
        <x:v>8vos</x:v>
      </x:c>
      <x:c r="B59" t="str">
        <x:v>O3</x:v>
      </x:c>
      <x:c r="C59" t="str">
        <x:v>José Luis</x:v>
      </x:c>
      <x:c r="D59" t="str">
        <x:v>Brasil</x:v>
      </x:c>
      <x:c r="E59" t="str">
        <x:v>Noruega</x:v>
      </x:c>
      <x:c r="F59"/>
      <x:c r="G59"/>
      <x:c r="H59" t="str">
        <x:v>Sin envío</x:v>
      </x:c>
      <x:c r="I59" t="str">
        <x:v>Sin envío</x:v>
      </x:c>
      <x:c r="J59" t="n">
        <x:v>1</x:v>
      </x:c>
      <x:c r="K59" t="n">
        <x:v>2</x:v>
      </x:c>
      <x:c r="L59" t="str">
        <x:v>Noruega</x:v>
      </x:c>
      <x:c r="M59" t="str">
        <x:v>90 minutos</x:v>
      </x:c>
      <x:c r="N59" t="n">
        <x:v>0</x:v>
      </x:c>
      <x:c r="O59" t="n">
        <x:v>0</x:v>
      </x:c>
      <x:c r="P59" t="n">
        <x:v>0</x:v>
      </x:c>
      <x:c r="Q59" t="n">
        <x:v>0</x:v>
      </x:c>
      <x:c r="R59" t="n">
        <x:v>0</x:v>
      </x:c>
      <x:c r="S59" t="n">
        <x:v>0</x:v>
      </x:c>
      <x:c r="T59" t="n">
        <x:v>0</x:v>
      </x:c>
      <x:c r="U59" t="n">
        <x:v>0</x:v>
      </x:c>
      <x:c r="V59" t="str">
        <x:v>Sin respuesta CSV</x:v>
      </x:c>
      <x:c r="W59" t="str">
        <x:v>Detalle 8vos publicado</x:v>
      </x:c>
    </x:row>
    <x:row r="60" ht="15" hidden="0" customHeight="1">
      <x:c r="A60" t="str">
        <x:v>8vos</x:v>
      </x:c>
      <x:c r="B60" t="str">
        <x:v>O3</x:v>
      </x:c>
      <x:c r="C60" t="str">
        <x:v>Marcelo</x:v>
      </x:c>
      <x:c r="D60" t="str">
        <x:v>Brasil</x:v>
      </x:c>
      <x:c r="E60" t="str">
        <x:v>Noruega</x:v>
      </x:c>
      <x:c r="F60"/>
      <x:c r="G60"/>
      <x:c r="H60" t="str">
        <x:v>Sin envío</x:v>
      </x:c>
      <x:c r="I60" t="str">
        <x:v>Sin envío</x:v>
      </x:c>
      <x:c r="J60" t="n">
        <x:v>1</x:v>
      </x:c>
      <x:c r="K60" t="n">
        <x:v>2</x:v>
      </x:c>
      <x:c r="L60" t="str">
        <x:v>Noruega</x:v>
      </x:c>
      <x:c r="M60" t="str">
        <x:v>90 minutos</x:v>
      </x:c>
      <x:c r="N60" t="n">
        <x:v>0</x:v>
      </x:c>
      <x:c r="O60" t="n">
        <x:v>0</x:v>
      </x:c>
      <x:c r="P60" t="n">
        <x:v>0</x:v>
      </x:c>
      <x:c r="Q60" t="n">
        <x:v>0</x:v>
      </x:c>
      <x:c r="R60" t="n">
        <x:v>0</x:v>
      </x:c>
      <x:c r="S60" t="n">
        <x:v>0</x:v>
      </x:c>
      <x:c r="T60" t="n">
        <x:v>0</x:v>
      </x:c>
      <x:c r="U60" t="n">
        <x:v>0</x:v>
      </x:c>
      <x:c r="V60" t="str">
        <x:v>Sin respuesta CSV</x:v>
      </x:c>
      <x:c r="W60" t="str">
        <x:v>Detalle 8vos publicado</x:v>
      </x:c>
    </x:row>
    <x:row r="61" ht="15" hidden="0" customHeight="1">
      <x:c r="A61" t="str">
        <x:v>8vos</x:v>
      </x:c>
      <x:c r="B61" t="str">
        <x:v>O3</x:v>
      </x:c>
      <x:c r="C61" t="str">
        <x:v>Anny</x:v>
      </x:c>
      <x:c r="D61" t="str">
        <x:v>Brasil</x:v>
      </x:c>
      <x:c r="E61" t="str">
        <x:v>Noruega</x:v>
      </x:c>
      <x:c r="F61" t="n">
        <x:v>3</x:v>
      </x:c>
      <x:c r="G61" t="n">
        <x:v>1</x:v>
      </x:c>
      <x:c r="H61" t="str">
        <x:v>Brasil</x:v>
      </x:c>
      <x:c r="I61" t="str">
        <x:v>90 minutos</x:v>
      </x:c>
      <x:c r="J61" t="n">
        <x:v>1</x:v>
      </x:c>
      <x:c r="K61" t="n">
        <x:v>2</x:v>
      </x:c>
      <x:c r="L61" t="str">
        <x:v>Noruega</x:v>
      </x:c>
      <x:c r="M61" t="str">
        <x:v>90 minutos</x:v>
      </x:c>
      <x:c r="N61" t="n">
        <x:v>0</x:v>
      </x:c>
      <x:c r="O61" t="n">
        <x:v>0</x:v>
      </x:c>
      <x:c r="P61" t="n">
        <x:v>2</x:v>
      </x:c>
      <x:c r="Q61" t="n">
        <x:v>0</x:v>
      </x:c>
      <x:c r="R61" t="n">
        <x:v>0</x:v>
      </x:c>
      <x:c r="S61" t="n">
        <x:v>0</x:v>
      </x:c>
      <x:c r="T61" t="n">
        <x:v>0</x:v>
      </x:c>
      <x:c r="U61" t="n">
        <x:v>2</x:v>
      </x:c>
      <x:c r="V61" t="str">
        <x:v>OK</x:v>
      </x:c>
      <x:c r="W61" t="str">
        <x:v>Detalle 8vos publicado</x:v>
      </x:c>
    </x:row>
    <x:row r="62" ht="15" hidden="0" customHeight="1">
      <x:c r="A62" t="str">
        <x:v>8vos</x:v>
      </x:c>
      <x:c r="B62" t="str">
        <x:v>O3</x:v>
      </x:c>
      <x:c r="C62" t="str">
        <x:v>Moisés</x:v>
      </x:c>
      <x:c r="D62" t="str">
        <x:v>Brasil</x:v>
      </x:c>
      <x:c r="E62" t="str">
        <x:v>Noruega</x:v>
      </x:c>
      <x:c r="F62" t="n">
        <x:v>2</x:v>
      </x:c>
      <x:c r="G62" t="n">
        <x:v>1</x:v>
      </x:c>
      <x:c r="H62" t="str">
        <x:v>Brasil</x:v>
      </x:c>
      <x:c r="I62" t="str">
        <x:v>Penales</x:v>
      </x:c>
      <x:c r="J62" t="n">
        <x:v>1</x:v>
      </x:c>
      <x:c r="K62" t="n">
        <x:v>2</x:v>
      </x:c>
      <x:c r="L62" t="str">
        <x:v>Noruega</x:v>
      </x:c>
      <x:c r="M62" t="str">
        <x:v>90 minutos</x:v>
      </x:c>
      <x:c r="N62" t="n">
        <x:v>0</x:v>
      </x:c>
      <x:c r="O62" t="n">
        <x:v>0</x:v>
      </x:c>
      <x:c r="P62" t="n">
        <x:v>0</x:v>
      </x:c>
      <x:c r="Q62" t="n">
        <x:v>0</x:v>
      </x:c>
      <x:c r="R62" t="n">
        <x:v>0</x:v>
      </x:c>
      <x:c r="S62" t="n">
        <x:v>0</x:v>
      </x:c>
      <x:c r="T62" t="n">
        <x:v>0</x:v>
      </x:c>
      <x:c r="U62" t="n">
        <x:v>0</x:v>
      </x:c>
      <x:c r="V62" t="str">
        <x:v>Revisar: ganador en 90 debe tener método 90 minutos</x:v>
      </x:c>
      <x:c r="W62" t="str">
        <x:v>Detalle 8vos publicado</x:v>
      </x:c>
    </x:row>
    <x:row r="63" ht="15" hidden="0" customHeight="1">
      <x:c r="A63" t="str">
        <x:v>8vos</x:v>
      </x:c>
      <x:c r="B63" t="str">
        <x:v>O3</x:v>
      </x:c>
      <x:c r="C63" t="str">
        <x:v>Alex</x:v>
      </x:c>
      <x:c r="D63" t="str">
        <x:v>Brasil</x:v>
      </x:c>
      <x:c r="E63" t="str">
        <x:v>Noruega</x:v>
      </x:c>
      <x:c r="F63" t="n">
        <x:v>2</x:v>
      </x:c>
      <x:c r="G63" t="n">
        <x:v>3</x:v>
      </x:c>
      <x:c r="H63" t="str">
        <x:v>Noruega</x:v>
      </x:c>
      <x:c r="I63" t="str">
        <x:v>Suplementario</x:v>
      </x:c>
      <x:c r="J63" t="n">
        <x:v>1</x:v>
      </x:c>
      <x:c r="K63" t="n">
        <x:v>2</x:v>
      </x:c>
      <x:c r="L63" t="str">
        <x:v>Noruega</x:v>
      </x:c>
      <x:c r="M63" t="str">
        <x:v>90 minutos</x:v>
      </x:c>
      <x:c r="N63" t="n">
        <x:v>0</x:v>
      </x:c>
      <x:c r="O63" t="n">
        <x:v>0</x:v>
      </x:c>
      <x:c r="P63" t="n">
        <x:v>0</x:v>
      </x:c>
      <x:c r="Q63" t="n">
        <x:v>0</x:v>
      </x:c>
      <x:c r="R63" t="n">
        <x:v>0</x:v>
      </x:c>
      <x:c r="S63" t="n">
        <x:v>0</x:v>
      </x:c>
      <x:c r="T63" t="n">
        <x:v>0</x:v>
      </x:c>
      <x:c r="U63" t="n">
        <x:v>0</x:v>
      </x:c>
      <x:c r="V63" t="str">
        <x:v>Revisar: ganador en 90 debe tener método 90 minutos</x:v>
      </x:c>
      <x:c r="W63" t="str">
        <x:v>Detalle 8vos publicado</x:v>
      </x:c>
    </x:row>
    <x:row r="64" ht="15" hidden="0" customHeight="1">
      <x:c r="A64" t="str">
        <x:v>8vos</x:v>
      </x:c>
      <x:c r="B64" t="str">
        <x:v>O3</x:v>
      </x:c>
      <x:c r="C64" t="str">
        <x:v>Omar</x:v>
      </x:c>
      <x:c r="D64" t="str">
        <x:v>Brasil</x:v>
      </x:c>
      <x:c r="E64" t="str">
        <x:v>Noruega</x:v>
      </x:c>
      <x:c r="F64"/>
      <x:c r="G64"/>
      <x:c r="H64" t="str">
        <x:v>Sin envío</x:v>
      </x:c>
      <x:c r="I64" t="str">
        <x:v>Sin envío</x:v>
      </x:c>
      <x:c r="J64" t="n">
        <x:v>1</x:v>
      </x:c>
      <x:c r="K64" t="n">
        <x:v>2</x:v>
      </x:c>
      <x:c r="L64" t="str">
        <x:v>Noruega</x:v>
      </x:c>
      <x:c r="M64" t="str">
        <x:v>90 minutos</x:v>
      </x:c>
      <x:c r="N64" t="n">
        <x:v>0</x:v>
      </x:c>
      <x:c r="O64" t="n">
        <x:v>0</x:v>
      </x:c>
      <x:c r="P64" t="n">
        <x:v>0</x:v>
      </x:c>
      <x:c r="Q64" t="n">
        <x:v>0</x:v>
      </x:c>
      <x:c r="R64" t="n">
        <x:v>0</x:v>
      </x:c>
      <x:c r="S64" t="n">
        <x:v>0</x:v>
      </x:c>
      <x:c r="T64" t="n">
        <x:v>0</x:v>
      </x:c>
      <x:c r="U64" t="n">
        <x:v>0</x:v>
      </x:c>
      <x:c r="V64" t="str">
        <x:v>Sin respuesta CSV</x:v>
      </x:c>
      <x:c r="W64" t="str">
        <x:v>Detalle 8vos publicado</x:v>
      </x:c>
    </x:row>
    <x:row r="65" ht="15" hidden="0" customHeight="1">
      <x:c r="A65" t="str">
        <x:v>8vos</x:v>
      </x:c>
      <x:c r="B65" t="str">
        <x:v>O3</x:v>
      </x:c>
      <x:c r="C65" t="str">
        <x:v>Fernando</x:v>
      </x:c>
      <x:c r="D65" t="str">
        <x:v>Brasil</x:v>
      </x:c>
      <x:c r="E65" t="str">
        <x:v>Noruega</x:v>
      </x:c>
      <x:c r="F65" t="n">
        <x:v>2</x:v>
      </x:c>
      <x:c r="G65" t="n">
        <x:v>1</x:v>
      </x:c>
      <x:c r="H65" t="str">
        <x:v>Brasil</x:v>
      </x:c>
      <x:c r="I65" t="str">
        <x:v>90 minutos</x:v>
      </x:c>
      <x:c r="J65" t="n">
        <x:v>1</x:v>
      </x:c>
      <x:c r="K65" t="n">
        <x:v>2</x:v>
      </x:c>
      <x:c r="L65" t="str">
        <x:v>Noruega</x:v>
      </x:c>
      <x:c r="M65" t="str">
        <x:v>90 minutos</x:v>
      </x:c>
      <x:c r="N65" t="n">
        <x:v>0</x:v>
      </x:c>
      <x:c r="O65" t="n">
        <x:v>0</x:v>
      </x:c>
      <x:c r="P65" t="n">
        <x:v>2</x:v>
      </x:c>
      <x:c r="Q65" t="n">
        <x:v>0</x:v>
      </x:c>
      <x:c r="R65" t="n">
        <x:v>0</x:v>
      </x:c>
      <x:c r="S65" t="n">
        <x:v>0</x:v>
      </x:c>
      <x:c r="T65" t="n">
        <x:v>0</x:v>
      </x:c>
      <x:c r="U65" t="n">
        <x:v>2</x:v>
      </x:c>
      <x:c r="V65" t="str">
        <x:v>OK</x:v>
      </x:c>
      <x:c r="W65" t="str">
        <x:v>Detalle 8vos publicado</x:v>
      </x:c>
    </x:row>
    <x:row r="66" ht="15" hidden="0" customHeight="1">
      <x:c r="A66" t="str">
        <x:v>8vos</x:v>
      </x:c>
      <x:c r="B66" t="str">
        <x:v>O3</x:v>
      </x:c>
      <x:c r="C66" t="str">
        <x:v>Diana</x:v>
      </x:c>
      <x:c r="D66" t="str">
        <x:v>Brasil</x:v>
      </x:c>
      <x:c r="E66" t="str">
        <x:v>Noruega</x:v>
      </x:c>
      <x:c r="F66" t="n">
        <x:v>0</x:v>
      </x:c>
      <x:c r="G66" t="n">
        <x:v>0</x:v>
      </x:c>
      <x:c r="H66" t="str">
        <x:v>Brasil</x:v>
      </x:c>
      <x:c r="I66" t="str">
        <x:v>Penales</x:v>
      </x:c>
      <x:c r="J66" t="n">
        <x:v>1</x:v>
      </x:c>
      <x:c r="K66" t="n">
        <x:v>2</x:v>
      </x:c>
      <x:c r="L66" t="str">
        <x:v>Noruega</x:v>
      </x:c>
      <x:c r="M66" t="str">
        <x:v>90 minutos</x:v>
      </x:c>
      <x:c r="N66" t="n">
        <x:v>0</x:v>
      </x:c>
      <x:c r="O66" t="n">
        <x:v>0</x:v>
      </x:c>
      <x:c r="P66" t="n">
        <x:v>0</x:v>
      </x:c>
      <x:c r="Q66" t="n">
        <x:v>0</x:v>
      </x:c>
      <x:c r="R66" t="n">
        <x:v>0</x:v>
      </x:c>
      <x:c r="S66" t="n">
        <x:v>0</x:v>
      </x:c>
      <x:c r="T66" t="n">
        <x:v>0</x:v>
      </x:c>
      <x:c r="U66" t="n">
        <x:v>0</x:v>
      </x:c>
      <x:c r="V66" t="str">
        <x:v>OK</x:v>
      </x:c>
      <x:c r="W66" t="str">
        <x:v>Detalle 8vos publicado</x:v>
      </x:c>
    </x:row>
    <x:row r="67" ht="15" hidden="0" customHeight="1">
      <x:c r="A67" t="str">
        <x:v>8vos</x:v>
      </x:c>
      <x:c r="B67" t="str">
        <x:v>O3</x:v>
      </x:c>
      <x:c r="C67" t="str">
        <x:v>Óscar</x:v>
      </x:c>
      <x:c r="D67" t="str">
        <x:v>Brasil</x:v>
      </x:c>
      <x:c r="E67" t="str">
        <x:v>Noruega</x:v>
      </x:c>
      <x:c r="F67" t="n">
        <x:v>3</x:v>
      </x:c>
      <x:c r="G67" t="n">
        <x:v>2</x:v>
      </x:c>
      <x:c r="H67" t="str">
        <x:v>Brasil</x:v>
      </x:c>
      <x:c r="I67" t="str">
        <x:v>Suplementario</x:v>
      </x:c>
      <x:c r="J67" t="n">
        <x:v>1</x:v>
      </x:c>
      <x:c r="K67" t="n">
        <x:v>2</x:v>
      </x:c>
      <x:c r="L67" t="str">
        <x:v>Noruega</x:v>
      </x:c>
      <x:c r="M67" t="str">
        <x:v>90 minutos</x:v>
      </x:c>
      <x:c r="N67" t="n">
        <x:v>0</x:v>
      </x:c>
      <x:c r="O67" t="n">
        <x:v>0</x:v>
      </x:c>
      <x:c r="P67" t="n">
        <x:v>0</x:v>
      </x:c>
      <x:c r="Q67" t="n">
        <x:v>0</x:v>
      </x:c>
      <x:c r="R67" t="n">
        <x:v>0</x:v>
      </x:c>
      <x:c r="S67" t="n">
        <x:v>0</x:v>
      </x:c>
      <x:c r="T67" t="n">
        <x:v>0</x:v>
      </x:c>
      <x:c r="U67" t="n">
        <x:v>0</x:v>
      </x:c>
      <x:c r="V67" t="str">
        <x:v>Revisar: ganador en 90 debe tener método 90 minutos</x:v>
      </x:c>
      <x:c r="W67" t="str">
        <x:v>Detalle 8vos publicado</x:v>
      </x:c>
    </x:row>
    <x:row r="68" ht="15" hidden="0" customHeight="1">
      <x:c r="A68" t="str">
        <x:v>8vos</x:v>
      </x:c>
      <x:c r="B68" t="str">
        <x:v>O4</x:v>
      </x:c>
      <x:c r="C68" t="str">
        <x:v>Freddy</x:v>
      </x:c>
      <x:c r="D68" t="str">
        <x:v>México</x:v>
      </x:c>
      <x:c r="E68" t="str">
        <x:v>Inglaterra</x:v>
      </x:c>
      <x:c r="F68" t="n">
        <x:v>1</x:v>
      </x:c>
      <x:c r="G68" t="n">
        <x:v>2</x:v>
      </x:c>
      <x:c r="H68" t="str">
        <x:v>Inglaterra</x:v>
      </x:c>
      <x:c r="I68" t="str">
        <x:v>90 minutos</x:v>
      </x:c>
      <x:c r="J68" t="n">
        <x:v>2</x:v>
      </x:c>
      <x:c r="K68" t="n">
        <x:v>3</x:v>
      </x:c>
      <x:c r="L68" t="str">
        <x:v>Inglaterra</x:v>
      </x:c>
      <x:c r="M68" t="str">
        <x:v>90 minutos</x:v>
      </x:c>
      <x:c r="N68" t="n">
        <x:v>5</x:v>
      </x:c>
      <x:c r="O68" t="n">
        <x:v>3</x:v>
      </x:c>
      <x:c r="P68" t="n">
        <x:v>2</x:v>
      </x:c>
      <x:c r="Q68" t="n">
        <x:v>0</x:v>
      </x:c>
      <x:c r="R68" t="n">
        <x:v>2</x:v>
      </x:c>
      <x:c r="S68" t="n">
        <x:v>0</x:v>
      </x:c>
      <x:c r="T68" t="n">
        <x:v>0</x:v>
      </x:c>
      <x:c r="U68" t="n">
        <x:v>12</x:v>
      </x:c>
      <x:c r="V68" t="str">
        <x:v>OK</x:v>
      </x:c>
      <x:c r="W68" t="str">
        <x:v>Detalle 8vos publicado</x:v>
      </x:c>
    </x:row>
    <x:row r="69" ht="15" hidden="0" customHeight="1">
      <x:c r="A69" t="str">
        <x:v>8vos</x:v>
      </x:c>
      <x:c r="B69" t="str">
        <x:v>O4</x:v>
      </x:c>
      <x:c r="C69" t="str">
        <x:v>Gabriela</x:v>
      </x:c>
      <x:c r="D69" t="str">
        <x:v>México</x:v>
      </x:c>
      <x:c r="E69" t="str">
        <x:v>Inglaterra</x:v>
      </x:c>
      <x:c r="F69" t="n">
        <x:v>1</x:v>
      </x:c>
      <x:c r="G69" t="n">
        <x:v>3</x:v>
      </x:c>
      <x:c r="H69" t="str">
        <x:v>Inglaterra</x:v>
      </x:c>
      <x:c r="I69" t="str">
        <x:v>90 minutos</x:v>
      </x:c>
      <x:c r="J69" t="n">
        <x:v>2</x:v>
      </x:c>
      <x:c r="K69" t="n">
        <x:v>3</x:v>
      </x:c>
      <x:c r="L69" t="str">
        <x:v>Inglaterra</x:v>
      </x:c>
      <x:c r="M69" t="str">
        <x:v>90 minutos</x:v>
      </x:c>
      <x:c r="N69" t="n">
        <x:v>5</x:v>
      </x:c>
      <x:c r="O69" t="n">
        <x:v>3</x:v>
      </x:c>
      <x:c r="P69" t="n">
        <x:v>2</x:v>
      </x:c>
      <x:c r="Q69" t="n">
        <x:v>0</x:v>
      </x:c>
      <x:c r="R69" t="n">
        <x:v>0</x:v>
      </x:c>
      <x:c r="S69" t="n">
        <x:v>0</x:v>
      </x:c>
      <x:c r="T69" t="n">
        <x:v>1</x:v>
      </x:c>
      <x:c r="U69" t="n">
        <x:v>11</x:v>
      </x:c>
      <x:c r="V69" t="str">
        <x:v>OK</x:v>
      </x:c>
      <x:c r="W69" t="str">
        <x:v>Detalle 8vos publicado</x:v>
      </x:c>
    </x:row>
    <x:row r="70" ht="15" hidden="0" customHeight="1">
      <x:c r="A70" t="str">
        <x:v>8vos</x:v>
      </x:c>
      <x:c r="B70" t="str">
        <x:v>O4</x:v>
      </x:c>
      <x:c r="C70" t="str">
        <x:v>Jean</x:v>
      </x:c>
      <x:c r="D70" t="str">
        <x:v>México</x:v>
      </x:c>
      <x:c r="E70" t="str">
        <x:v>Inglaterra</x:v>
      </x:c>
      <x:c r="F70" t="n">
        <x:v>0</x:v>
      </x:c>
      <x:c r="G70" t="n">
        <x:v>1</x:v>
      </x:c>
      <x:c r="H70" t="str">
        <x:v>Inglaterra</x:v>
      </x:c>
      <x:c r="I70" t="str">
        <x:v>90 minutos</x:v>
      </x:c>
      <x:c r="J70" t="n">
        <x:v>2</x:v>
      </x:c>
      <x:c r="K70" t="n">
        <x:v>3</x:v>
      </x:c>
      <x:c r="L70" t="str">
        <x:v>Inglaterra</x:v>
      </x:c>
      <x:c r="M70" t="str">
        <x:v>90 minutos</x:v>
      </x:c>
      <x:c r="N70" t="n">
        <x:v>5</x:v>
      </x:c>
      <x:c r="O70" t="n">
        <x:v>3</x:v>
      </x:c>
      <x:c r="P70" t="n">
        <x:v>2</x:v>
      </x:c>
      <x:c r="Q70" t="n">
        <x:v>0</x:v>
      </x:c>
      <x:c r="R70" t="n">
        <x:v>2</x:v>
      </x:c>
      <x:c r="S70" t="n">
        <x:v>0</x:v>
      </x:c>
      <x:c r="T70" t="n">
        <x:v>0</x:v>
      </x:c>
      <x:c r="U70" t="n">
        <x:v>12</x:v>
      </x:c>
      <x:c r="V70" t="str">
        <x:v>OK</x:v>
      </x:c>
      <x:c r="W70" t="str">
        <x:v>Detalle 8vos publicado</x:v>
      </x:c>
    </x:row>
    <x:row r="71" ht="15" hidden="0" customHeight="1">
      <x:c r="A71" t="str">
        <x:v>8vos</x:v>
      </x:c>
      <x:c r="B71" t="str">
        <x:v>O4</x:v>
      </x:c>
      <x:c r="C71" t="str">
        <x:v>Juan</x:v>
      </x:c>
      <x:c r="D71" t="str">
        <x:v>México</x:v>
      </x:c>
      <x:c r="E71" t="str">
        <x:v>Inglaterra</x:v>
      </x:c>
      <x:c r="F71" t="n">
        <x:v>2</x:v>
      </x:c>
      <x:c r="G71" t="n">
        <x:v>2</x:v>
      </x:c>
      <x:c r="H71" t="str">
        <x:v>México</x:v>
      </x:c>
      <x:c r="I71" t="str">
        <x:v>Penales</x:v>
      </x:c>
      <x:c r="J71" t="n">
        <x:v>2</x:v>
      </x:c>
      <x:c r="K71" t="n">
        <x:v>3</x:v>
      </x:c>
      <x:c r="L71" t="str">
        <x:v>Inglaterra</x:v>
      </x:c>
      <x:c r="M71" t="str">
        <x:v>90 minutos</x:v>
      </x:c>
      <x:c r="N71" t="n">
        <x:v>0</x:v>
      </x:c>
      <x:c r="O71" t="n">
        <x:v>0</x:v>
      </x:c>
      <x:c r="P71" t="n">
        <x:v>0</x:v>
      </x:c>
      <x:c r="Q71" t="n">
        <x:v>0</x:v>
      </x:c>
      <x:c r="R71" t="n">
        <x:v>0</x:v>
      </x:c>
      <x:c r="S71" t="n">
        <x:v>1</x:v>
      </x:c>
      <x:c r="T71" t="n">
        <x:v>0</x:v>
      </x:c>
      <x:c r="U71" t="n">
        <x:v>1</x:v>
      </x:c>
      <x:c r="V71" t="str">
        <x:v>OK</x:v>
      </x:c>
      <x:c r="W71" t="str">
        <x:v>Detalle 8vos publicado</x:v>
      </x:c>
    </x:row>
    <x:row r="72" ht="15" hidden="0" customHeight="1">
      <x:c r="A72" t="str">
        <x:v>8vos</x:v>
      </x:c>
      <x:c r="B72" t="str">
        <x:v>O4</x:v>
      </x:c>
      <x:c r="C72" t="str">
        <x:v>Jesús</x:v>
      </x:c>
      <x:c r="D72" t="str">
        <x:v>México</x:v>
      </x:c>
      <x:c r="E72" t="str">
        <x:v>Inglaterra</x:v>
      </x:c>
      <x:c r="F72" t="n">
        <x:v>1</x:v>
      </x:c>
      <x:c r="G72" t="n">
        <x:v>3</x:v>
      </x:c>
      <x:c r="H72" t="str">
        <x:v>Inglaterra</x:v>
      </x:c>
      <x:c r="I72" t="str">
        <x:v>90 minutos</x:v>
      </x:c>
      <x:c r="J72" t="n">
        <x:v>2</x:v>
      </x:c>
      <x:c r="K72" t="n">
        <x:v>3</x:v>
      </x:c>
      <x:c r="L72" t="str">
        <x:v>Inglaterra</x:v>
      </x:c>
      <x:c r="M72" t="str">
        <x:v>90 minutos</x:v>
      </x:c>
      <x:c r="N72" t="n">
        <x:v>5</x:v>
      </x:c>
      <x:c r="O72" t="n">
        <x:v>3</x:v>
      </x:c>
      <x:c r="P72" t="n">
        <x:v>2</x:v>
      </x:c>
      <x:c r="Q72" t="n">
        <x:v>0</x:v>
      </x:c>
      <x:c r="R72" t="n">
        <x:v>0</x:v>
      </x:c>
      <x:c r="S72" t="n">
        <x:v>0</x:v>
      </x:c>
      <x:c r="T72" t="n">
        <x:v>1</x:v>
      </x:c>
      <x:c r="U72" t="n">
        <x:v>11</x:v>
      </x:c>
      <x:c r="V72" t="str">
        <x:v>OK</x:v>
      </x:c>
      <x:c r="W72" t="str">
        <x:v>Detalle 8vos publicado</x:v>
      </x:c>
    </x:row>
    <x:row r="73" ht="15" hidden="0" customHeight="1">
      <x:c r="A73" t="str">
        <x:v>8vos</x:v>
      </x:c>
      <x:c r="B73" t="str">
        <x:v>O4</x:v>
      </x:c>
      <x:c r="C73" t="str">
        <x:v>Diego</x:v>
      </x:c>
      <x:c r="D73" t="str">
        <x:v>México</x:v>
      </x:c>
      <x:c r="E73" t="str">
        <x:v>Inglaterra</x:v>
      </x:c>
      <x:c r="F73" t="n">
        <x:v>0</x:v>
      </x:c>
      <x:c r="G73" t="n">
        <x:v>2</x:v>
      </x:c>
      <x:c r="H73" t="str">
        <x:v>Inglaterra</x:v>
      </x:c>
      <x:c r="I73" t="str">
        <x:v>90 minutos</x:v>
      </x:c>
      <x:c r="J73" t="n">
        <x:v>2</x:v>
      </x:c>
      <x:c r="K73" t="n">
        <x:v>3</x:v>
      </x:c>
      <x:c r="L73" t="str">
        <x:v>Inglaterra</x:v>
      </x:c>
      <x:c r="M73" t="str">
        <x:v>90 minutos</x:v>
      </x:c>
      <x:c r="N73" t="n">
        <x:v>5</x:v>
      </x:c>
      <x:c r="O73" t="n">
        <x:v>3</x:v>
      </x:c>
      <x:c r="P73" t="n">
        <x:v>2</x:v>
      </x:c>
      <x:c r="Q73" t="n">
        <x:v>0</x:v>
      </x:c>
      <x:c r="R73" t="n">
        <x:v>0</x:v>
      </x:c>
      <x:c r="S73" t="n">
        <x:v>0</x:v>
      </x:c>
      <x:c r="T73" t="n">
        <x:v>0</x:v>
      </x:c>
      <x:c r="U73" t="n">
        <x:v>10</x:v>
      </x:c>
      <x:c r="V73" t="str">
        <x:v>OK</x:v>
      </x:c>
      <x:c r="W73" t="str">
        <x:v>Detalle 8vos publicado</x:v>
      </x:c>
    </x:row>
    <x:row r="74" ht="15" hidden="0" customHeight="1">
      <x:c r="A74" t="str">
        <x:v>8vos</x:v>
      </x:c>
      <x:c r="B74" t="str">
        <x:v>O4</x:v>
      </x:c>
      <x:c r="C74" t="str">
        <x:v>Aldo</x:v>
      </x:c>
      <x:c r="D74" t="str">
        <x:v>México</x:v>
      </x:c>
      <x:c r="E74" t="str">
        <x:v>Inglaterra</x:v>
      </x:c>
      <x:c r="F74" t="n">
        <x:v>1</x:v>
      </x:c>
      <x:c r="G74" t="n">
        <x:v>2</x:v>
      </x:c>
      <x:c r="H74" t="str">
        <x:v>Inglaterra</x:v>
      </x:c>
      <x:c r="I74" t="str">
        <x:v>90 minutos</x:v>
      </x:c>
      <x:c r="J74" t="n">
        <x:v>2</x:v>
      </x:c>
      <x:c r="K74" t="n">
        <x:v>3</x:v>
      </x:c>
      <x:c r="L74" t="str">
        <x:v>Inglaterra</x:v>
      </x:c>
      <x:c r="M74" t="str">
        <x:v>90 minutos</x:v>
      </x:c>
      <x:c r="N74" t="n">
        <x:v>5</x:v>
      </x:c>
      <x:c r="O74" t="n">
        <x:v>3</x:v>
      </x:c>
      <x:c r="P74" t="n">
        <x:v>2</x:v>
      </x:c>
      <x:c r="Q74" t="n">
        <x:v>0</x:v>
      </x:c>
      <x:c r="R74" t="n">
        <x:v>2</x:v>
      </x:c>
      <x:c r="S74" t="n">
        <x:v>0</x:v>
      </x:c>
      <x:c r="T74" t="n">
        <x:v>0</x:v>
      </x:c>
      <x:c r="U74" t="n">
        <x:v>12</x:v>
      </x:c>
      <x:c r="V74" t="str">
        <x:v>OK</x:v>
      </x:c>
      <x:c r="W74" t="str">
        <x:v>Detalle 8vos publicado</x:v>
      </x:c>
    </x:row>
    <x:row r="75" ht="15" hidden="0" customHeight="1">
      <x:c r="A75" t="str">
        <x:v>8vos</x:v>
      </x:c>
      <x:c r="B75" t="str">
        <x:v>O4</x:v>
      </x:c>
      <x:c r="C75" t="str">
        <x:v>Javier</x:v>
      </x:c>
      <x:c r="D75" t="str">
        <x:v>México</x:v>
      </x:c>
      <x:c r="E75" t="str">
        <x:v>Inglaterra</x:v>
      </x:c>
      <x:c r="F75" t="n">
        <x:v>1</x:v>
      </x:c>
      <x:c r="G75" t="n">
        <x:v>1</x:v>
      </x:c>
      <x:c r="H75" t="str">
        <x:v>Inglaterra</x:v>
      </x:c>
      <x:c r="I75" t="str">
        <x:v>Penales</x:v>
      </x:c>
      <x:c r="J75" t="n">
        <x:v>2</x:v>
      </x:c>
      <x:c r="K75" t="n">
        <x:v>3</x:v>
      </x:c>
      <x:c r="L75" t="str">
        <x:v>Inglaterra</x:v>
      </x:c>
      <x:c r="M75" t="str">
        <x:v>90 minutos</x:v>
      </x:c>
      <x:c r="N75" t="n">
        <x:v>0</x:v>
      </x:c>
      <x:c r="O75" t="n">
        <x:v>3</x:v>
      </x:c>
      <x:c r="P75" t="n">
        <x:v>0</x:v>
      </x:c>
      <x:c r="Q75" t="n">
        <x:v>0</x:v>
      </x:c>
      <x:c r="R75" t="n">
        <x:v>0</x:v>
      </x:c>
      <x:c r="S75" t="n">
        <x:v>0</x:v>
      </x:c>
      <x:c r="T75" t="n">
        <x:v>0</x:v>
      </x:c>
      <x:c r="U75" t="n">
        <x:v>3</x:v>
      </x:c>
      <x:c r="V75" t="str">
        <x:v>OK</x:v>
      </x:c>
      <x:c r="W75" t="str">
        <x:v>Detalle 8vos publicado</x:v>
      </x:c>
    </x:row>
    <x:row r="76" ht="15" hidden="0" customHeight="1">
      <x:c r="A76" t="str">
        <x:v>8vos</x:v>
      </x:c>
      <x:c r="B76" t="str">
        <x:v>O4</x:v>
      </x:c>
      <x:c r="C76" t="str">
        <x:v>Gino</x:v>
      </x:c>
      <x:c r="D76" t="str">
        <x:v>México</x:v>
      </x:c>
      <x:c r="E76" t="str">
        <x:v>Inglaterra</x:v>
      </x:c>
      <x:c r="F76" t="n">
        <x:v>1</x:v>
      </x:c>
      <x:c r="G76" t="n">
        <x:v>2</x:v>
      </x:c>
      <x:c r="H76" t="str">
        <x:v>Inglaterra</x:v>
      </x:c>
      <x:c r="I76" t="str">
        <x:v>Suplementario</x:v>
      </x:c>
      <x:c r="J76" t="n">
        <x:v>2</x:v>
      </x:c>
      <x:c r="K76" t="n">
        <x:v>3</x:v>
      </x:c>
      <x:c r="L76" t="str">
        <x:v>Inglaterra</x:v>
      </x:c>
      <x:c r="M76" t="str">
        <x:v>90 minutos</x:v>
      </x:c>
      <x:c r="N76" t="n">
        <x:v>0</x:v>
      </x:c>
      <x:c r="O76" t="n">
        <x:v>0</x:v>
      </x:c>
      <x:c r="P76" t="n">
        <x:v>0</x:v>
      </x:c>
      <x:c r="Q76" t="n">
        <x:v>0</x:v>
      </x:c>
      <x:c r="R76" t="n">
        <x:v>0</x:v>
      </x:c>
      <x:c r="S76" t="n">
        <x:v>0</x:v>
      </x:c>
      <x:c r="T76" t="n">
        <x:v>0</x:v>
      </x:c>
      <x:c r="U76" t="n">
        <x:v>0</x:v>
      </x:c>
      <x:c r="V76" t="str">
        <x:v>Revisar: ganador en 90 debe tener método 90 minutos</x:v>
      </x:c>
      <x:c r="W76" t="str">
        <x:v>Detalle 8vos publicado</x:v>
      </x:c>
    </x:row>
    <x:row r="77" ht="15" hidden="0" customHeight="1">
      <x:c r="A77" t="str">
        <x:v>8vos</x:v>
      </x:c>
      <x:c r="B77" t="str">
        <x:v>O4</x:v>
      </x:c>
      <x:c r="C77" t="str">
        <x:v>Manuel</x:v>
      </x:c>
      <x:c r="D77" t="str">
        <x:v>México</x:v>
      </x:c>
      <x:c r="E77" t="str">
        <x:v>Inglaterra</x:v>
      </x:c>
      <x:c r="F77" t="n">
        <x:v>2</x:v>
      </x:c>
      <x:c r="G77" t="n">
        <x:v>3</x:v>
      </x:c>
      <x:c r="H77" t="str">
        <x:v>Inglaterra</x:v>
      </x:c>
      <x:c r="I77" t="str">
        <x:v>Suplementario</x:v>
      </x:c>
      <x:c r="J77" t="n">
        <x:v>2</x:v>
      </x:c>
      <x:c r="K77" t="n">
        <x:v>3</x:v>
      </x:c>
      <x:c r="L77" t="str">
        <x:v>Inglaterra</x:v>
      </x:c>
      <x:c r="M77" t="str">
        <x:v>90 minutos</x:v>
      </x:c>
      <x:c r="N77" t="n">
        <x:v>0</x:v>
      </x:c>
      <x:c r="O77" t="n">
        <x:v>0</x:v>
      </x:c>
      <x:c r="P77" t="n">
        <x:v>0</x:v>
      </x:c>
      <x:c r="Q77" t="n">
        <x:v>0</x:v>
      </x:c>
      <x:c r="R77" t="n">
        <x:v>0</x:v>
      </x:c>
      <x:c r="S77" t="n">
        <x:v>0</x:v>
      </x:c>
      <x:c r="T77" t="n">
        <x:v>0</x:v>
      </x:c>
      <x:c r="U77" t="n">
        <x:v>0</x:v>
      </x:c>
      <x:c r="V77" t="str">
        <x:v>Revisar: ganador en 90 debe tener método 90 minutos</x:v>
      </x:c>
      <x:c r="W77" t="str">
        <x:v>Detalle 8vos publicado</x:v>
      </x:c>
    </x:row>
    <x:row r="78" ht="15" hidden="0" customHeight="1">
      <x:c r="A78" t="str">
        <x:v>8vos</x:v>
      </x:c>
      <x:c r="B78" t="str">
        <x:v>O4</x:v>
      </x:c>
      <x:c r="C78" t="str">
        <x:v>Jorge</x:v>
      </x:c>
      <x:c r="D78" t="str">
        <x:v>México</x:v>
      </x:c>
      <x:c r="E78" t="str">
        <x:v>Inglaterra</x:v>
      </x:c>
      <x:c r="F78" t="n">
        <x:v>1</x:v>
      </x:c>
      <x:c r="G78" t="n">
        <x:v>2</x:v>
      </x:c>
      <x:c r="H78" t="str">
        <x:v>Inglaterra</x:v>
      </x:c>
      <x:c r="I78" t="str">
        <x:v>Suplementario</x:v>
      </x:c>
      <x:c r="J78" t="n">
        <x:v>2</x:v>
      </x:c>
      <x:c r="K78" t="n">
        <x:v>3</x:v>
      </x:c>
      <x:c r="L78" t="str">
        <x:v>Inglaterra</x:v>
      </x:c>
      <x:c r="M78" t="str">
        <x:v>90 minutos</x:v>
      </x:c>
      <x:c r="N78" t="n">
        <x:v>0</x:v>
      </x:c>
      <x:c r="O78" t="n">
        <x:v>0</x:v>
      </x:c>
      <x:c r="P78" t="n">
        <x:v>0</x:v>
      </x:c>
      <x:c r="Q78" t="n">
        <x:v>0</x:v>
      </x:c>
      <x:c r="R78" t="n">
        <x:v>0</x:v>
      </x:c>
      <x:c r="S78" t="n">
        <x:v>0</x:v>
      </x:c>
      <x:c r="T78" t="n">
        <x:v>0</x:v>
      </x:c>
      <x:c r="U78" t="n">
        <x:v>0</x:v>
      </x:c>
      <x:c r="V78" t="str">
        <x:v>Revisar: ganador en 90 debe tener método 90 minutos</x:v>
      </x:c>
      <x:c r="W78" t="str">
        <x:v>Detalle 8vos publicado</x:v>
      </x:c>
    </x:row>
    <x:row r="79" ht="15" hidden="0" customHeight="1">
      <x:c r="A79" t="str">
        <x:v>8vos</x:v>
      </x:c>
      <x:c r="B79" t="str">
        <x:v>O4</x:v>
      </x:c>
      <x:c r="C79" t="str">
        <x:v>Daniel</x:v>
      </x:c>
      <x:c r="D79" t="str">
        <x:v>México</x:v>
      </x:c>
      <x:c r="E79" t="str">
        <x:v>Inglaterra</x:v>
      </x:c>
      <x:c r="F79" t="n">
        <x:v>1</x:v>
      </x:c>
      <x:c r="G79" t="n">
        <x:v>1</x:v>
      </x:c>
      <x:c r="H79" t="str">
        <x:v>México</x:v>
      </x:c>
      <x:c r="I79" t="str">
        <x:v>Penales</x:v>
      </x:c>
      <x:c r="J79" t="n">
        <x:v>2</x:v>
      </x:c>
      <x:c r="K79" t="n">
        <x:v>3</x:v>
      </x:c>
      <x:c r="L79" t="str">
        <x:v>Inglaterra</x:v>
      </x:c>
      <x:c r="M79" t="str">
        <x:v>90 minutos</x:v>
      </x:c>
      <x:c r="N79" t="n">
        <x:v>0</x:v>
      </x:c>
      <x:c r="O79" t="n">
        <x:v>0</x:v>
      </x:c>
      <x:c r="P79" t="n">
        <x:v>0</x:v>
      </x:c>
      <x:c r="Q79" t="n">
        <x:v>0</x:v>
      </x:c>
      <x:c r="R79" t="n">
        <x:v>0</x:v>
      </x:c>
      <x:c r="S79" t="n">
        <x:v>0</x:v>
      </x:c>
      <x:c r="T79" t="n">
        <x:v>0</x:v>
      </x:c>
      <x:c r="U79" t="n">
        <x:v>0</x:v>
      </x:c>
      <x:c r="V79" t="str">
        <x:v>OK</x:v>
      </x:c>
      <x:c r="W79" t="str">
        <x:v>Detalle 8vos publicado</x:v>
      </x:c>
    </x:row>
    <x:row r="80" ht="15" hidden="0" customHeight="1">
      <x:c r="A80" t="str">
        <x:v>8vos</x:v>
      </x:c>
      <x:c r="B80" t="str">
        <x:v>O4</x:v>
      </x:c>
      <x:c r="C80" t="str">
        <x:v>Arthur</x:v>
      </x:c>
      <x:c r="D80" t="str">
        <x:v>México</x:v>
      </x:c>
      <x:c r="E80" t="str">
        <x:v>Inglaterra</x:v>
      </x:c>
      <x:c r="F80" t="n">
        <x:v>2</x:v>
      </x:c>
      <x:c r="G80" t="n">
        <x:v>4</x:v>
      </x:c>
      <x:c r="H80" t="str">
        <x:v>Inglaterra</x:v>
      </x:c>
      <x:c r="I80" t="str">
        <x:v>Penales</x:v>
      </x:c>
      <x:c r="J80" t="n">
        <x:v>2</x:v>
      </x:c>
      <x:c r="K80" t="n">
        <x:v>3</x:v>
      </x:c>
      <x:c r="L80" t="str">
        <x:v>Inglaterra</x:v>
      </x:c>
      <x:c r="M80" t="str">
        <x:v>90 minutos</x:v>
      </x:c>
      <x:c r="N80" t="n">
        <x:v>0</x:v>
      </x:c>
      <x:c r="O80" t="n">
        <x:v>0</x:v>
      </x:c>
      <x:c r="P80" t="n">
        <x:v>0</x:v>
      </x:c>
      <x:c r="Q80" t="n">
        <x:v>0</x:v>
      </x:c>
      <x:c r="R80" t="n">
        <x:v>0</x:v>
      </x:c>
      <x:c r="S80" t="n">
        <x:v>0</x:v>
      </x:c>
      <x:c r="T80" t="n">
        <x:v>0</x:v>
      </x:c>
      <x:c r="U80" t="n">
        <x:v>0</x:v>
      </x:c>
      <x:c r="V80" t="str">
        <x:v>Revisar: ganador en 90 debe tener método 90 minutos</x:v>
      </x:c>
      <x:c r="W80" t="str">
        <x:v>Detalle 8vos publicado</x:v>
      </x:c>
    </x:row>
    <x:row r="81" ht="15" hidden="0" customHeight="1">
      <x:c r="A81" t="str">
        <x:v>8vos</x:v>
      </x:c>
      <x:c r="B81" t="str">
        <x:v>O4</x:v>
      </x:c>
      <x:c r="C81" t="str">
        <x:v>José Luis</x:v>
      </x:c>
      <x:c r="D81" t="str">
        <x:v>México</x:v>
      </x:c>
      <x:c r="E81" t="str">
        <x:v>Inglaterra</x:v>
      </x:c>
      <x:c r="F81"/>
      <x:c r="G81"/>
      <x:c r="H81" t="str">
        <x:v>Sin envío</x:v>
      </x:c>
      <x:c r="I81" t="str">
        <x:v>Sin envío</x:v>
      </x:c>
      <x:c r="J81" t="n">
        <x:v>2</x:v>
      </x:c>
      <x:c r="K81" t="n">
        <x:v>3</x:v>
      </x:c>
      <x:c r="L81" t="str">
        <x:v>Inglaterra</x:v>
      </x:c>
      <x:c r="M81" t="str">
        <x:v>90 minutos</x:v>
      </x:c>
      <x:c r="N81" t="n">
        <x:v>0</x:v>
      </x:c>
      <x:c r="O81" t="n">
        <x:v>0</x:v>
      </x:c>
      <x:c r="P81" t="n">
        <x:v>0</x:v>
      </x:c>
      <x:c r="Q81" t="n">
        <x:v>0</x:v>
      </x:c>
      <x:c r="R81" t="n">
        <x:v>0</x:v>
      </x:c>
      <x:c r="S81" t="n">
        <x:v>0</x:v>
      </x:c>
      <x:c r="T81" t="n">
        <x:v>0</x:v>
      </x:c>
      <x:c r="U81" t="n">
        <x:v>0</x:v>
      </x:c>
      <x:c r="V81" t="str">
        <x:v>Sin respuesta CSV</x:v>
      </x:c>
      <x:c r="W81" t="str">
        <x:v>Detalle 8vos publicado</x:v>
      </x:c>
    </x:row>
    <x:row r="82" ht="15" hidden="0" customHeight="1">
      <x:c r="A82" t="str">
        <x:v>8vos</x:v>
      </x:c>
      <x:c r="B82" t="str">
        <x:v>O4</x:v>
      </x:c>
      <x:c r="C82" t="str">
        <x:v>Marcelo</x:v>
      </x:c>
      <x:c r="D82" t="str">
        <x:v>México</x:v>
      </x:c>
      <x:c r="E82" t="str">
        <x:v>Inglaterra</x:v>
      </x:c>
      <x:c r="F82"/>
      <x:c r="G82"/>
      <x:c r="H82" t="str">
        <x:v>Sin envío</x:v>
      </x:c>
      <x:c r="I82" t="str">
        <x:v>Sin envío</x:v>
      </x:c>
      <x:c r="J82" t="n">
        <x:v>2</x:v>
      </x:c>
      <x:c r="K82" t="n">
        <x:v>3</x:v>
      </x:c>
      <x:c r="L82" t="str">
        <x:v>Inglaterra</x:v>
      </x:c>
      <x:c r="M82" t="str">
        <x:v>90 minutos</x:v>
      </x:c>
      <x:c r="N82" t="n">
        <x:v>0</x:v>
      </x:c>
      <x:c r="O82" t="n">
        <x:v>0</x:v>
      </x:c>
      <x:c r="P82" t="n">
        <x:v>0</x:v>
      </x:c>
      <x:c r="Q82" t="n">
        <x:v>0</x:v>
      </x:c>
      <x:c r="R82" t="n">
        <x:v>0</x:v>
      </x:c>
      <x:c r="S82" t="n">
        <x:v>0</x:v>
      </x:c>
      <x:c r="T82" t="n">
        <x:v>0</x:v>
      </x:c>
      <x:c r="U82" t="n">
        <x:v>0</x:v>
      </x:c>
      <x:c r="V82" t="str">
        <x:v>Sin respuesta CSV</x:v>
      </x:c>
      <x:c r="W82" t="str">
        <x:v>Detalle 8vos publicado</x:v>
      </x:c>
    </x:row>
    <x:row r="83" ht="15" hidden="0" customHeight="1">
      <x:c r="A83" t="str">
        <x:v>8vos</x:v>
      </x:c>
      <x:c r="B83" t="str">
        <x:v>O4</x:v>
      </x:c>
      <x:c r="C83" t="str">
        <x:v>Anny</x:v>
      </x:c>
      <x:c r="D83" t="str">
        <x:v>México</x:v>
      </x:c>
      <x:c r="E83" t="str">
        <x:v>Inglaterra</x:v>
      </x:c>
      <x:c r="F83" t="n">
        <x:v>1</x:v>
      </x:c>
      <x:c r="G83" t="n">
        <x:v>2</x:v>
      </x:c>
      <x:c r="H83" t="str">
        <x:v>Inglaterra</x:v>
      </x:c>
      <x:c r="I83" t="str">
        <x:v>90 minutos</x:v>
      </x:c>
      <x:c r="J83" t="n">
        <x:v>2</x:v>
      </x:c>
      <x:c r="K83" t="n">
        <x:v>3</x:v>
      </x:c>
      <x:c r="L83" t="str">
        <x:v>Inglaterra</x:v>
      </x:c>
      <x:c r="M83" t="str">
        <x:v>90 minutos</x:v>
      </x:c>
      <x:c r="N83" t="n">
        <x:v>5</x:v>
      </x:c>
      <x:c r="O83" t="n">
        <x:v>3</x:v>
      </x:c>
      <x:c r="P83" t="n">
        <x:v>2</x:v>
      </x:c>
      <x:c r="Q83" t="n">
        <x:v>0</x:v>
      </x:c>
      <x:c r="R83" t="n">
        <x:v>2</x:v>
      </x:c>
      <x:c r="S83" t="n">
        <x:v>0</x:v>
      </x:c>
      <x:c r="T83" t="n">
        <x:v>0</x:v>
      </x:c>
      <x:c r="U83" t="n">
        <x:v>12</x:v>
      </x:c>
      <x:c r="V83" t="str">
        <x:v>OK</x:v>
      </x:c>
      <x:c r="W83" t="str">
        <x:v>Detalle 8vos publicado</x:v>
      </x:c>
    </x:row>
    <x:row r="84" ht="15" hidden="0" customHeight="1">
      <x:c r="A84" t="str">
        <x:v>8vos</x:v>
      </x:c>
      <x:c r="B84" t="str">
        <x:v>O4</x:v>
      </x:c>
      <x:c r="C84" t="str">
        <x:v>Moisés</x:v>
      </x:c>
      <x:c r="D84" t="str">
        <x:v>México</x:v>
      </x:c>
      <x:c r="E84" t="str">
        <x:v>Inglaterra</x:v>
      </x:c>
      <x:c r="F84" t="n">
        <x:v>2</x:v>
      </x:c>
      <x:c r="G84" t="n">
        <x:v>3</x:v>
      </x:c>
      <x:c r="H84" t="str">
        <x:v>Inglaterra</x:v>
      </x:c>
      <x:c r="I84" t="str">
        <x:v>Penales</x:v>
      </x:c>
      <x:c r="J84" t="n">
        <x:v>2</x:v>
      </x:c>
      <x:c r="K84" t="n">
        <x:v>3</x:v>
      </x:c>
      <x:c r="L84" t="str">
        <x:v>Inglaterra</x:v>
      </x:c>
      <x:c r="M84" t="str">
        <x:v>90 minutos</x:v>
      </x:c>
      <x:c r="N84" t="n">
        <x:v>0</x:v>
      </x:c>
      <x:c r="O84" t="n">
        <x:v>0</x:v>
      </x:c>
      <x:c r="P84" t="n">
        <x:v>0</x:v>
      </x:c>
      <x:c r="Q84" t="n">
        <x:v>0</x:v>
      </x:c>
      <x:c r="R84" t="n">
        <x:v>0</x:v>
      </x:c>
      <x:c r="S84" t="n">
        <x:v>0</x:v>
      </x:c>
      <x:c r="T84" t="n">
        <x:v>0</x:v>
      </x:c>
      <x:c r="U84" t="n">
        <x:v>0</x:v>
      </x:c>
      <x:c r="V84" t="str">
        <x:v>Revisar: ganador en 90 debe tener método 90 minutos</x:v>
      </x:c>
      <x:c r="W84" t="str">
        <x:v>Detalle 8vos publicado</x:v>
      </x:c>
    </x:row>
    <x:row r="85" ht="15" hidden="0" customHeight="1">
      <x:c r="A85" t="str">
        <x:v>8vos</x:v>
      </x:c>
      <x:c r="B85" t="str">
        <x:v>O4</x:v>
      </x:c>
      <x:c r="C85" t="str">
        <x:v>Alex</x:v>
      </x:c>
      <x:c r="D85" t="str">
        <x:v>México</x:v>
      </x:c>
      <x:c r="E85" t="str">
        <x:v>Inglaterra</x:v>
      </x:c>
      <x:c r="F85" t="n">
        <x:v>2</x:v>
      </x:c>
      <x:c r="G85" t="n">
        <x:v>3</x:v>
      </x:c>
      <x:c r="H85" t="str">
        <x:v>Inglaterra</x:v>
      </x:c>
      <x:c r="I85" t="str">
        <x:v>Suplementario</x:v>
      </x:c>
      <x:c r="J85" t="n">
        <x:v>2</x:v>
      </x:c>
      <x:c r="K85" t="n">
        <x:v>3</x:v>
      </x:c>
      <x:c r="L85" t="str">
        <x:v>Inglaterra</x:v>
      </x:c>
      <x:c r="M85" t="str">
        <x:v>90 minutos</x:v>
      </x:c>
      <x:c r="N85" t="n">
        <x:v>0</x:v>
      </x:c>
      <x:c r="O85" t="n">
        <x:v>0</x:v>
      </x:c>
      <x:c r="P85" t="n">
        <x:v>0</x:v>
      </x:c>
      <x:c r="Q85" t="n">
        <x:v>0</x:v>
      </x:c>
      <x:c r="R85" t="n">
        <x:v>0</x:v>
      </x:c>
      <x:c r="S85" t="n">
        <x:v>0</x:v>
      </x:c>
      <x:c r="T85" t="n">
        <x:v>0</x:v>
      </x:c>
      <x:c r="U85" t="n">
        <x:v>0</x:v>
      </x:c>
      <x:c r="V85" t="str">
        <x:v>Revisar: ganador en 90 debe tener método 90 minutos</x:v>
      </x:c>
      <x:c r="W85" t="str">
        <x:v>Detalle 8vos publicado</x:v>
      </x:c>
    </x:row>
    <x:row r="86" ht="15" hidden="0" customHeight="1">
      <x:c r="A86" t="str">
        <x:v>8vos</x:v>
      </x:c>
      <x:c r="B86" t="str">
        <x:v>O4</x:v>
      </x:c>
      <x:c r="C86" t="str">
        <x:v>Omar</x:v>
      </x:c>
      <x:c r="D86" t="str">
        <x:v>México</x:v>
      </x:c>
      <x:c r="E86" t="str">
        <x:v>Inglaterra</x:v>
      </x:c>
      <x:c r="F86"/>
      <x:c r="G86"/>
      <x:c r="H86" t="str">
        <x:v>Sin envío</x:v>
      </x:c>
      <x:c r="I86" t="str">
        <x:v>Sin envío</x:v>
      </x:c>
      <x:c r="J86" t="n">
        <x:v>2</x:v>
      </x:c>
      <x:c r="K86" t="n">
        <x:v>3</x:v>
      </x:c>
      <x:c r="L86" t="str">
        <x:v>Inglaterra</x:v>
      </x:c>
      <x:c r="M86" t="str">
        <x:v>90 minutos</x:v>
      </x:c>
      <x:c r="N86" t="n">
        <x:v>0</x:v>
      </x:c>
      <x:c r="O86" t="n">
        <x:v>0</x:v>
      </x:c>
      <x:c r="P86" t="n">
        <x:v>0</x:v>
      </x:c>
      <x:c r="Q86" t="n">
        <x:v>0</x:v>
      </x:c>
      <x:c r="R86" t="n">
        <x:v>0</x:v>
      </x:c>
      <x:c r="S86" t="n">
        <x:v>0</x:v>
      </x:c>
      <x:c r="T86" t="n">
        <x:v>0</x:v>
      </x:c>
      <x:c r="U86" t="n">
        <x:v>0</x:v>
      </x:c>
      <x:c r="V86" t="str">
        <x:v>Sin respuesta CSV</x:v>
      </x:c>
      <x:c r="W86" t="str">
        <x:v>Detalle 8vos publicado</x:v>
      </x:c>
    </x:row>
    <x:row r="87" ht="15" hidden="0" customHeight="1">
      <x:c r="A87" t="str">
        <x:v>8vos</x:v>
      </x:c>
      <x:c r="B87" t="str">
        <x:v>O4</x:v>
      </x:c>
      <x:c r="C87" t="str">
        <x:v>Fernando</x:v>
      </x:c>
      <x:c r="D87" t="str">
        <x:v>México</x:v>
      </x:c>
      <x:c r="E87" t="str">
        <x:v>Inglaterra</x:v>
      </x:c>
      <x:c r="F87" t="n">
        <x:v>1</x:v>
      </x:c>
      <x:c r="G87" t="n">
        <x:v>2</x:v>
      </x:c>
      <x:c r="H87" t="str">
        <x:v>Inglaterra</x:v>
      </x:c>
      <x:c r="I87" t="str">
        <x:v>Suplementario</x:v>
      </x:c>
      <x:c r="J87" t="n">
        <x:v>2</x:v>
      </x:c>
      <x:c r="K87" t="n">
        <x:v>3</x:v>
      </x:c>
      <x:c r="L87" t="str">
        <x:v>Inglaterra</x:v>
      </x:c>
      <x:c r="M87" t="str">
        <x:v>90 minutos</x:v>
      </x:c>
      <x:c r="N87" t="n">
        <x:v>0</x:v>
      </x:c>
      <x:c r="O87" t="n">
        <x:v>0</x:v>
      </x:c>
      <x:c r="P87" t="n">
        <x:v>0</x:v>
      </x:c>
      <x:c r="Q87" t="n">
        <x:v>0</x:v>
      </x:c>
      <x:c r="R87" t="n">
        <x:v>0</x:v>
      </x:c>
      <x:c r="S87" t="n">
        <x:v>0</x:v>
      </x:c>
      <x:c r="T87" t="n">
        <x:v>0</x:v>
      </x:c>
      <x:c r="U87" t="n">
        <x:v>0</x:v>
      </x:c>
      <x:c r="V87" t="str">
        <x:v>Revisar: ganador en 90 debe tener método 90 minutos</x:v>
      </x:c>
      <x:c r="W87" t="str">
        <x:v>Detalle 8vos publicado</x:v>
      </x:c>
    </x:row>
    <x:row r="88" ht="15" hidden="0" customHeight="1">
      <x:c r="A88" t="str">
        <x:v>8vos</x:v>
      </x:c>
      <x:c r="B88" t="str">
        <x:v>O4</x:v>
      </x:c>
      <x:c r="C88" t="str">
        <x:v>Diana</x:v>
      </x:c>
      <x:c r="D88" t="str">
        <x:v>México</x:v>
      </x:c>
      <x:c r="E88" t="str">
        <x:v>Inglaterra</x:v>
      </x:c>
      <x:c r="F88" t="n">
        <x:v>0</x:v>
      </x:c>
      <x:c r="G88" t="n">
        <x:v>0</x:v>
      </x:c>
      <x:c r="H88" t="str">
        <x:v>México</x:v>
      </x:c>
      <x:c r="I88" t="str">
        <x:v>Penales</x:v>
      </x:c>
      <x:c r="J88" t="n">
        <x:v>2</x:v>
      </x:c>
      <x:c r="K88" t="n">
        <x:v>3</x:v>
      </x:c>
      <x:c r="L88" t="str">
        <x:v>Inglaterra</x:v>
      </x:c>
      <x:c r="M88" t="str">
        <x:v>90 minutos</x:v>
      </x:c>
      <x:c r="N88" t="n">
        <x:v>0</x:v>
      </x:c>
      <x:c r="O88" t="n">
        <x:v>0</x:v>
      </x:c>
      <x:c r="P88" t="n">
        <x:v>0</x:v>
      </x:c>
      <x:c r="Q88" t="n">
        <x:v>0</x:v>
      </x:c>
      <x:c r="R88" t="n">
        <x:v>0</x:v>
      </x:c>
      <x:c r="S88" t="n">
        <x:v>0</x:v>
      </x:c>
      <x:c r="T88" t="n">
        <x:v>0</x:v>
      </x:c>
      <x:c r="U88" t="n">
        <x:v>0</x:v>
      </x:c>
      <x:c r="V88" t="str">
        <x:v>OK</x:v>
      </x:c>
      <x:c r="W88" t="str">
        <x:v>Detalle 8vos publicado</x:v>
      </x:c>
    </x:row>
    <x:row r="89" ht="15" hidden="0" customHeight="1">
      <x:c r="A89" t="str">
        <x:v>8vos</x:v>
      </x:c>
      <x:c r="B89" t="str">
        <x:v>O4</x:v>
      </x:c>
      <x:c r="C89" t="str">
        <x:v>Óscar</x:v>
      </x:c>
      <x:c r="D89" t="str">
        <x:v>México</x:v>
      </x:c>
      <x:c r="E89" t="str">
        <x:v>Inglaterra</x:v>
      </x:c>
      <x:c r="F89" t="n">
        <x:v>1</x:v>
      </x:c>
      <x:c r="G89" t="n">
        <x:v>2</x:v>
      </x:c>
      <x:c r="H89" t="str">
        <x:v>Inglaterra</x:v>
      </x:c>
      <x:c r="I89" t="str">
        <x:v>Suplementario</x:v>
      </x:c>
      <x:c r="J89" t="n">
        <x:v>2</x:v>
      </x:c>
      <x:c r="K89" t="n">
        <x:v>3</x:v>
      </x:c>
      <x:c r="L89" t="str">
        <x:v>Inglaterra</x:v>
      </x:c>
      <x:c r="M89" t="str">
        <x:v>90 minutos</x:v>
      </x:c>
      <x:c r="N89" t="n">
        <x:v>0</x:v>
      </x:c>
      <x:c r="O89" t="n">
        <x:v>0</x:v>
      </x:c>
      <x:c r="P89" t="n">
        <x:v>0</x:v>
      </x:c>
      <x:c r="Q89" t="n">
        <x:v>0</x:v>
      </x:c>
      <x:c r="R89" t="n">
        <x:v>0</x:v>
      </x:c>
      <x:c r="S89" t="n">
        <x:v>0</x:v>
      </x:c>
      <x:c r="T89" t="n">
        <x:v>0</x:v>
      </x:c>
      <x:c r="U89" t="n">
        <x:v>0</x:v>
      </x:c>
      <x:c r="V89" t="str">
        <x:v>Revisar: ganador en 90 debe tener método 90 minutos</x:v>
      </x:c>
      <x:c r="W89" t="str">
        <x:v>Detalle 8vos publicado</x:v>
      </x:c>
    </x:row>
    <x:row r="90" ht="15" hidden="0" customHeight="1">
      <x:c r="A90" t="str">
        <x:v>8vos</x:v>
      </x:c>
      <x:c r="B90" t="str">
        <x:v>O5</x:v>
      </x:c>
      <x:c r="C90" t="str">
        <x:v>Freddy</x:v>
      </x:c>
      <x:c r="D90" t="str">
        <x:v>Estados Unidos</x:v>
      </x:c>
      <x:c r="E90" t="str">
        <x:v>Bélgica</x:v>
      </x:c>
      <x:c r="F90" t="n">
        <x:v>1</x:v>
      </x:c>
      <x:c r="G90" t="n">
        <x:v>2</x:v>
      </x:c>
      <x:c r="H90" t="str">
        <x:v>Bélgica</x:v>
      </x:c>
      <x:c r="I90" t="str">
        <x:v>90 minutos</x:v>
      </x:c>
      <x:c r="J90" t="n">
        <x:v>1</x:v>
      </x:c>
      <x:c r="K90" t="n">
        <x:v>4</x:v>
      </x:c>
      <x:c r="L90" t="str">
        <x:v>Bélgica</x:v>
      </x:c>
      <x:c r="M90" t="str">
        <x:v>90 minutos</x:v>
      </x:c>
      <x:c r="N90" t="n">
        <x:v>5</x:v>
      </x:c>
      <x:c r="O90" t="n">
        <x:v>3</x:v>
      </x:c>
      <x:c r="P90" t="n">
        <x:v>2</x:v>
      </x:c>
      <x:c r="Q90" t="n">
        <x:v>0</x:v>
      </x:c>
      <x:c r="R90" t="n">
        <x:v>0</x:v>
      </x:c>
      <x:c r="S90" t="n">
        <x:v>1</x:v>
      </x:c>
      <x:c r="T90" t="n">
        <x:v>0</x:v>
      </x:c>
      <x:c r="U90" t="n">
        <x:v>11</x:v>
      </x:c>
      <x:c r="V90" t="str">
        <x:v>OK</x:v>
      </x:c>
      <x:c r="W90" t="str">
        <x:v>Detalle 8vos publicado</x:v>
      </x:c>
    </x:row>
    <x:row r="91" ht="15" hidden="0" customHeight="1">
      <x:c r="A91" t="str">
        <x:v>8vos</x:v>
      </x:c>
      <x:c r="B91" t="str">
        <x:v>O5</x:v>
      </x:c>
      <x:c r="C91" t="str">
        <x:v>Gabriela</x:v>
      </x:c>
      <x:c r="D91" t="str">
        <x:v>Estados Unidos</x:v>
      </x:c>
      <x:c r="E91" t="str">
        <x:v>Bélgica</x:v>
      </x:c>
      <x:c r="F91" t="n">
        <x:v>2</x:v>
      </x:c>
      <x:c r="G91" t="n">
        <x:v>3</x:v>
      </x:c>
      <x:c r="H91" t="str">
        <x:v>Bélgica</x:v>
      </x:c>
      <x:c r="I91" t="str">
        <x:v>90 minutos</x:v>
      </x:c>
      <x:c r="J91" t="n">
        <x:v>1</x:v>
      </x:c>
      <x:c r="K91" t="n">
        <x:v>4</x:v>
      </x:c>
      <x:c r="L91" t="str">
        <x:v>Bélgica</x:v>
      </x:c>
      <x:c r="M91" t="str">
        <x:v>90 minutos</x:v>
      </x:c>
      <x:c r="N91" t="n">
        <x:v>5</x:v>
      </x:c>
      <x:c r="O91" t="n">
        <x:v>3</x:v>
      </x:c>
      <x:c r="P91" t="n">
        <x:v>2</x:v>
      </x:c>
      <x:c r="Q91" t="n">
        <x:v>0</x:v>
      </x:c>
      <x:c r="R91" t="n">
        <x:v>0</x:v>
      </x:c>
      <x:c r="S91" t="n">
        <x:v>0</x:v>
      </x:c>
      <x:c r="T91" t="n">
        <x:v>0</x:v>
      </x:c>
      <x:c r="U91" t="n">
        <x:v>10</x:v>
      </x:c>
      <x:c r="V91" t="str">
        <x:v>OK</x:v>
      </x:c>
      <x:c r="W91" t="str">
        <x:v>Detalle 8vos publicado</x:v>
      </x:c>
    </x:row>
    <x:row r="92" ht="15" hidden="0" customHeight="1">
      <x:c r="A92" t="str">
        <x:v>8vos</x:v>
      </x:c>
      <x:c r="B92" t="str">
        <x:v>O5</x:v>
      </x:c>
      <x:c r="C92" t="str">
        <x:v>Jean</x:v>
      </x:c>
      <x:c r="D92" t="str">
        <x:v>Estados Unidos</x:v>
      </x:c>
      <x:c r="E92" t="str">
        <x:v>Bélgica</x:v>
      </x:c>
      <x:c r="F92" t="n">
        <x:v>0</x:v>
      </x:c>
      <x:c r="G92" t="n">
        <x:v>1</x:v>
      </x:c>
      <x:c r="H92" t="str">
        <x:v>Bélgica</x:v>
      </x:c>
      <x:c r="I92" t="str">
        <x:v>90 minutos</x:v>
      </x:c>
      <x:c r="J92" t="n">
        <x:v>1</x:v>
      </x:c>
      <x:c r="K92" t="n">
        <x:v>4</x:v>
      </x:c>
      <x:c r="L92" t="str">
        <x:v>Bélgica</x:v>
      </x:c>
      <x:c r="M92" t="str">
        <x:v>90 minutos</x:v>
      </x:c>
      <x:c r="N92" t="n">
        <x:v>5</x:v>
      </x:c>
      <x:c r="O92" t="n">
        <x:v>3</x:v>
      </x:c>
      <x:c r="P92" t="n">
        <x:v>2</x:v>
      </x:c>
      <x:c r="Q92" t="n">
        <x:v>0</x:v>
      </x:c>
      <x:c r="R92" t="n">
        <x:v>0</x:v>
      </x:c>
      <x:c r="S92" t="n">
        <x:v>0</x:v>
      </x:c>
      <x:c r="T92" t="n">
        <x:v>0</x:v>
      </x:c>
      <x:c r="U92" t="n">
        <x:v>10</x:v>
      </x:c>
      <x:c r="V92" t="str">
        <x:v>OK</x:v>
      </x:c>
      <x:c r="W92" t="str">
        <x:v>Detalle 8vos publicado</x:v>
      </x:c>
    </x:row>
    <x:row r="93" ht="15" hidden="0" customHeight="1">
      <x:c r="A93" t="str">
        <x:v>8vos</x:v>
      </x:c>
      <x:c r="B93" t="str">
        <x:v>O5</x:v>
      </x:c>
      <x:c r="C93" t="str">
        <x:v>Juan</x:v>
      </x:c>
      <x:c r="D93" t="str">
        <x:v>Estados Unidos</x:v>
      </x:c>
      <x:c r="E93" t="str">
        <x:v>Bélgica</x:v>
      </x:c>
      <x:c r="F93" t="n">
        <x:v>1</x:v>
      </x:c>
      <x:c r="G93" t="n">
        <x:v>1</x:v>
      </x:c>
      <x:c r="H93" t="str">
        <x:v>EEUU</x:v>
      </x:c>
      <x:c r="I93" t="str">
        <x:v>Penales</x:v>
      </x:c>
      <x:c r="J93" t="n">
        <x:v>1</x:v>
      </x:c>
      <x:c r="K93" t="n">
        <x:v>4</x:v>
      </x:c>
      <x:c r="L93" t="str">
        <x:v>Bélgica</x:v>
      </x:c>
      <x:c r="M93" t="str">
        <x:v>90 minutos</x:v>
      </x:c>
      <x:c r="N93" t="n">
        <x:v>0</x:v>
      </x:c>
      <x:c r="O93" t="n">
        <x:v>0</x:v>
      </x:c>
      <x:c r="P93" t="n">
        <x:v>0</x:v>
      </x:c>
      <x:c r="Q93" t="n">
        <x:v>0</x:v>
      </x:c>
      <x:c r="R93" t="n">
        <x:v>0</x:v>
      </x:c>
      <x:c r="S93" t="n">
        <x:v>1</x:v>
      </x:c>
      <x:c r="T93" t="n">
        <x:v>0</x:v>
      </x:c>
      <x:c r="U93" t="n">
        <x:v>1</x:v>
      </x:c>
      <x:c r="V93" t="str">
        <x:v>OK</x:v>
      </x:c>
      <x:c r="W93" t="str">
        <x:v>Detalle 8vos publicado</x:v>
      </x:c>
    </x:row>
    <x:row r="94" ht="15" hidden="0" customHeight="1">
      <x:c r="A94" t="str">
        <x:v>8vos</x:v>
      </x:c>
      <x:c r="B94" t="str">
        <x:v>O5</x:v>
      </x:c>
      <x:c r="C94" t="str">
        <x:v>Jesús</x:v>
      </x:c>
      <x:c r="D94" t="str">
        <x:v>Estados Unidos</x:v>
      </x:c>
      <x:c r="E94" t="str">
        <x:v>Bélgica</x:v>
      </x:c>
      <x:c r="F94" t="n">
        <x:v>0</x:v>
      </x:c>
      <x:c r="G94" t="n">
        <x:v>2</x:v>
      </x:c>
      <x:c r="H94" t="str">
        <x:v>Bélgica</x:v>
      </x:c>
      <x:c r="I94" t="str">
        <x:v>90 minutos</x:v>
      </x:c>
      <x:c r="J94" t="n">
        <x:v>1</x:v>
      </x:c>
      <x:c r="K94" t="n">
        <x:v>4</x:v>
      </x:c>
      <x:c r="L94" t="str">
        <x:v>Bélgica</x:v>
      </x:c>
      <x:c r="M94" t="str">
        <x:v>90 minutos</x:v>
      </x:c>
      <x:c r="N94" t="n">
        <x:v>5</x:v>
      </x:c>
      <x:c r="O94" t="n">
        <x:v>3</x:v>
      </x:c>
      <x:c r="P94" t="n">
        <x:v>2</x:v>
      </x:c>
      <x:c r="Q94" t="n">
        <x:v>0</x:v>
      </x:c>
      <x:c r="R94" t="n">
        <x:v>0</x:v>
      </x:c>
      <x:c r="S94" t="n">
        <x:v>0</x:v>
      </x:c>
      <x:c r="T94" t="n">
        <x:v>0</x:v>
      </x:c>
      <x:c r="U94" t="n">
        <x:v>10</x:v>
      </x:c>
      <x:c r="V94" t="str">
        <x:v>OK</x:v>
      </x:c>
      <x:c r="W94" t="str">
        <x:v>Detalle 8vos publicado</x:v>
      </x:c>
    </x:row>
    <x:row r="95" ht="15" hidden="0" customHeight="1">
      <x:c r="A95" t="str">
        <x:v>8vos</x:v>
      </x:c>
      <x:c r="B95" t="str">
        <x:v>O5</x:v>
      </x:c>
      <x:c r="C95" t="str">
        <x:v>Diego</x:v>
      </x:c>
      <x:c r="D95" t="str">
        <x:v>Estados Unidos</x:v>
      </x:c>
      <x:c r="E95" t="str">
        <x:v>Bélgica</x:v>
      </x:c>
      <x:c r="F95" t="n">
        <x:v>2</x:v>
      </x:c>
      <x:c r="G95" t="n">
        <x:v>2</x:v>
      </x:c>
      <x:c r="H95" t="str">
        <x:v>Bélgica</x:v>
      </x:c>
      <x:c r="I95" t="str">
        <x:v>Penales</x:v>
      </x:c>
      <x:c r="J95" t="n">
        <x:v>1</x:v>
      </x:c>
      <x:c r="K95" t="n">
        <x:v>4</x:v>
      </x:c>
      <x:c r="L95" t="str">
        <x:v>Bélgica</x:v>
      </x:c>
      <x:c r="M95" t="str">
        <x:v>90 minutos</x:v>
      </x:c>
      <x:c r="N95" t="n">
        <x:v>0</x:v>
      </x:c>
      <x:c r="O95" t="n">
        <x:v>3</x:v>
      </x:c>
      <x:c r="P95" t="n">
        <x:v>0</x:v>
      </x:c>
      <x:c r="Q95" t="n">
        <x:v>0</x:v>
      </x:c>
      <x:c r="R95" t="n">
        <x:v>0</x:v>
      </x:c>
      <x:c r="S95" t="n">
        <x:v>0</x:v>
      </x:c>
      <x:c r="T95" t="n">
        <x:v>0</x:v>
      </x:c>
      <x:c r="U95" t="n">
        <x:v>3</x:v>
      </x:c>
      <x:c r="V95" t="str">
        <x:v>OK</x:v>
      </x:c>
      <x:c r="W95" t="str">
        <x:v>Detalle 8vos publicado</x:v>
      </x:c>
    </x:row>
    <x:row r="96" ht="15" hidden="0" customHeight="1">
      <x:c r="A96" t="str">
        <x:v>8vos</x:v>
      </x:c>
      <x:c r="B96" t="str">
        <x:v>O5</x:v>
      </x:c>
      <x:c r="C96" t="str">
        <x:v>Aldo</x:v>
      </x:c>
      <x:c r="D96" t="str">
        <x:v>Estados Unidos</x:v>
      </x:c>
      <x:c r="E96" t="str">
        <x:v>Bélgica</x:v>
      </x:c>
      <x:c r="F96" t="n">
        <x:v>1</x:v>
      </x:c>
      <x:c r="G96" t="n">
        <x:v>2</x:v>
      </x:c>
      <x:c r="H96" t="str">
        <x:v>Bélgica</x:v>
      </x:c>
      <x:c r="I96" t="str">
        <x:v>90 minutos</x:v>
      </x:c>
      <x:c r="J96" t="n">
        <x:v>1</x:v>
      </x:c>
      <x:c r="K96" t="n">
        <x:v>4</x:v>
      </x:c>
      <x:c r="L96" t="str">
        <x:v>Bélgica</x:v>
      </x:c>
      <x:c r="M96" t="str">
        <x:v>90 minutos</x:v>
      </x:c>
      <x:c r="N96" t="n">
        <x:v>5</x:v>
      </x:c>
      <x:c r="O96" t="n">
        <x:v>3</x:v>
      </x:c>
      <x:c r="P96" t="n">
        <x:v>2</x:v>
      </x:c>
      <x:c r="Q96" t="n">
        <x:v>0</x:v>
      </x:c>
      <x:c r="R96" t="n">
        <x:v>0</x:v>
      </x:c>
      <x:c r="S96" t="n">
        <x:v>1</x:v>
      </x:c>
      <x:c r="T96" t="n">
        <x:v>0</x:v>
      </x:c>
      <x:c r="U96" t="n">
        <x:v>11</x:v>
      </x:c>
      <x:c r="V96" t="str">
        <x:v>OK</x:v>
      </x:c>
      <x:c r="W96" t="str">
        <x:v>Detalle 8vos publicado</x:v>
      </x:c>
    </x:row>
    <x:row r="97" ht="15" hidden="0" customHeight="1">
      <x:c r="A97" t="str">
        <x:v>8vos</x:v>
      </x:c>
      <x:c r="B97" t="str">
        <x:v>O5</x:v>
      </x:c>
      <x:c r="C97" t="str">
        <x:v>Javier</x:v>
      </x:c>
      <x:c r="D97" t="str">
        <x:v>Estados Unidos</x:v>
      </x:c>
      <x:c r="E97" t="str">
        <x:v>Bélgica</x:v>
      </x:c>
      <x:c r="F97" t="n">
        <x:v>2</x:v>
      </x:c>
      <x:c r="G97" t="n">
        <x:v>1</x:v>
      </x:c>
      <x:c r="H97" t="str">
        <x:v>EEUU</x:v>
      </x:c>
      <x:c r="I97" t="str">
        <x:v>90 minutos</x:v>
      </x:c>
      <x:c r="J97" t="n">
        <x:v>1</x:v>
      </x:c>
      <x:c r="K97" t="n">
        <x:v>4</x:v>
      </x:c>
      <x:c r="L97" t="str">
        <x:v>Bélgica</x:v>
      </x:c>
      <x:c r="M97" t="str">
        <x:v>90 minutos</x:v>
      </x:c>
      <x:c r="N97" t="n">
        <x:v>0</x:v>
      </x:c>
      <x:c r="O97" t="n">
        <x:v>0</x:v>
      </x:c>
      <x:c r="P97" t="n">
        <x:v>0</x:v>
      </x:c>
      <x:c r="Q97" t="n">
        <x:v>0</x:v>
      </x:c>
      <x:c r="R97" t="n">
        <x:v>0</x:v>
      </x:c>
      <x:c r="S97" t="n">
        <x:v>0</x:v>
      </x:c>
      <x:c r="T97" t="n">
        <x:v>0</x:v>
      </x:c>
      <x:c r="U97" t="n">
        <x:v>0</x:v>
      </x:c>
      <x:c r="V97" t="str">
        <x:v>Revisar: clasifica debe ser Estados Unidos</x:v>
      </x:c>
      <x:c r="W97" t="str">
        <x:v>Detalle 8vos publicado</x:v>
      </x:c>
    </x:row>
    <x:row r="98" ht="15" hidden="0" customHeight="1">
      <x:c r="A98" t="str">
        <x:v>8vos</x:v>
      </x:c>
      <x:c r="B98" t="str">
        <x:v>O5</x:v>
      </x:c>
      <x:c r="C98" t="str">
        <x:v>Gino</x:v>
      </x:c>
      <x:c r="D98" t="str">
        <x:v>Estados Unidos</x:v>
      </x:c>
      <x:c r="E98" t="str">
        <x:v>Bélgica</x:v>
      </x:c>
      <x:c r="F98" t="n">
        <x:v>2</x:v>
      </x:c>
      <x:c r="G98" t="n">
        <x:v>2</x:v>
      </x:c>
      <x:c r="H98" t="str">
        <x:v>Bélgica</x:v>
      </x:c>
      <x:c r="I98" t="str">
        <x:v>Penales</x:v>
      </x:c>
      <x:c r="J98" t="n">
        <x:v>1</x:v>
      </x:c>
      <x:c r="K98" t="n">
        <x:v>4</x:v>
      </x:c>
      <x:c r="L98" t="str">
        <x:v>Bélgica</x:v>
      </x:c>
      <x:c r="M98" t="str">
        <x:v>90 minutos</x:v>
      </x:c>
      <x:c r="N98" t="n">
        <x:v>0</x:v>
      </x:c>
      <x:c r="O98" t="n">
        <x:v>3</x:v>
      </x:c>
      <x:c r="P98" t="n">
        <x:v>0</x:v>
      </x:c>
      <x:c r="Q98" t="n">
        <x:v>0</x:v>
      </x:c>
      <x:c r="R98" t="n">
        <x:v>0</x:v>
      </x:c>
      <x:c r="S98" t="n">
        <x:v>0</x:v>
      </x:c>
      <x:c r="T98" t="n">
        <x:v>0</x:v>
      </x:c>
      <x:c r="U98" t="n">
        <x:v>3</x:v>
      </x:c>
      <x:c r="V98" t="str">
        <x:v>OK</x:v>
      </x:c>
      <x:c r="W98" t="str">
        <x:v>Detalle 8vos publicado</x:v>
      </x:c>
    </x:row>
    <x:row r="99" ht="15" hidden="0" customHeight="1">
      <x:c r="A99" t="str">
        <x:v>8vos</x:v>
      </x:c>
      <x:c r="B99" t="str">
        <x:v>O5</x:v>
      </x:c>
      <x:c r="C99" t="str">
        <x:v>Manuel</x:v>
      </x:c>
      <x:c r="D99" t="str">
        <x:v>Estados Unidos</x:v>
      </x:c>
      <x:c r="E99" t="str">
        <x:v>Bélgica</x:v>
      </x:c>
      <x:c r="F99" t="n">
        <x:v>2</x:v>
      </x:c>
      <x:c r="G99" t="n">
        <x:v>2</x:v>
      </x:c>
      <x:c r="H99" t="str">
        <x:v>EEUU</x:v>
      </x:c>
      <x:c r="I99" t="str">
        <x:v>Penales</x:v>
      </x:c>
      <x:c r="J99" t="n">
        <x:v>1</x:v>
      </x:c>
      <x:c r="K99" t="n">
        <x:v>4</x:v>
      </x:c>
      <x:c r="L99" t="str">
        <x:v>Bélgica</x:v>
      </x:c>
      <x:c r="M99" t="str">
        <x:v>90 minutos</x:v>
      </x:c>
      <x:c r="N99" t="n">
        <x:v>0</x:v>
      </x:c>
      <x:c r="O99" t="n">
        <x:v>0</x:v>
      </x:c>
      <x:c r="P99" t="n">
        <x:v>0</x:v>
      </x:c>
      <x:c r="Q99" t="n">
        <x:v>0</x:v>
      </x:c>
      <x:c r="R99" t="n">
        <x:v>0</x:v>
      </x:c>
      <x:c r="S99" t="n">
        <x:v>0</x:v>
      </x:c>
      <x:c r="T99" t="n">
        <x:v>0</x:v>
      </x:c>
      <x:c r="U99" t="n">
        <x:v>0</x:v>
      </x:c>
      <x:c r="V99" t="str">
        <x:v>OK</x:v>
      </x:c>
      <x:c r="W99" t="str">
        <x:v>Detalle 8vos publicado</x:v>
      </x:c>
    </x:row>
    <x:row r="100" ht="15" hidden="0" customHeight="1">
      <x:c r="A100" t="str">
        <x:v>8vos</x:v>
      </x:c>
      <x:c r="B100" t="str">
        <x:v>O5</x:v>
      </x:c>
      <x:c r="C100" t="str">
        <x:v>Jorge</x:v>
      </x:c>
      <x:c r="D100" t="str">
        <x:v>Estados Unidos</x:v>
      </x:c>
      <x:c r="E100" t="str">
        <x:v>Bélgica</x:v>
      </x:c>
      <x:c r="F100" t="n">
        <x:v>3</x:v>
      </x:c>
      <x:c r="G100" t="n">
        <x:v>1</x:v>
      </x:c>
      <x:c r="H100" t="str">
        <x:v>EEUU</x:v>
      </x:c>
      <x:c r="I100" t="str">
        <x:v>90 minutos</x:v>
      </x:c>
      <x:c r="J100" t="n">
        <x:v>1</x:v>
      </x:c>
      <x:c r="K100" t="n">
        <x:v>4</x:v>
      </x:c>
      <x:c r="L100" t="str">
        <x:v>Bélgica</x:v>
      </x:c>
      <x:c r="M100" t="str">
        <x:v>90 minutos</x:v>
      </x:c>
      <x:c r="N100" t="n">
        <x:v>0</x:v>
      </x:c>
      <x:c r="O100" t="n">
        <x:v>0</x:v>
      </x:c>
      <x:c r="P100" t="n">
        <x:v>0</x:v>
      </x:c>
      <x:c r="Q100" t="n">
        <x:v>0</x:v>
      </x:c>
      <x:c r="R100" t="n">
        <x:v>0</x:v>
      </x:c>
      <x:c r="S100" t="n">
        <x:v>0</x:v>
      </x:c>
      <x:c r="T100" t="n">
        <x:v>0</x:v>
      </x:c>
      <x:c r="U100" t="n">
        <x:v>0</x:v>
      </x:c>
      <x:c r="V100" t="str">
        <x:v>Revisar: clasifica debe ser Estados Unidos</x:v>
      </x:c>
      <x:c r="W100" t="str">
        <x:v>Detalle 8vos publicado</x:v>
      </x:c>
    </x:row>
    <x:row r="101" ht="15" hidden="0" customHeight="1">
      <x:c r="A101" t="str">
        <x:v>8vos</x:v>
      </x:c>
      <x:c r="B101" t="str">
        <x:v>O5</x:v>
      </x:c>
      <x:c r="C101" t="str">
        <x:v>Daniel</x:v>
      </x:c>
      <x:c r="D101" t="str">
        <x:v>Estados Unidos</x:v>
      </x:c>
      <x:c r="E101" t="str">
        <x:v>Bélgica</x:v>
      </x:c>
      <x:c r="F101" t="n">
        <x:v>1</x:v>
      </x:c>
      <x:c r="G101" t="n">
        <x:v>0</x:v>
      </x:c>
      <x:c r="H101" t="str">
        <x:v>EEUU</x:v>
      </x:c>
      <x:c r="I101" t="str">
        <x:v>90 minutos</x:v>
      </x:c>
      <x:c r="J101" t="n">
        <x:v>1</x:v>
      </x:c>
      <x:c r="K101" t="n">
        <x:v>4</x:v>
      </x:c>
      <x:c r="L101" t="str">
        <x:v>Bélgica</x:v>
      </x:c>
      <x:c r="M101" t="str">
        <x:v>90 minutos</x:v>
      </x:c>
      <x:c r="N101" t="n">
        <x:v>0</x:v>
      </x:c>
      <x:c r="O101" t="n">
        <x:v>0</x:v>
      </x:c>
      <x:c r="P101" t="n">
        <x:v>0</x:v>
      </x:c>
      <x:c r="Q101" t="n">
        <x:v>0</x:v>
      </x:c>
      <x:c r="R101" t="n">
        <x:v>0</x:v>
      </x:c>
      <x:c r="S101" t="n">
        <x:v>0</x:v>
      </x:c>
      <x:c r="T101" t="n">
        <x:v>0</x:v>
      </x:c>
      <x:c r="U101" t="n">
        <x:v>0</x:v>
      </x:c>
      <x:c r="V101" t="str">
        <x:v>Revisar: clasifica debe ser Estados Unidos</x:v>
      </x:c>
      <x:c r="W101" t="str">
        <x:v>Detalle 8vos publicado</x:v>
      </x:c>
    </x:row>
    <x:row r="102" ht="15" hidden="0" customHeight="1">
      <x:c r="A102" t="str">
        <x:v>8vos</x:v>
      </x:c>
      <x:c r="B102" t="str">
        <x:v>O5</x:v>
      </x:c>
      <x:c r="C102" t="str">
        <x:v>Arthur</x:v>
      </x:c>
      <x:c r="D102" t="str">
        <x:v>Estados Unidos</x:v>
      </x:c>
      <x:c r="E102" t="str">
        <x:v>Bélgica</x:v>
      </x:c>
      <x:c r="F102" t="n">
        <x:v>3</x:v>
      </x:c>
      <x:c r="G102" t="n">
        <x:v>4</x:v>
      </x:c>
      <x:c r="H102" t="str">
        <x:v>Bélgica</x:v>
      </x:c>
      <x:c r="I102" t="str">
        <x:v>Penales</x:v>
      </x:c>
      <x:c r="J102" t="n">
        <x:v>1</x:v>
      </x:c>
      <x:c r="K102" t="n">
        <x:v>4</x:v>
      </x:c>
      <x:c r="L102" t="str">
        <x:v>Bélgica</x:v>
      </x:c>
      <x:c r="M102" t="str">
        <x:v>90 minutos</x:v>
      </x:c>
      <x:c r="N102" t="n">
        <x:v>0</x:v>
      </x:c>
      <x:c r="O102" t="n">
        <x:v>0</x:v>
      </x:c>
      <x:c r="P102" t="n">
        <x:v>0</x:v>
      </x:c>
      <x:c r="Q102" t="n">
        <x:v>0</x:v>
      </x:c>
      <x:c r="R102" t="n">
        <x:v>0</x:v>
      </x:c>
      <x:c r="S102" t="n">
        <x:v>0</x:v>
      </x:c>
      <x:c r="T102" t="n">
        <x:v>0</x:v>
      </x:c>
      <x:c r="U102" t="n">
        <x:v>0</x:v>
      </x:c>
      <x:c r="V102" t="str">
        <x:v>Revisar: ganador en 90 debe tener método 90 minutos</x:v>
      </x:c>
      <x:c r="W102" t="str">
        <x:v>Detalle 8vos publicado</x:v>
      </x:c>
    </x:row>
    <x:row r="103" ht="15" hidden="0" customHeight="1">
      <x:c r="A103" t="str">
        <x:v>8vos</x:v>
      </x:c>
      <x:c r="B103" t="str">
        <x:v>O5</x:v>
      </x:c>
      <x:c r="C103" t="str">
        <x:v>José Luis</x:v>
      </x:c>
      <x:c r="D103" t="str">
        <x:v>Estados Unidos</x:v>
      </x:c>
      <x:c r="E103" t="str">
        <x:v>Bélgica</x:v>
      </x:c>
      <x:c r="F103"/>
      <x:c r="G103"/>
      <x:c r="H103" t="str">
        <x:v>Sin envío</x:v>
      </x:c>
      <x:c r="I103" t="str">
        <x:v>Sin envío</x:v>
      </x:c>
      <x:c r="J103" t="n">
        <x:v>1</x:v>
      </x:c>
      <x:c r="K103" t="n">
        <x:v>4</x:v>
      </x:c>
      <x:c r="L103" t="str">
        <x:v>Bélgica</x:v>
      </x:c>
      <x:c r="M103" t="str">
        <x:v>90 minutos</x:v>
      </x:c>
      <x:c r="N103" t="n">
        <x:v>0</x:v>
      </x:c>
      <x:c r="O103" t="n">
        <x:v>0</x:v>
      </x:c>
      <x:c r="P103" t="n">
        <x:v>0</x:v>
      </x:c>
      <x:c r="Q103" t="n">
        <x:v>0</x:v>
      </x:c>
      <x:c r="R103" t="n">
        <x:v>0</x:v>
      </x:c>
      <x:c r="S103" t="n">
        <x:v>0</x:v>
      </x:c>
      <x:c r="T103" t="n">
        <x:v>0</x:v>
      </x:c>
      <x:c r="U103" t="n">
        <x:v>0</x:v>
      </x:c>
      <x:c r="V103" t="str">
        <x:v>Sin respuesta CSV</x:v>
      </x:c>
      <x:c r="W103" t="str">
        <x:v>Detalle 8vos publicado</x:v>
      </x:c>
    </x:row>
    <x:row r="104" ht="15" hidden="0" customHeight="1">
      <x:c r="A104" t="str">
        <x:v>8vos</x:v>
      </x:c>
      <x:c r="B104" t="str">
        <x:v>O5</x:v>
      </x:c>
      <x:c r="C104" t="str">
        <x:v>Marcelo</x:v>
      </x:c>
      <x:c r="D104" t="str">
        <x:v>Estados Unidos</x:v>
      </x:c>
      <x:c r="E104" t="str">
        <x:v>Bélgica</x:v>
      </x:c>
      <x:c r="F104"/>
      <x:c r="G104"/>
      <x:c r="H104" t="str">
        <x:v>Sin envío</x:v>
      </x:c>
      <x:c r="I104" t="str">
        <x:v>Sin envío</x:v>
      </x:c>
      <x:c r="J104" t="n">
        <x:v>1</x:v>
      </x:c>
      <x:c r="K104" t="n">
        <x:v>4</x:v>
      </x:c>
      <x:c r="L104" t="str">
        <x:v>Bélgica</x:v>
      </x:c>
      <x:c r="M104" t="str">
        <x:v>90 minutos</x:v>
      </x:c>
      <x:c r="N104" t="n">
        <x:v>0</x:v>
      </x:c>
      <x:c r="O104" t="n">
        <x:v>0</x:v>
      </x:c>
      <x:c r="P104" t="n">
        <x:v>0</x:v>
      </x:c>
      <x:c r="Q104" t="n">
        <x:v>0</x:v>
      </x:c>
      <x:c r="R104" t="n">
        <x:v>0</x:v>
      </x:c>
      <x:c r="S104" t="n">
        <x:v>0</x:v>
      </x:c>
      <x:c r="T104" t="n">
        <x:v>0</x:v>
      </x:c>
      <x:c r="U104" t="n">
        <x:v>0</x:v>
      </x:c>
      <x:c r="V104" t="str">
        <x:v>Sin respuesta CSV</x:v>
      </x:c>
      <x:c r="W104" t="str">
        <x:v>Detalle 8vos publicado</x:v>
      </x:c>
    </x:row>
    <x:row r="105" ht="15" hidden="0" customHeight="1">
      <x:c r="A105" t="str">
        <x:v>8vos</x:v>
      </x:c>
      <x:c r="B105" t="str">
        <x:v>O5</x:v>
      </x:c>
      <x:c r="C105" t="str">
        <x:v>Anny</x:v>
      </x:c>
      <x:c r="D105" t="str">
        <x:v>Estados Unidos</x:v>
      </x:c>
      <x:c r="E105" t="str">
        <x:v>Bélgica</x:v>
      </x:c>
      <x:c r="F105" t="n">
        <x:v>1</x:v>
      </x:c>
      <x:c r="G105" t="n">
        <x:v>1</x:v>
      </x:c>
      <x:c r="H105" t="str">
        <x:v>EEUU</x:v>
      </x:c>
      <x:c r="I105" t="str">
        <x:v>Penales</x:v>
      </x:c>
      <x:c r="J105" t="n">
        <x:v>1</x:v>
      </x:c>
      <x:c r="K105" t="n">
        <x:v>4</x:v>
      </x:c>
      <x:c r="L105" t="str">
        <x:v>Bélgica</x:v>
      </x:c>
      <x:c r="M105" t="str">
        <x:v>90 minutos</x:v>
      </x:c>
      <x:c r="N105" t="n">
        <x:v>0</x:v>
      </x:c>
      <x:c r="O105" t="n">
        <x:v>0</x:v>
      </x:c>
      <x:c r="P105" t="n">
        <x:v>0</x:v>
      </x:c>
      <x:c r="Q105" t="n">
        <x:v>0</x:v>
      </x:c>
      <x:c r="R105" t="n">
        <x:v>0</x:v>
      </x:c>
      <x:c r="S105" t="n">
        <x:v>1</x:v>
      </x:c>
      <x:c r="T105" t="n">
        <x:v>0</x:v>
      </x:c>
      <x:c r="U105" t="n">
        <x:v>1</x:v>
      </x:c>
      <x:c r="V105" t="str">
        <x:v>OK</x:v>
      </x:c>
      <x:c r="W105" t="str">
        <x:v>Detalle 8vos publicado</x:v>
      </x:c>
    </x:row>
    <x:row r="106" ht="15" hidden="0" customHeight="1">
      <x:c r="A106" t="str">
        <x:v>8vos</x:v>
      </x:c>
      <x:c r="B106" t="str">
        <x:v>O5</x:v>
      </x:c>
      <x:c r="C106" t="str">
        <x:v>Moisés</x:v>
      </x:c>
      <x:c r="D106" t="str">
        <x:v>Estados Unidos</x:v>
      </x:c>
      <x:c r="E106" t="str">
        <x:v>Bélgica</x:v>
      </x:c>
      <x:c r="F106" t="n">
        <x:v>2</x:v>
      </x:c>
      <x:c r="G106" t="n">
        <x:v>3</x:v>
      </x:c>
      <x:c r="H106" t="str">
        <x:v>Bélgica</x:v>
      </x:c>
      <x:c r="I106" t="str">
        <x:v>Suplementario</x:v>
      </x:c>
      <x:c r="J106" t="n">
        <x:v>1</x:v>
      </x:c>
      <x:c r="K106" t="n">
        <x:v>4</x:v>
      </x:c>
      <x:c r="L106" t="str">
        <x:v>Bélgica</x:v>
      </x:c>
      <x:c r="M106" t="str">
        <x:v>90 minutos</x:v>
      </x:c>
      <x:c r="N106" t="n">
        <x:v>0</x:v>
      </x:c>
      <x:c r="O106" t="n">
        <x:v>0</x:v>
      </x:c>
      <x:c r="P106" t="n">
        <x:v>0</x:v>
      </x:c>
      <x:c r="Q106" t="n">
        <x:v>0</x:v>
      </x:c>
      <x:c r="R106" t="n">
        <x:v>0</x:v>
      </x:c>
      <x:c r="S106" t="n">
        <x:v>0</x:v>
      </x:c>
      <x:c r="T106" t="n">
        <x:v>0</x:v>
      </x:c>
      <x:c r="U106" t="n">
        <x:v>0</x:v>
      </x:c>
      <x:c r="V106" t="str">
        <x:v>Revisar: ganador en 90 debe tener método 90 minutos</x:v>
      </x:c>
      <x:c r="W106" t="str">
        <x:v>Detalle 8vos publicado</x:v>
      </x:c>
    </x:row>
    <x:row r="107" ht="15" hidden="0" customHeight="1">
      <x:c r="A107" t="str">
        <x:v>8vos</x:v>
      </x:c>
      <x:c r="B107" t="str">
        <x:v>O5</x:v>
      </x:c>
      <x:c r="C107" t="str">
        <x:v>Alex</x:v>
      </x:c>
      <x:c r="D107" t="str">
        <x:v>Estados Unidos</x:v>
      </x:c>
      <x:c r="E107" t="str">
        <x:v>Bélgica</x:v>
      </x:c>
      <x:c r="F107" t="n">
        <x:v>2</x:v>
      </x:c>
      <x:c r="G107" t="n">
        <x:v>3</x:v>
      </x:c>
      <x:c r="H107" t="str">
        <x:v>Bélgica</x:v>
      </x:c>
      <x:c r="I107" t="str">
        <x:v>90 minutos</x:v>
      </x:c>
      <x:c r="J107" t="n">
        <x:v>1</x:v>
      </x:c>
      <x:c r="K107" t="n">
        <x:v>4</x:v>
      </x:c>
      <x:c r="L107" t="str">
        <x:v>Bélgica</x:v>
      </x:c>
      <x:c r="M107" t="str">
        <x:v>90 minutos</x:v>
      </x:c>
      <x:c r="N107" t="n">
        <x:v>5</x:v>
      </x:c>
      <x:c r="O107" t="n">
        <x:v>3</x:v>
      </x:c>
      <x:c r="P107" t="n">
        <x:v>2</x:v>
      </x:c>
      <x:c r="Q107" t="n">
        <x:v>0</x:v>
      </x:c>
      <x:c r="R107" t="n">
        <x:v>0</x:v>
      </x:c>
      <x:c r="S107" t="n">
        <x:v>0</x:v>
      </x:c>
      <x:c r="T107" t="n">
        <x:v>0</x:v>
      </x:c>
      <x:c r="U107" t="n">
        <x:v>10</x:v>
      </x:c>
      <x:c r="V107" t="str">
        <x:v>OK</x:v>
      </x:c>
      <x:c r="W107" t="str">
        <x:v>Detalle 8vos publicado</x:v>
      </x:c>
    </x:row>
    <x:row r="108" ht="15" hidden="0" customHeight="1">
      <x:c r="A108" t="str">
        <x:v>8vos</x:v>
      </x:c>
      <x:c r="B108" t="str">
        <x:v>O5</x:v>
      </x:c>
      <x:c r="C108" t="str">
        <x:v>Omar</x:v>
      </x:c>
      <x:c r="D108" t="str">
        <x:v>Estados Unidos</x:v>
      </x:c>
      <x:c r="E108" t="str">
        <x:v>Bélgica</x:v>
      </x:c>
      <x:c r="F108"/>
      <x:c r="G108"/>
      <x:c r="H108" t="str">
        <x:v>Sin envío</x:v>
      </x:c>
      <x:c r="I108" t="str">
        <x:v>Sin envío</x:v>
      </x:c>
      <x:c r="J108" t="n">
        <x:v>1</x:v>
      </x:c>
      <x:c r="K108" t="n">
        <x:v>4</x:v>
      </x:c>
      <x:c r="L108" t="str">
        <x:v>Bélgica</x:v>
      </x:c>
      <x:c r="M108" t="str">
        <x:v>90 minutos</x:v>
      </x:c>
      <x:c r="N108" t="n">
        <x:v>0</x:v>
      </x:c>
      <x:c r="O108" t="n">
        <x:v>0</x:v>
      </x:c>
      <x:c r="P108" t="n">
        <x:v>0</x:v>
      </x:c>
      <x:c r="Q108" t="n">
        <x:v>0</x:v>
      </x:c>
      <x:c r="R108" t="n">
        <x:v>0</x:v>
      </x:c>
      <x:c r="S108" t="n">
        <x:v>0</x:v>
      </x:c>
      <x:c r="T108" t="n">
        <x:v>0</x:v>
      </x:c>
      <x:c r="U108" t="n">
        <x:v>0</x:v>
      </x:c>
      <x:c r="V108" t="str">
        <x:v>Sin respuesta CSV</x:v>
      </x:c>
      <x:c r="W108" t="str">
        <x:v>Detalle 8vos publicado</x:v>
      </x:c>
    </x:row>
    <x:row r="109" ht="15" hidden="0" customHeight="1">
      <x:c r="A109" t="str">
        <x:v>8vos</x:v>
      </x:c>
      <x:c r="B109" t="str">
        <x:v>O5</x:v>
      </x:c>
      <x:c r="C109" t="str">
        <x:v>Fernando</x:v>
      </x:c>
      <x:c r="D109" t="str">
        <x:v>Estados Unidos</x:v>
      </x:c>
      <x:c r="E109" t="str">
        <x:v>Bélgica</x:v>
      </x:c>
      <x:c r="F109" t="n">
        <x:v>3</x:v>
      </x:c>
      <x:c r="G109" t="n">
        <x:v>2</x:v>
      </x:c>
      <x:c r="H109" t="str">
        <x:v>EEUU</x:v>
      </x:c>
      <x:c r="I109" t="str">
        <x:v>90 minutos</x:v>
      </x:c>
      <x:c r="J109" t="n">
        <x:v>1</x:v>
      </x:c>
      <x:c r="K109" t="n">
        <x:v>4</x:v>
      </x:c>
      <x:c r="L109" t="str">
        <x:v>Bélgica</x:v>
      </x:c>
      <x:c r="M109" t="str">
        <x:v>90 minutos</x:v>
      </x:c>
      <x:c r="N109" t="n">
        <x:v>0</x:v>
      </x:c>
      <x:c r="O109" t="n">
        <x:v>0</x:v>
      </x:c>
      <x:c r="P109" t="n">
        <x:v>0</x:v>
      </x:c>
      <x:c r="Q109" t="n">
        <x:v>0</x:v>
      </x:c>
      <x:c r="R109" t="n">
        <x:v>0</x:v>
      </x:c>
      <x:c r="S109" t="n">
        <x:v>0</x:v>
      </x:c>
      <x:c r="T109" t="n">
        <x:v>0</x:v>
      </x:c>
      <x:c r="U109" t="n">
        <x:v>0</x:v>
      </x:c>
      <x:c r="V109" t="str">
        <x:v>Revisar: clasifica debe ser Estados Unidos</x:v>
      </x:c>
      <x:c r="W109" t="str">
        <x:v>Detalle 8vos publicado</x:v>
      </x:c>
    </x:row>
    <x:row r="110" ht="15" hidden="0" customHeight="1">
      <x:c r="A110" t="str">
        <x:v>8vos</x:v>
      </x:c>
      <x:c r="B110" t="str">
        <x:v>O5</x:v>
      </x:c>
      <x:c r="C110" t="str">
        <x:v>Diana</x:v>
      </x:c>
      <x:c r="D110" t="str">
        <x:v>Estados Unidos</x:v>
      </x:c>
      <x:c r="E110" t="str">
        <x:v>Bélgica</x:v>
      </x:c>
      <x:c r="F110" t="n">
        <x:v>1</x:v>
      </x:c>
      <x:c r="G110" t="n">
        <x:v>2</x:v>
      </x:c>
      <x:c r="H110" t="str">
        <x:v>Bélgica</x:v>
      </x:c>
      <x:c r="I110" t="str">
        <x:v>90 minutos</x:v>
      </x:c>
      <x:c r="J110" t="n">
        <x:v>1</x:v>
      </x:c>
      <x:c r="K110" t="n">
        <x:v>4</x:v>
      </x:c>
      <x:c r="L110" t="str">
        <x:v>Bélgica</x:v>
      </x:c>
      <x:c r="M110" t="str">
        <x:v>90 minutos</x:v>
      </x:c>
      <x:c r="N110" t="n">
        <x:v>5</x:v>
      </x:c>
      <x:c r="O110" t="n">
        <x:v>3</x:v>
      </x:c>
      <x:c r="P110" t="n">
        <x:v>2</x:v>
      </x:c>
      <x:c r="Q110" t="n">
        <x:v>0</x:v>
      </x:c>
      <x:c r="R110" t="n">
        <x:v>0</x:v>
      </x:c>
      <x:c r="S110" t="n">
        <x:v>1</x:v>
      </x:c>
      <x:c r="T110" t="n">
        <x:v>0</x:v>
      </x:c>
      <x:c r="U110" t="n">
        <x:v>11</x:v>
      </x:c>
      <x:c r="V110" t="str">
        <x:v>OK</x:v>
      </x:c>
      <x:c r="W110" t="str">
        <x:v>Detalle 8vos publicado</x:v>
      </x:c>
    </x:row>
    <x:row r="111" ht="15" hidden="0" customHeight="1">
      <x:c r="A111" t="str">
        <x:v>8vos</x:v>
      </x:c>
      <x:c r="B111" t="str">
        <x:v>O5</x:v>
      </x:c>
      <x:c r="C111" t="str">
        <x:v>Óscar</x:v>
      </x:c>
      <x:c r="D111" t="str">
        <x:v>Estados Unidos</x:v>
      </x:c>
      <x:c r="E111" t="str">
        <x:v>Bélgica</x:v>
      </x:c>
      <x:c r="F111" t="n">
        <x:v>2</x:v>
      </x:c>
      <x:c r="G111" t="n">
        <x:v>2</x:v>
      </x:c>
      <x:c r="H111" t="str">
        <x:v>EEUU</x:v>
      </x:c>
      <x:c r="I111" t="str">
        <x:v>Penales</x:v>
      </x:c>
      <x:c r="J111" t="n">
        <x:v>1</x:v>
      </x:c>
      <x:c r="K111" t="n">
        <x:v>4</x:v>
      </x:c>
      <x:c r="L111" t="str">
        <x:v>Bélgica</x:v>
      </x:c>
      <x:c r="M111" t="str">
        <x:v>90 minutos</x:v>
      </x:c>
      <x:c r="N111" t="n">
        <x:v>0</x:v>
      </x:c>
      <x:c r="O111" t="n">
        <x:v>0</x:v>
      </x:c>
      <x:c r="P111" t="n">
        <x:v>0</x:v>
      </x:c>
      <x:c r="Q111" t="n">
        <x:v>0</x:v>
      </x:c>
      <x:c r="R111" t="n">
        <x:v>0</x:v>
      </x:c>
      <x:c r="S111" t="n">
        <x:v>0</x:v>
      </x:c>
      <x:c r="T111" t="n">
        <x:v>0</x:v>
      </x:c>
      <x:c r="U111" t="n">
        <x:v>0</x:v>
      </x:c>
      <x:c r="V111" t="str">
        <x:v>OK</x:v>
      </x:c>
      <x:c r="W111" t="str">
        <x:v>Detalle 8vos publicado</x:v>
      </x:c>
    </x:row>
    <x:row r="112" ht="15" hidden="0" customHeight="1">
      <x:c r="A112" t="str">
        <x:v>8vos</x:v>
      </x:c>
      <x:c r="B112" t="str">
        <x:v>O6</x:v>
      </x:c>
      <x:c r="C112" t="str">
        <x:v>Freddy</x:v>
      </x:c>
      <x:c r="D112" t="str">
        <x:v>Portugal</x:v>
      </x:c>
      <x:c r="E112" t="str">
        <x:v>España</x:v>
      </x:c>
      <x:c r="F112" t="n">
        <x:v>1</x:v>
      </x:c>
      <x:c r="G112" t="n">
        <x:v>2</x:v>
      </x:c>
      <x:c r="H112" t="str">
        <x:v>España</x:v>
      </x:c>
      <x:c r="I112" t="str">
        <x:v>90 minutos</x:v>
      </x:c>
      <x:c r="J112" t="n">
        <x:v>0</x:v>
      </x:c>
      <x:c r="K112" t="n">
        <x:v>1</x:v>
      </x:c>
      <x:c r="L112" t="str">
        <x:v>España</x:v>
      </x:c>
      <x:c r="M112" t="str">
        <x:v>90 minutos</x:v>
      </x:c>
      <x:c r="N112" t="n">
        <x:v>5</x:v>
      </x:c>
      <x:c r="O112" t="n">
        <x:v>3</x:v>
      </x:c>
      <x:c r="P112" t="n">
        <x:v>2</x:v>
      </x:c>
      <x:c r="Q112" t="n">
        <x:v>0</x:v>
      </x:c>
      <x:c r="R112" t="n">
        <x:v>2</x:v>
      </x:c>
      <x:c r="S112" t="n">
        <x:v>0</x:v>
      </x:c>
      <x:c r="T112" t="n">
        <x:v>0</x:v>
      </x:c>
      <x:c r="U112" t="n">
        <x:v>12</x:v>
      </x:c>
      <x:c r="V112" t="str">
        <x:v>OK</x:v>
      </x:c>
      <x:c r="W112" t="str">
        <x:v>Detalle 8vos publicado</x:v>
      </x:c>
    </x:row>
    <x:row r="113" ht="15" hidden="0" customHeight="1">
      <x:c r="A113" t="str">
        <x:v>8vos</x:v>
      </x:c>
      <x:c r="B113" t="str">
        <x:v>O6</x:v>
      </x:c>
      <x:c r="C113" t="str">
        <x:v>Gabriela</x:v>
      </x:c>
      <x:c r="D113" t="str">
        <x:v>Portugal</x:v>
      </x:c>
      <x:c r="E113" t="str">
        <x:v>España</x:v>
      </x:c>
      <x:c r="F113" t="n">
        <x:v>2</x:v>
      </x:c>
      <x:c r="G113" t="n">
        <x:v>2</x:v>
      </x:c>
      <x:c r="H113" t="str">
        <x:v>España</x:v>
      </x:c>
      <x:c r="I113" t="str">
        <x:v>Penales</x:v>
      </x:c>
      <x:c r="J113" t="n">
        <x:v>0</x:v>
      </x:c>
      <x:c r="K113" t="n">
        <x:v>1</x:v>
      </x:c>
      <x:c r="L113" t="str">
        <x:v>España</x:v>
      </x:c>
      <x:c r="M113" t="str">
        <x:v>90 minutos</x:v>
      </x:c>
      <x:c r="N113" t="n">
        <x:v>0</x:v>
      </x:c>
      <x:c r="O113" t="n">
        <x:v>3</x:v>
      </x:c>
      <x:c r="P113" t="n">
        <x:v>0</x:v>
      </x:c>
      <x:c r="Q113" t="n">
        <x:v>0</x:v>
      </x:c>
      <x:c r="R113" t="n">
        <x:v>0</x:v>
      </x:c>
      <x:c r="S113" t="n">
        <x:v>0</x:v>
      </x:c>
      <x:c r="T113" t="n">
        <x:v>0</x:v>
      </x:c>
      <x:c r="U113" t="n">
        <x:v>3</x:v>
      </x:c>
      <x:c r="V113" t="str">
        <x:v>OK</x:v>
      </x:c>
      <x:c r="W113" t="str">
        <x:v>Detalle 8vos publicado</x:v>
      </x:c>
    </x:row>
    <x:row r="114" ht="15" hidden="0" customHeight="1">
      <x:c r="A114" t="str">
        <x:v>8vos</x:v>
      </x:c>
      <x:c r="B114" t="str">
        <x:v>O6</x:v>
      </x:c>
      <x:c r="C114" t="str">
        <x:v>Jean</x:v>
      </x:c>
      <x:c r="D114" t="str">
        <x:v>Portugal</x:v>
      </x:c>
      <x:c r="E114" t="str">
        <x:v>España</x:v>
      </x:c>
      <x:c r="F114" t="n">
        <x:v>0</x:v>
      </x:c>
      <x:c r="G114" t="n">
        <x:v>1</x:v>
      </x:c>
      <x:c r="H114" t="str">
        <x:v>España</x:v>
      </x:c>
      <x:c r="I114" t="str">
        <x:v>90 minutos</x:v>
      </x:c>
      <x:c r="J114" t="n">
        <x:v>0</x:v>
      </x:c>
      <x:c r="K114" t="n">
        <x:v>1</x:v>
      </x:c>
      <x:c r="L114" t="str">
        <x:v>España</x:v>
      </x:c>
      <x:c r="M114" t="str">
        <x:v>90 minutos</x:v>
      </x:c>
      <x:c r="N114" t="n">
        <x:v>5</x:v>
      </x:c>
      <x:c r="O114" t="n">
        <x:v>3</x:v>
      </x:c>
      <x:c r="P114" t="n">
        <x:v>2</x:v>
      </x:c>
      <x:c r="Q114" t="n">
        <x:v>4</x:v>
      </x:c>
      <x:c r="R114" t="n">
        <x:v>2</x:v>
      </x:c>
      <x:c r="S114" t="n">
        <x:v>1</x:v>
      </x:c>
      <x:c r="T114" t="n">
        <x:v>1</x:v>
      </x:c>
      <x:c r="U114" t="n">
        <x:v>18</x:v>
      </x:c>
      <x:c r="V114" t="str">
        <x:v>OK</x:v>
      </x:c>
      <x:c r="W114" t="str">
        <x:v>Detalle 8vos publicado</x:v>
      </x:c>
    </x:row>
    <x:row r="115" ht="15" hidden="0" customHeight="1">
      <x:c r="A115" t="str">
        <x:v>8vos</x:v>
      </x:c>
      <x:c r="B115" t="str">
        <x:v>O6</x:v>
      </x:c>
      <x:c r="C115" t="str">
        <x:v>Juan</x:v>
      </x:c>
      <x:c r="D115" t="str">
        <x:v>Portugal</x:v>
      </x:c>
      <x:c r="E115" t="str">
        <x:v>España</x:v>
      </x:c>
      <x:c r="F115" t="n">
        <x:v>2</x:v>
      </x:c>
      <x:c r="G115" t="n">
        <x:v>2</x:v>
      </x:c>
      <x:c r="H115" t="str">
        <x:v>España</x:v>
      </x:c>
      <x:c r="I115" t="str">
        <x:v>Penales</x:v>
      </x:c>
      <x:c r="J115" t="n">
        <x:v>0</x:v>
      </x:c>
      <x:c r="K115" t="n">
        <x:v>1</x:v>
      </x:c>
      <x:c r="L115" t="str">
        <x:v>España</x:v>
      </x:c>
      <x:c r="M115" t="str">
        <x:v>90 minutos</x:v>
      </x:c>
      <x:c r="N115" t="n">
        <x:v>0</x:v>
      </x:c>
      <x:c r="O115" t="n">
        <x:v>3</x:v>
      </x:c>
      <x:c r="P115" t="n">
        <x:v>0</x:v>
      </x:c>
      <x:c r="Q115" t="n">
        <x:v>0</x:v>
      </x:c>
      <x:c r="R115" t="n">
        <x:v>0</x:v>
      </x:c>
      <x:c r="S115" t="n">
        <x:v>0</x:v>
      </x:c>
      <x:c r="T115" t="n">
        <x:v>0</x:v>
      </x:c>
      <x:c r="U115" t="n">
        <x:v>3</x:v>
      </x:c>
      <x:c r="V115" t="str">
        <x:v>OK</x:v>
      </x:c>
      <x:c r="W115" t="str">
        <x:v>Detalle 8vos publicado</x:v>
      </x:c>
    </x:row>
    <x:row r="116" ht="15" hidden="0" customHeight="1">
      <x:c r="A116" t="str">
        <x:v>8vos</x:v>
      </x:c>
      <x:c r="B116" t="str">
        <x:v>O6</x:v>
      </x:c>
      <x:c r="C116" t="str">
        <x:v>Jesús</x:v>
      </x:c>
      <x:c r="D116" t="str">
        <x:v>Portugal</x:v>
      </x:c>
      <x:c r="E116" t="str">
        <x:v>España</x:v>
      </x:c>
      <x:c r="F116" t="n">
        <x:v>1</x:v>
      </x:c>
      <x:c r="G116" t="n">
        <x:v>2</x:v>
      </x:c>
      <x:c r="H116" t="str">
        <x:v>España</x:v>
      </x:c>
      <x:c r="I116" t="str">
        <x:v>90 minutos</x:v>
      </x:c>
      <x:c r="J116" t="n">
        <x:v>0</x:v>
      </x:c>
      <x:c r="K116" t="n">
        <x:v>1</x:v>
      </x:c>
      <x:c r="L116" t="str">
        <x:v>España</x:v>
      </x:c>
      <x:c r="M116" t="str">
        <x:v>90 minutos</x:v>
      </x:c>
      <x:c r="N116" t="n">
        <x:v>5</x:v>
      </x:c>
      <x:c r="O116" t="n">
        <x:v>3</x:v>
      </x:c>
      <x:c r="P116" t="n">
        <x:v>2</x:v>
      </x:c>
      <x:c r="Q116" t="n">
        <x:v>0</x:v>
      </x:c>
      <x:c r="R116" t="n">
        <x:v>2</x:v>
      </x:c>
      <x:c r="S116" t="n">
        <x:v>0</x:v>
      </x:c>
      <x:c r="T116" t="n">
        <x:v>0</x:v>
      </x:c>
      <x:c r="U116" t="n">
        <x:v>12</x:v>
      </x:c>
      <x:c r="V116" t="str">
        <x:v>OK</x:v>
      </x:c>
      <x:c r="W116" t="str">
        <x:v>Detalle 8vos publicado</x:v>
      </x:c>
    </x:row>
    <x:row r="117" ht="15" hidden="0" customHeight="1">
      <x:c r="A117" t="str">
        <x:v>8vos</x:v>
      </x:c>
      <x:c r="B117" t="str">
        <x:v>O6</x:v>
      </x:c>
      <x:c r="C117" t="str">
        <x:v>Diego</x:v>
      </x:c>
      <x:c r="D117" t="str">
        <x:v>Portugal</x:v>
      </x:c>
      <x:c r="E117" t="str">
        <x:v>España</x:v>
      </x:c>
      <x:c r="F117" t="n">
        <x:v>1</x:v>
      </x:c>
      <x:c r="G117" t="n">
        <x:v>2</x:v>
      </x:c>
      <x:c r="H117" t="str">
        <x:v>España</x:v>
      </x:c>
      <x:c r="I117" t="str">
        <x:v>Suplementario</x:v>
      </x:c>
      <x:c r="J117" t="n">
        <x:v>0</x:v>
      </x:c>
      <x:c r="K117" t="n">
        <x:v>1</x:v>
      </x:c>
      <x:c r="L117" t="str">
        <x:v>España</x:v>
      </x:c>
      <x:c r="M117" t="str">
        <x:v>90 minutos</x:v>
      </x:c>
      <x:c r="N117" t="n">
        <x:v>0</x:v>
      </x:c>
      <x:c r="O117" t="n">
        <x:v>0</x:v>
      </x:c>
      <x:c r="P117" t="n">
        <x:v>0</x:v>
      </x:c>
      <x:c r="Q117" t="n">
        <x:v>0</x:v>
      </x:c>
      <x:c r="R117" t="n">
        <x:v>0</x:v>
      </x:c>
      <x:c r="S117" t="n">
        <x:v>0</x:v>
      </x:c>
      <x:c r="T117" t="n">
        <x:v>0</x:v>
      </x:c>
      <x:c r="U117" t="n">
        <x:v>0</x:v>
      </x:c>
      <x:c r="V117" t="str">
        <x:v>Revisar: ganador en 90 debe tener método 90 minutos</x:v>
      </x:c>
      <x:c r="W117" t="str">
        <x:v>Detalle 8vos publicado</x:v>
      </x:c>
    </x:row>
    <x:row r="118" ht="15" hidden="0" customHeight="1">
      <x:c r="A118" t="str">
        <x:v>8vos</x:v>
      </x:c>
      <x:c r="B118" t="str">
        <x:v>O6</x:v>
      </x:c>
      <x:c r="C118" t="str">
        <x:v>Aldo</x:v>
      </x:c>
      <x:c r="D118" t="str">
        <x:v>Portugal</x:v>
      </x:c>
      <x:c r="E118" t="str">
        <x:v>España</x:v>
      </x:c>
      <x:c r="F118" t="n">
        <x:v>2</x:v>
      </x:c>
      <x:c r="G118" t="n">
        <x:v>1</x:v>
      </x:c>
      <x:c r="H118" t="str">
        <x:v>Portugal</x:v>
      </x:c>
      <x:c r="I118" t="str">
        <x:v>90 minutos</x:v>
      </x:c>
      <x:c r="J118" t="n">
        <x:v>0</x:v>
      </x:c>
      <x:c r="K118" t="n">
        <x:v>1</x:v>
      </x:c>
      <x:c r="L118" t="str">
        <x:v>España</x:v>
      </x:c>
      <x:c r="M118" t="str">
        <x:v>90 minutos</x:v>
      </x:c>
      <x:c r="N118" t="n">
        <x:v>0</x:v>
      </x:c>
      <x:c r="O118" t="n">
        <x:v>0</x:v>
      </x:c>
      <x:c r="P118" t="n">
        <x:v>2</x:v>
      </x:c>
      <x:c r="Q118" t="n">
        <x:v>0</x:v>
      </x:c>
      <x:c r="R118" t="n">
        <x:v>0</x:v>
      </x:c>
      <x:c r="S118" t="n">
        <x:v>0</x:v>
      </x:c>
      <x:c r="T118" t="n">
        <x:v>1</x:v>
      </x:c>
      <x:c r="U118" t="n">
        <x:v>3</x:v>
      </x:c>
      <x:c r="V118" t="str">
        <x:v>OK</x:v>
      </x:c>
      <x:c r="W118" t="str">
        <x:v>Detalle 8vos publicado</x:v>
      </x:c>
    </x:row>
    <x:row r="119" ht="15" hidden="0" customHeight="1">
      <x:c r="A119" t="str">
        <x:v>8vos</x:v>
      </x:c>
      <x:c r="B119" t="str">
        <x:v>O6</x:v>
      </x:c>
      <x:c r="C119" t="str">
        <x:v>Javier</x:v>
      </x:c>
      <x:c r="D119" t="str">
        <x:v>Portugal</x:v>
      </x:c>
      <x:c r="E119" t="str">
        <x:v>España</x:v>
      </x:c>
      <x:c r="F119" t="n">
        <x:v>2</x:v>
      </x:c>
      <x:c r="G119" t="n">
        <x:v>1</x:v>
      </x:c>
      <x:c r="H119" t="str">
        <x:v>Portugal</x:v>
      </x:c>
      <x:c r="I119" t="str">
        <x:v>Suplementario</x:v>
      </x:c>
      <x:c r="J119" t="n">
        <x:v>0</x:v>
      </x:c>
      <x:c r="K119" t="n">
        <x:v>1</x:v>
      </x:c>
      <x:c r="L119" t="str">
        <x:v>España</x:v>
      </x:c>
      <x:c r="M119" t="str">
        <x:v>90 minutos</x:v>
      </x:c>
      <x:c r="N119" t="n">
        <x:v>0</x:v>
      </x:c>
      <x:c r="O119" t="n">
        <x:v>0</x:v>
      </x:c>
      <x:c r="P119" t="n">
        <x:v>0</x:v>
      </x:c>
      <x:c r="Q119" t="n">
        <x:v>0</x:v>
      </x:c>
      <x:c r="R119" t="n">
        <x:v>0</x:v>
      </x:c>
      <x:c r="S119" t="n">
        <x:v>0</x:v>
      </x:c>
      <x:c r="T119" t="n">
        <x:v>0</x:v>
      </x:c>
      <x:c r="U119" t="n">
        <x:v>0</x:v>
      </x:c>
      <x:c r="V119" t="str">
        <x:v>Revisar: ganador en 90 debe tener método 90 minutos</x:v>
      </x:c>
      <x:c r="W119" t="str">
        <x:v>Detalle 8vos publicado</x:v>
      </x:c>
    </x:row>
    <x:row r="120" ht="15" hidden="0" customHeight="1">
      <x:c r="A120" t="str">
        <x:v>8vos</x:v>
      </x:c>
      <x:c r="B120" t="str">
        <x:v>O6</x:v>
      </x:c>
      <x:c r="C120" t="str">
        <x:v>Gino</x:v>
      </x:c>
      <x:c r="D120" t="str">
        <x:v>Portugal</x:v>
      </x:c>
      <x:c r="E120" t="str">
        <x:v>España</x:v>
      </x:c>
      <x:c r="F120" t="n">
        <x:v>1</x:v>
      </x:c>
      <x:c r="G120" t="n">
        <x:v>3</x:v>
      </x:c>
      <x:c r="H120" t="str">
        <x:v>España</x:v>
      </x:c>
      <x:c r="I120" t="str">
        <x:v>90 minutos</x:v>
      </x:c>
      <x:c r="J120" t="n">
        <x:v>0</x:v>
      </x:c>
      <x:c r="K120" t="n">
        <x:v>1</x:v>
      </x:c>
      <x:c r="L120" t="str">
        <x:v>España</x:v>
      </x:c>
      <x:c r="M120" t="str">
        <x:v>90 minutos</x:v>
      </x:c>
      <x:c r="N120" t="n">
        <x:v>5</x:v>
      </x:c>
      <x:c r="O120" t="n">
        <x:v>3</x:v>
      </x:c>
      <x:c r="P120" t="n">
        <x:v>2</x:v>
      </x:c>
      <x:c r="Q120" t="n">
        <x:v>0</x:v>
      </x:c>
      <x:c r="R120" t="n">
        <x:v>0</x:v>
      </x:c>
      <x:c r="S120" t="n">
        <x:v>0</x:v>
      </x:c>
      <x:c r="T120" t="n">
        <x:v>0</x:v>
      </x:c>
      <x:c r="U120" t="n">
        <x:v>10</x:v>
      </x:c>
      <x:c r="V120" t="str">
        <x:v>OK</x:v>
      </x:c>
      <x:c r="W120" t="str">
        <x:v>Detalle 8vos publicado</x:v>
      </x:c>
    </x:row>
    <x:row r="121" ht="15" hidden="0" customHeight="1">
      <x:c r="A121" t="str">
        <x:v>8vos</x:v>
      </x:c>
      <x:c r="B121" t="str">
        <x:v>O6</x:v>
      </x:c>
      <x:c r="C121" t="str">
        <x:v>Manuel</x:v>
      </x:c>
      <x:c r="D121" t="str">
        <x:v>Portugal</x:v>
      </x:c>
      <x:c r="E121" t="str">
        <x:v>España</x:v>
      </x:c>
      <x:c r="F121" t="n">
        <x:v>3</x:v>
      </x:c>
      <x:c r="G121" t="n">
        <x:v>2</x:v>
      </x:c>
      <x:c r="H121" t="str">
        <x:v>Portugal</x:v>
      </x:c>
      <x:c r="I121" t="str">
        <x:v>Suplementario</x:v>
      </x:c>
      <x:c r="J121" t="n">
        <x:v>0</x:v>
      </x:c>
      <x:c r="K121" t="n">
        <x:v>1</x:v>
      </x:c>
      <x:c r="L121" t="str">
        <x:v>España</x:v>
      </x:c>
      <x:c r="M121" t="str">
        <x:v>90 minutos</x:v>
      </x:c>
      <x:c r="N121" t="n">
        <x:v>0</x:v>
      </x:c>
      <x:c r="O121" t="n">
        <x:v>0</x:v>
      </x:c>
      <x:c r="P121" t="n">
        <x:v>0</x:v>
      </x:c>
      <x:c r="Q121" t="n">
        <x:v>0</x:v>
      </x:c>
      <x:c r="R121" t="n">
        <x:v>0</x:v>
      </x:c>
      <x:c r="S121" t="n">
        <x:v>0</x:v>
      </x:c>
      <x:c r="T121" t="n">
        <x:v>0</x:v>
      </x:c>
      <x:c r="U121" t="n">
        <x:v>0</x:v>
      </x:c>
      <x:c r="V121" t="str">
        <x:v>Revisar: ganador en 90 debe tener método 90 minutos</x:v>
      </x:c>
      <x:c r="W121" t="str">
        <x:v>Detalle 8vos publicado</x:v>
      </x:c>
    </x:row>
    <x:row r="122" ht="15" hidden="0" customHeight="1">
      <x:c r="A122" t="str">
        <x:v>8vos</x:v>
      </x:c>
      <x:c r="B122" t="str">
        <x:v>O6</x:v>
      </x:c>
      <x:c r="C122" t="str">
        <x:v>Jorge</x:v>
      </x:c>
      <x:c r="D122" t="str">
        <x:v>Portugal</x:v>
      </x:c>
      <x:c r="E122" t="str">
        <x:v>España</x:v>
      </x:c>
      <x:c r="F122" t="n">
        <x:v>2</x:v>
      </x:c>
      <x:c r="G122" t="n">
        <x:v>4</x:v>
      </x:c>
      <x:c r="H122" t="str">
        <x:v>España</x:v>
      </x:c>
      <x:c r="I122" t="str">
        <x:v>90 minutos</x:v>
      </x:c>
      <x:c r="J122" t="n">
        <x:v>0</x:v>
      </x:c>
      <x:c r="K122" t="n">
        <x:v>1</x:v>
      </x:c>
      <x:c r="L122" t="str">
        <x:v>España</x:v>
      </x:c>
      <x:c r="M122" t="str">
        <x:v>90 minutos</x:v>
      </x:c>
      <x:c r="N122" t="n">
        <x:v>5</x:v>
      </x:c>
      <x:c r="O122" t="n">
        <x:v>3</x:v>
      </x:c>
      <x:c r="P122" t="n">
        <x:v>2</x:v>
      </x:c>
      <x:c r="Q122" t="n">
        <x:v>0</x:v>
      </x:c>
      <x:c r="R122" t="n">
        <x:v>0</x:v>
      </x:c>
      <x:c r="S122" t="n">
        <x:v>0</x:v>
      </x:c>
      <x:c r="T122" t="n">
        <x:v>0</x:v>
      </x:c>
      <x:c r="U122" t="n">
        <x:v>10</x:v>
      </x:c>
      <x:c r="V122" t="str">
        <x:v>OK</x:v>
      </x:c>
      <x:c r="W122" t="str">
        <x:v>Detalle 8vos publicado</x:v>
      </x:c>
    </x:row>
    <x:row r="123" ht="15" hidden="0" customHeight="1">
      <x:c r="A123" t="str">
        <x:v>8vos</x:v>
      </x:c>
      <x:c r="B123" t="str">
        <x:v>O6</x:v>
      </x:c>
      <x:c r="C123" t="str">
        <x:v>Daniel</x:v>
      </x:c>
      <x:c r="D123" t="str">
        <x:v>Portugal</x:v>
      </x:c>
      <x:c r="E123" t="str">
        <x:v>España</x:v>
      </x:c>
      <x:c r="F123" t="n">
        <x:v>2</x:v>
      </x:c>
      <x:c r="G123" t="n">
        <x:v>2</x:v>
      </x:c>
      <x:c r="H123" t="str">
        <x:v>Portugal</x:v>
      </x:c>
      <x:c r="I123" t="str">
        <x:v>Penales</x:v>
      </x:c>
      <x:c r="J123" t="n">
        <x:v>0</x:v>
      </x:c>
      <x:c r="K123" t="n">
        <x:v>1</x:v>
      </x:c>
      <x:c r="L123" t="str">
        <x:v>España</x:v>
      </x:c>
      <x:c r="M123" t="str">
        <x:v>90 minutos</x:v>
      </x:c>
      <x:c r="N123" t="n">
        <x:v>0</x:v>
      </x:c>
      <x:c r="O123" t="n">
        <x:v>0</x:v>
      </x:c>
      <x:c r="P123" t="n">
        <x:v>0</x:v>
      </x:c>
      <x:c r="Q123" t="n">
        <x:v>0</x:v>
      </x:c>
      <x:c r="R123" t="n">
        <x:v>0</x:v>
      </x:c>
      <x:c r="S123" t="n">
        <x:v>0</x:v>
      </x:c>
      <x:c r="T123" t="n">
        <x:v>0</x:v>
      </x:c>
      <x:c r="U123" t="n">
        <x:v>0</x:v>
      </x:c>
      <x:c r="V123" t="str">
        <x:v>OK</x:v>
      </x:c>
      <x:c r="W123" t="str">
        <x:v>Detalle 8vos publicado</x:v>
      </x:c>
    </x:row>
    <x:row r="124" ht="15" hidden="0" customHeight="1">
      <x:c r="A124" t="str">
        <x:v>8vos</x:v>
      </x:c>
      <x:c r="B124" t="str">
        <x:v>O6</x:v>
      </x:c>
      <x:c r="C124" t="str">
        <x:v>Arthur</x:v>
      </x:c>
      <x:c r="D124" t="str">
        <x:v>Portugal</x:v>
      </x:c>
      <x:c r="E124" t="str">
        <x:v>España</x:v>
      </x:c>
      <x:c r="F124" t="n">
        <x:v>2</x:v>
      </x:c>
      <x:c r="G124" t="n">
        <x:v>1</x:v>
      </x:c>
      <x:c r="H124" t="str">
        <x:v>Portugal</x:v>
      </x:c>
      <x:c r="I124" t="str">
        <x:v>90 minutos</x:v>
      </x:c>
      <x:c r="J124" t="n">
        <x:v>0</x:v>
      </x:c>
      <x:c r="K124" t="n">
        <x:v>1</x:v>
      </x:c>
      <x:c r="L124" t="str">
        <x:v>España</x:v>
      </x:c>
      <x:c r="M124" t="str">
        <x:v>90 minutos</x:v>
      </x:c>
      <x:c r="N124" t="n">
        <x:v>0</x:v>
      </x:c>
      <x:c r="O124" t="n">
        <x:v>0</x:v>
      </x:c>
      <x:c r="P124" t="n">
        <x:v>2</x:v>
      </x:c>
      <x:c r="Q124" t="n">
        <x:v>0</x:v>
      </x:c>
      <x:c r="R124" t="n">
        <x:v>0</x:v>
      </x:c>
      <x:c r="S124" t="n">
        <x:v>0</x:v>
      </x:c>
      <x:c r="T124" t="n">
        <x:v>1</x:v>
      </x:c>
      <x:c r="U124" t="n">
        <x:v>3</x:v>
      </x:c>
      <x:c r="V124" t="str">
        <x:v>OK</x:v>
      </x:c>
      <x:c r="W124" t="str">
        <x:v>Detalle 8vos publicado</x:v>
      </x:c>
    </x:row>
    <x:row r="125" ht="15" hidden="0" customHeight="1">
      <x:c r="A125" t="str">
        <x:v>8vos</x:v>
      </x:c>
      <x:c r="B125" t="str">
        <x:v>O6</x:v>
      </x:c>
      <x:c r="C125" t="str">
        <x:v>José Luis</x:v>
      </x:c>
      <x:c r="D125" t="str">
        <x:v>Portugal</x:v>
      </x:c>
      <x:c r="E125" t="str">
        <x:v>España</x:v>
      </x:c>
      <x:c r="F125"/>
      <x:c r="G125"/>
      <x:c r="H125" t="str">
        <x:v>Sin envío</x:v>
      </x:c>
      <x:c r="I125" t="str">
        <x:v>Sin envío</x:v>
      </x:c>
      <x:c r="J125" t="n">
        <x:v>0</x:v>
      </x:c>
      <x:c r="K125" t="n">
        <x:v>1</x:v>
      </x:c>
      <x:c r="L125" t="str">
        <x:v>España</x:v>
      </x:c>
      <x:c r="M125" t="str">
        <x:v>90 minutos</x:v>
      </x:c>
      <x:c r="N125" t="n">
        <x:v>0</x:v>
      </x:c>
      <x:c r="O125" t="n">
        <x:v>0</x:v>
      </x:c>
      <x:c r="P125" t="n">
        <x:v>0</x:v>
      </x:c>
      <x:c r="Q125" t="n">
        <x:v>0</x:v>
      </x:c>
      <x:c r="R125" t="n">
        <x:v>0</x:v>
      </x:c>
      <x:c r="S125" t="n">
        <x:v>0</x:v>
      </x:c>
      <x:c r="T125" t="n">
        <x:v>0</x:v>
      </x:c>
      <x:c r="U125" t="n">
        <x:v>0</x:v>
      </x:c>
      <x:c r="V125" t="str">
        <x:v>Sin respuesta CSV</x:v>
      </x:c>
      <x:c r="W125" t="str">
        <x:v>Detalle 8vos publicado</x:v>
      </x:c>
    </x:row>
    <x:row r="126" ht="15" hidden="0" customHeight="1">
      <x:c r="A126" t="str">
        <x:v>8vos</x:v>
      </x:c>
      <x:c r="B126" t="str">
        <x:v>O6</x:v>
      </x:c>
      <x:c r="C126" t="str">
        <x:v>Marcelo</x:v>
      </x:c>
      <x:c r="D126" t="str">
        <x:v>Portugal</x:v>
      </x:c>
      <x:c r="E126" t="str">
        <x:v>España</x:v>
      </x:c>
      <x:c r="F126"/>
      <x:c r="G126"/>
      <x:c r="H126" t="str">
        <x:v>Sin envío</x:v>
      </x:c>
      <x:c r="I126" t="str">
        <x:v>Sin envío</x:v>
      </x:c>
      <x:c r="J126" t="n">
        <x:v>0</x:v>
      </x:c>
      <x:c r="K126" t="n">
        <x:v>1</x:v>
      </x:c>
      <x:c r="L126" t="str">
        <x:v>España</x:v>
      </x:c>
      <x:c r="M126" t="str">
        <x:v>90 minutos</x:v>
      </x:c>
      <x:c r="N126" t="n">
        <x:v>0</x:v>
      </x:c>
      <x:c r="O126" t="n">
        <x:v>0</x:v>
      </x:c>
      <x:c r="P126" t="n">
        <x:v>0</x:v>
      </x:c>
      <x:c r="Q126" t="n">
        <x:v>0</x:v>
      </x:c>
      <x:c r="R126" t="n">
        <x:v>0</x:v>
      </x:c>
      <x:c r="S126" t="n">
        <x:v>0</x:v>
      </x:c>
      <x:c r="T126" t="n">
        <x:v>0</x:v>
      </x:c>
      <x:c r="U126" t="n">
        <x:v>0</x:v>
      </x:c>
      <x:c r="V126" t="str">
        <x:v>Sin respuesta CSV</x:v>
      </x:c>
      <x:c r="W126" t="str">
        <x:v>Detalle 8vos publicado</x:v>
      </x:c>
    </x:row>
    <x:row r="127" ht="15" hidden="0" customHeight="1">
      <x:c r="A127" t="str">
        <x:v>8vos</x:v>
      </x:c>
      <x:c r="B127" t="str">
        <x:v>O6</x:v>
      </x:c>
      <x:c r="C127" t="str">
        <x:v>Anny</x:v>
      </x:c>
      <x:c r="D127" t="str">
        <x:v>Portugal</x:v>
      </x:c>
      <x:c r="E127" t="str">
        <x:v>España</x:v>
      </x:c>
      <x:c r="F127" t="n">
        <x:v>2</x:v>
      </x:c>
      <x:c r="G127" t="n">
        <x:v>2</x:v>
      </x:c>
      <x:c r="H127" t="str">
        <x:v>España</x:v>
      </x:c>
      <x:c r="I127" t="str">
        <x:v>Penales</x:v>
      </x:c>
      <x:c r="J127" t="n">
        <x:v>0</x:v>
      </x:c>
      <x:c r="K127" t="n">
        <x:v>1</x:v>
      </x:c>
      <x:c r="L127" t="str">
        <x:v>España</x:v>
      </x:c>
      <x:c r="M127" t="str">
        <x:v>90 minutos</x:v>
      </x:c>
      <x:c r="N127" t="n">
        <x:v>0</x:v>
      </x:c>
      <x:c r="O127" t="n">
        <x:v>3</x:v>
      </x:c>
      <x:c r="P127" t="n">
        <x:v>0</x:v>
      </x:c>
      <x:c r="Q127" t="n">
        <x:v>0</x:v>
      </x:c>
      <x:c r="R127" t="n">
        <x:v>0</x:v>
      </x:c>
      <x:c r="S127" t="n">
        <x:v>0</x:v>
      </x:c>
      <x:c r="T127" t="n">
        <x:v>0</x:v>
      </x:c>
      <x:c r="U127" t="n">
        <x:v>3</x:v>
      </x:c>
      <x:c r="V127" t="str">
        <x:v>OK</x:v>
      </x:c>
      <x:c r="W127" t="str">
        <x:v>Detalle 8vos publicado</x:v>
      </x:c>
    </x:row>
    <x:row r="128" ht="15" hidden="0" customHeight="1">
      <x:c r="A128" t="str">
        <x:v>8vos</x:v>
      </x:c>
      <x:c r="B128" t="str">
        <x:v>O6</x:v>
      </x:c>
      <x:c r="C128" t="str">
        <x:v>Moisés</x:v>
      </x:c>
      <x:c r="D128" t="str">
        <x:v>Portugal</x:v>
      </x:c>
      <x:c r="E128" t="str">
        <x:v>España</x:v>
      </x:c>
      <x:c r="F128" t="n">
        <x:v>2</x:v>
      </x:c>
      <x:c r="G128" t="n">
        <x:v>1</x:v>
      </x:c>
      <x:c r="H128" t="str">
        <x:v>Portugal</x:v>
      </x:c>
      <x:c r="I128" t="str">
        <x:v>Penales</x:v>
      </x:c>
      <x:c r="J128" t="n">
        <x:v>0</x:v>
      </x:c>
      <x:c r="K128" t="n">
        <x:v>1</x:v>
      </x:c>
      <x:c r="L128" t="str">
        <x:v>España</x:v>
      </x:c>
      <x:c r="M128" t="str">
        <x:v>90 minutos</x:v>
      </x:c>
      <x:c r="N128" t="n">
        <x:v>0</x:v>
      </x:c>
      <x:c r="O128" t="n">
        <x:v>0</x:v>
      </x:c>
      <x:c r="P128" t="n">
        <x:v>0</x:v>
      </x:c>
      <x:c r="Q128" t="n">
        <x:v>0</x:v>
      </x:c>
      <x:c r="R128" t="n">
        <x:v>0</x:v>
      </x:c>
      <x:c r="S128" t="n">
        <x:v>0</x:v>
      </x:c>
      <x:c r="T128" t="n">
        <x:v>0</x:v>
      </x:c>
      <x:c r="U128" t="n">
        <x:v>0</x:v>
      </x:c>
      <x:c r="V128" t="str">
        <x:v>Revisar: ganador en 90 debe tener método 90 minutos</x:v>
      </x:c>
      <x:c r="W128" t="str">
        <x:v>Detalle 8vos publicado</x:v>
      </x:c>
    </x:row>
    <x:row r="129" ht="15" hidden="0" customHeight="1">
      <x:c r="A129" t="str">
        <x:v>8vos</x:v>
      </x:c>
      <x:c r="B129" t="str">
        <x:v>O6</x:v>
      </x:c>
      <x:c r="C129" t="str">
        <x:v>Alex</x:v>
      </x:c>
      <x:c r="D129" t="str">
        <x:v>Portugal</x:v>
      </x:c>
      <x:c r="E129" t="str">
        <x:v>España</x:v>
      </x:c>
      <x:c r="F129" t="n">
        <x:v>2</x:v>
      </x:c>
      <x:c r="G129" t="n">
        <x:v>3</x:v>
      </x:c>
      <x:c r="H129" t="str">
        <x:v>España</x:v>
      </x:c>
      <x:c r="I129" t="str">
        <x:v>Penales</x:v>
      </x:c>
      <x:c r="J129" t="n">
        <x:v>0</x:v>
      </x:c>
      <x:c r="K129" t="n">
        <x:v>1</x:v>
      </x:c>
      <x:c r="L129" t="str">
        <x:v>España</x:v>
      </x:c>
      <x:c r="M129" t="str">
        <x:v>90 minutos</x:v>
      </x:c>
      <x:c r="N129" t="n">
        <x:v>0</x:v>
      </x:c>
      <x:c r="O129" t="n">
        <x:v>0</x:v>
      </x:c>
      <x:c r="P129" t="n">
        <x:v>0</x:v>
      </x:c>
      <x:c r="Q129" t="n">
        <x:v>0</x:v>
      </x:c>
      <x:c r="R129" t="n">
        <x:v>0</x:v>
      </x:c>
      <x:c r="S129" t="n">
        <x:v>0</x:v>
      </x:c>
      <x:c r="T129" t="n">
        <x:v>0</x:v>
      </x:c>
      <x:c r="U129" t="n">
        <x:v>0</x:v>
      </x:c>
      <x:c r="V129" t="str">
        <x:v>Revisar: ganador en 90 debe tener método 90 minutos</x:v>
      </x:c>
      <x:c r="W129" t="str">
        <x:v>Detalle 8vos publicado</x:v>
      </x:c>
    </x:row>
    <x:row r="130" ht="15" hidden="0" customHeight="1">
      <x:c r="A130" t="str">
        <x:v>8vos</x:v>
      </x:c>
      <x:c r="B130" t="str">
        <x:v>O6</x:v>
      </x:c>
      <x:c r="C130" t="str">
        <x:v>Omar</x:v>
      </x:c>
      <x:c r="D130" t="str">
        <x:v>Portugal</x:v>
      </x:c>
      <x:c r="E130" t="str">
        <x:v>España</x:v>
      </x:c>
      <x:c r="F130"/>
      <x:c r="G130"/>
      <x:c r="H130" t="str">
        <x:v>Sin envío</x:v>
      </x:c>
      <x:c r="I130" t="str">
        <x:v>Sin envío</x:v>
      </x:c>
      <x:c r="J130" t="n">
        <x:v>0</x:v>
      </x:c>
      <x:c r="K130" t="n">
        <x:v>1</x:v>
      </x:c>
      <x:c r="L130" t="str">
        <x:v>España</x:v>
      </x:c>
      <x:c r="M130" t="str">
        <x:v>90 minutos</x:v>
      </x:c>
      <x:c r="N130" t="n">
        <x:v>0</x:v>
      </x:c>
      <x:c r="O130" t="n">
        <x:v>0</x:v>
      </x:c>
      <x:c r="P130" t="n">
        <x:v>0</x:v>
      </x:c>
      <x:c r="Q130" t="n">
        <x:v>0</x:v>
      </x:c>
      <x:c r="R130" t="n">
        <x:v>0</x:v>
      </x:c>
      <x:c r="S130" t="n">
        <x:v>0</x:v>
      </x:c>
      <x:c r="T130" t="n">
        <x:v>0</x:v>
      </x:c>
      <x:c r="U130" t="n">
        <x:v>0</x:v>
      </x:c>
      <x:c r="V130" t="str">
        <x:v>Sin respuesta CSV</x:v>
      </x:c>
      <x:c r="W130" t="str">
        <x:v>Detalle 8vos publicado</x:v>
      </x:c>
    </x:row>
    <x:row r="131" ht="15" hidden="0" customHeight="1">
      <x:c r="A131" t="str">
        <x:v>8vos</x:v>
      </x:c>
      <x:c r="B131" t="str">
        <x:v>O6</x:v>
      </x:c>
      <x:c r="C131" t="str">
        <x:v>Fernando</x:v>
      </x:c>
      <x:c r="D131" t="str">
        <x:v>Portugal</x:v>
      </x:c>
      <x:c r="E131" t="str">
        <x:v>España</x:v>
      </x:c>
      <x:c r="F131" t="n">
        <x:v>2</x:v>
      </x:c>
      <x:c r="G131" t="n">
        <x:v>2</x:v>
      </x:c>
      <x:c r="H131" t="str">
        <x:v>Portugal</x:v>
      </x:c>
      <x:c r="I131" t="str">
        <x:v>Penales</x:v>
      </x:c>
      <x:c r="J131" t="n">
        <x:v>0</x:v>
      </x:c>
      <x:c r="K131" t="n">
        <x:v>1</x:v>
      </x:c>
      <x:c r="L131" t="str">
        <x:v>España</x:v>
      </x:c>
      <x:c r="M131" t="str">
        <x:v>90 minutos</x:v>
      </x:c>
      <x:c r="N131" t="n">
        <x:v>0</x:v>
      </x:c>
      <x:c r="O131" t="n">
        <x:v>0</x:v>
      </x:c>
      <x:c r="P131" t="n">
        <x:v>0</x:v>
      </x:c>
      <x:c r="Q131" t="n">
        <x:v>0</x:v>
      </x:c>
      <x:c r="R131" t="n">
        <x:v>0</x:v>
      </x:c>
      <x:c r="S131" t="n">
        <x:v>0</x:v>
      </x:c>
      <x:c r="T131" t="n">
        <x:v>0</x:v>
      </x:c>
      <x:c r="U131" t="n">
        <x:v>0</x:v>
      </x:c>
      <x:c r="V131" t="str">
        <x:v>OK</x:v>
      </x:c>
      <x:c r="W131" t="str">
        <x:v>Detalle 8vos publicado</x:v>
      </x:c>
    </x:row>
    <x:row r="132" ht="15" hidden="0" customHeight="1">
      <x:c r="A132" t="str">
        <x:v>8vos</x:v>
      </x:c>
      <x:c r="B132" t="str">
        <x:v>O6</x:v>
      </x:c>
      <x:c r="C132" t="str">
        <x:v>Diana</x:v>
      </x:c>
      <x:c r="D132" t="str">
        <x:v>Portugal</x:v>
      </x:c>
      <x:c r="E132" t="str">
        <x:v>España</x:v>
      </x:c>
      <x:c r="F132" t="n">
        <x:v>1</x:v>
      </x:c>
      <x:c r="G132" t="n">
        <x:v>2</x:v>
      </x:c>
      <x:c r="H132" t="str">
        <x:v>España</x:v>
      </x:c>
      <x:c r="I132" t="str">
        <x:v>Suplementario</x:v>
      </x:c>
      <x:c r="J132" t="n">
        <x:v>0</x:v>
      </x:c>
      <x:c r="K132" t="n">
        <x:v>1</x:v>
      </x:c>
      <x:c r="L132" t="str">
        <x:v>España</x:v>
      </x:c>
      <x:c r="M132" t="str">
        <x:v>90 minutos</x:v>
      </x:c>
      <x:c r="N132" t="n">
        <x:v>0</x:v>
      </x:c>
      <x:c r="O132" t="n">
        <x:v>0</x:v>
      </x:c>
      <x:c r="P132" t="n">
        <x:v>0</x:v>
      </x:c>
      <x:c r="Q132" t="n">
        <x:v>0</x:v>
      </x:c>
      <x:c r="R132" t="n">
        <x:v>0</x:v>
      </x:c>
      <x:c r="S132" t="n">
        <x:v>0</x:v>
      </x:c>
      <x:c r="T132" t="n">
        <x:v>0</x:v>
      </x:c>
      <x:c r="U132" t="n">
        <x:v>0</x:v>
      </x:c>
      <x:c r="V132" t="str">
        <x:v>Revisar: ganador en 90 debe tener método 90 minutos</x:v>
      </x:c>
      <x:c r="W132" t="str">
        <x:v>Detalle 8vos publicado</x:v>
      </x:c>
    </x:row>
    <x:row r="133" ht="15" hidden="0" customHeight="1">
      <x:c r="A133" t="str">
        <x:v>8vos</x:v>
      </x:c>
      <x:c r="B133" t="str">
        <x:v>O6</x:v>
      </x:c>
      <x:c r="C133" t="str">
        <x:v>Óscar</x:v>
      </x:c>
      <x:c r="D133" t="str">
        <x:v>Portugal</x:v>
      </x:c>
      <x:c r="E133" t="str">
        <x:v>España</x:v>
      </x:c>
      <x:c r="F133" t="n">
        <x:v>2</x:v>
      </x:c>
      <x:c r="G133" t="n">
        <x:v>3</x:v>
      </x:c>
      <x:c r="H133" t="str">
        <x:v>España</x:v>
      </x:c>
      <x:c r="I133" t="str">
        <x:v>Suplementario</x:v>
      </x:c>
      <x:c r="J133" t="n">
        <x:v>0</x:v>
      </x:c>
      <x:c r="K133" t="n">
        <x:v>1</x:v>
      </x:c>
      <x:c r="L133" t="str">
        <x:v>España</x:v>
      </x:c>
      <x:c r="M133" t="str">
        <x:v>90 minutos</x:v>
      </x:c>
      <x:c r="N133" t="n">
        <x:v>0</x:v>
      </x:c>
      <x:c r="O133" t="n">
        <x:v>0</x:v>
      </x:c>
      <x:c r="P133" t="n">
        <x:v>0</x:v>
      </x:c>
      <x:c r="Q133" t="n">
        <x:v>0</x:v>
      </x:c>
      <x:c r="R133" t="n">
        <x:v>0</x:v>
      </x:c>
      <x:c r="S133" t="n">
        <x:v>0</x:v>
      </x:c>
      <x:c r="T133" t="n">
        <x:v>0</x:v>
      </x:c>
      <x:c r="U133" t="n">
        <x:v>0</x:v>
      </x:c>
      <x:c r="V133" t="str">
        <x:v>Revisar: ganador en 90 debe tener método 90 minutos</x:v>
      </x:c>
      <x:c r="W133" t="str">
        <x:v>Detalle 8vos publicado</x:v>
      </x:c>
    </x:row>
    <x:row r="134" ht="15" hidden="0" customHeight="1">
      <x:c r="A134" t="str">
        <x:v>8vos</x:v>
      </x:c>
      <x:c r="B134" t="str">
        <x:v>O7</x:v>
      </x:c>
      <x:c r="C134" t="str">
        <x:v>Freddy</x:v>
      </x:c>
      <x:c r="D134" t="str">
        <x:v>Suiza</x:v>
      </x:c>
      <x:c r="E134" t="str">
        <x:v>Colombia</x:v>
      </x:c>
      <x:c r="F134" t="n">
        <x:v>1</x:v>
      </x:c>
      <x:c r="G134" t="n">
        <x:v>2</x:v>
      </x:c>
      <x:c r="H134" t="str">
        <x:v>Colombia</x:v>
      </x:c>
      <x:c r="I134" t="str">
        <x:v>90 minutos</x:v>
      </x:c>
      <x:c r="J134" t="n">
        <x:v>0</x:v>
      </x:c>
      <x:c r="K134" t="n">
        <x:v>0</x:v>
      </x:c>
      <x:c r="L134" t="str">
        <x:v>Suiza</x:v>
      </x:c>
      <x:c r="M134" t="str">
        <x:v>Penales</x:v>
      </x:c>
      <x:c r="N134" t="n">
        <x:v>0</x:v>
      </x:c>
      <x:c r="O134" t="n">
        <x:v>0</x:v>
      </x:c>
      <x:c r="P134" t="n">
        <x:v>0</x:v>
      </x:c>
      <x:c r="Q134" t="n">
        <x:v>0</x:v>
      </x:c>
      <x:c r="R134" t="n">
        <x:v>0</x:v>
      </x:c>
      <x:c r="S134" t="n">
        <x:v>0</x:v>
      </x:c>
      <x:c r="T134" t="n">
        <x:v>0</x:v>
      </x:c>
      <x:c r="U134" t="n">
        <x:v>0</x:v>
      </x:c>
      <x:c r="V134" t="str">
        <x:v>OK</x:v>
      </x:c>
      <x:c r="W134" t="str">
        <x:v>Detalle 8vos publicado</x:v>
      </x:c>
    </x:row>
    <x:row r="135" ht="15" hidden="0" customHeight="1">
      <x:c r="A135" t="str">
        <x:v>8vos</x:v>
      </x:c>
      <x:c r="B135" t="str">
        <x:v>O7</x:v>
      </x:c>
      <x:c r="C135" t="str">
        <x:v>Gabriela</x:v>
      </x:c>
      <x:c r="D135" t="str">
        <x:v>Suiza</x:v>
      </x:c>
      <x:c r="E135" t="str">
        <x:v>Colombia</x:v>
      </x:c>
      <x:c r="F135" t="n">
        <x:v>0</x:v>
      </x:c>
      <x:c r="G135" t="n">
        <x:v>2</x:v>
      </x:c>
      <x:c r="H135" t="str">
        <x:v>Colombia</x:v>
      </x:c>
      <x:c r="I135" t="str">
        <x:v>90 minutos</x:v>
      </x:c>
      <x:c r="J135" t="n">
        <x:v>0</x:v>
      </x:c>
      <x:c r="K135" t="n">
        <x:v>0</x:v>
      </x:c>
      <x:c r="L135" t="str">
        <x:v>Suiza</x:v>
      </x:c>
      <x:c r="M135" t="str">
        <x:v>Penales</x:v>
      </x:c>
      <x:c r="N135" t="n">
        <x:v>0</x:v>
      </x:c>
      <x:c r="O135" t="n">
        <x:v>0</x:v>
      </x:c>
      <x:c r="P135" t="n">
        <x:v>0</x:v>
      </x:c>
      <x:c r="Q135" t="n">
        <x:v>0</x:v>
      </x:c>
      <x:c r="R135" t="n">
        <x:v>0</x:v>
      </x:c>
      <x:c r="S135" t="n">
        <x:v>1</x:v>
      </x:c>
      <x:c r="T135" t="n">
        <x:v>0</x:v>
      </x:c>
      <x:c r="U135" t="n">
        <x:v>1</x:v>
      </x:c>
      <x:c r="V135" t="str">
        <x:v>OK</x:v>
      </x:c>
      <x:c r="W135" t="str">
        <x:v>Detalle 8vos publicado</x:v>
      </x:c>
    </x:row>
    <x:row r="136" ht="15" hidden="0" customHeight="1">
      <x:c r="A136" t="str">
        <x:v>8vos</x:v>
      </x:c>
      <x:c r="B136" t="str">
        <x:v>O7</x:v>
      </x:c>
      <x:c r="C136" t="str">
        <x:v>Jean</x:v>
      </x:c>
      <x:c r="D136" t="str">
        <x:v>Suiza</x:v>
      </x:c>
      <x:c r="E136" t="str">
        <x:v>Colombia</x:v>
      </x:c>
      <x:c r="F136" t="n">
        <x:v>0</x:v>
      </x:c>
      <x:c r="G136" t="n">
        <x:v>1</x:v>
      </x:c>
      <x:c r="H136" t="str">
        <x:v>Colombia</x:v>
      </x:c>
      <x:c r="I136" t="str">
        <x:v>90 minutos</x:v>
      </x:c>
      <x:c r="J136" t="n">
        <x:v>0</x:v>
      </x:c>
      <x:c r="K136" t="n">
        <x:v>0</x:v>
      </x:c>
      <x:c r="L136" t="str">
        <x:v>Suiza</x:v>
      </x:c>
      <x:c r="M136" t="str">
        <x:v>Penales</x:v>
      </x:c>
      <x:c r="N136" t="n">
        <x:v>0</x:v>
      </x:c>
      <x:c r="O136" t="n">
        <x:v>0</x:v>
      </x:c>
      <x:c r="P136" t="n">
        <x:v>0</x:v>
      </x:c>
      <x:c r="Q136" t="n">
        <x:v>0</x:v>
      </x:c>
      <x:c r="R136" t="n">
        <x:v>0</x:v>
      </x:c>
      <x:c r="S136" t="n">
        <x:v>1</x:v>
      </x:c>
      <x:c r="T136" t="n">
        <x:v>0</x:v>
      </x:c>
      <x:c r="U136" t="n">
        <x:v>1</x:v>
      </x:c>
      <x:c r="V136" t="str">
        <x:v>OK</x:v>
      </x:c>
      <x:c r="W136" t="str">
        <x:v>Detalle 8vos publicado</x:v>
      </x:c>
    </x:row>
    <x:row r="137" ht="15" hidden="0" customHeight="1">
      <x:c r="A137" t="str">
        <x:v>8vos</x:v>
      </x:c>
      <x:c r="B137" t="str">
        <x:v>O7</x:v>
      </x:c>
      <x:c r="C137" t="str">
        <x:v>Juan</x:v>
      </x:c>
      <x:c r="D137" t="str">
        <x:v>Suiza</x:v>
      </x:c>
      <x:c r="E137" t="str">
        <x:v>Colombia</x:v>
      </x:c>
      <x:c r="F137" t="n">
        <x:v>1</x:v>
      </x:c>
      <x:c r="G137" t="n">
        <x:v>2</x:v>
      </x:c>
      <x:c r="H137" t="str">
        <x:v>Colombia</x:v>
      </x:c>
      <x:c r="I137" t="str">
        <x:v>90 minutos</x:v>
      </x:c>
      <x:c r="J137" t="n">
        <x:v>0</x:v>
      </x:c>
      <x:c r="K137" t="n">
        <x:v>0</x:v>
      </x:c>
      <x:c r="L137" t="str">
        <x:v>Suiza</x:v>
      </x:c>
      <x:c r="M137" t="str">
        <x:v>Penales</x:v>
      </x:c>
      <x:c r="N137" t="n">
        <x:v>0</x:v>
      </x:c>
      <x:c r="O137" t="n">
        <x:v>0</x:v>
      </x:c>
      <x:c r="P137" t="n">
        <x:v>0</x:v>
      </x:c>
      <x:c r="Q137" t="n">
        <x:v>0</x:v>
      </x:c>
      <x:c r="R137" t="n">
        <x:v>0</x:v>
      </x:c>
      <x:c r="S137" t="n">
        <x:v>0</x:v>
      </x:c>
      <x:c r="T137" t="n">
        <x:v>0</x:v>
      </x:c>
      <x:c r="U137" t="n">
        <x:v>0</x:v>
      </x:c>
      <x:c r="V137" t="str">
        <x:v>OK</x:v>
      </x:c>
      <x:c r="W137" t="str">
        <x:v>Detalle 8vos publicado</x:v>
      </x:c>
    </x:row>
    <x:row r="138" ht="15" hidden="0" customHeight="1">
      <x:c r="A138" t="str">
        <x:v>8vos</x:v>
      </x:c>
      <x:c r="B138" t="str">
        <x:v>O7</x:v>
      </x:c>
      <x:c r="C138" t="str">
        <x:v>Jesús</x:v>
      </x:c>
      <x:c r="D138" t="str">
        <x:v>Suiza</x:v>
      </x:c>
      <x:c r="E138" t="str">
        <x:v>Colombia</x:v>
      </x:c>
      <x:c r="F138" t="n">
        <x:v>0</x:v>
      </x:c>
      <x:c r="G138" t="n">
        <x:v>2</x:v>
      </x:c>
      <x:c r="H138" t="str">
        <x:v>Colombia</x:v>
      </x:c>
      <x:c r="I138" t="str">
        <x:v>90 minutos</x:v>
      </x:c>
      <x:c r="J138" t="n">
        <x:v>0</x:v>
      </x:c>
      <x:c r="K138" t="n">
        <x:v>0</x:v>
      </x:c>
      <x:c r="L138" t="str">
        <x:v>Suiza</x:v>
      </x:c>
      <x:c r="M138" t="str">
        <x:v>Penales</x:v>
      </x:c>
      <x:c r="N138" t="n">
        <x:v>0</x:v>
      </x:c>
      <x:c r="O138" t="n">
        <x:v>0</x:v>
      </x:c>
      <x:c r="P138" t="n">
        <x:v>0</x:v>
      </x:c>
      <x:c r="Q138" t="n">
        <x:v>0</x:v>
      </x:c>
      <x:c r="R138" t="n">
        <x:v>0</x:v>
      </x:c>
      <x:c r="S138" t="n">
        <x:v>1</x:v>
      </x:c>
      <x:c r="T138" t="n">
        <x:v>0</x:v>
      </x:c>
      <x:c r="U138" t="n">
        <x:v>1</x:v>
      </x:c>
      <x:c r="V138" t="str">
        <x:v>OK</x:v>
      </x:c>
      <x:c r="W138" t="str">
        <x:v>Detalle 8vos publicado</x:v>
      </x:c>
    </x:row>
    <x:row r="139" ht="15" hidden="0" customHeight="1">
      <x:c r="A139" t="str">
        <x:v>8vos</x:v>
      </x:c>
      <x:c r="B139" t="str">
        <x:v>O7</x:v>
      </x:c>
      <x:c r="C139" t="str">
        <x:v>Diego</x:v>
      </x:c>
      <x:c r="D139" t="str">
        <x:v>Suiza</x:v>
      </x:c>
      <x:c r="E139" t="str">
        <x:v>Colombia</x:v>
      </x:c>
      <x:c r="F139" t="n">
        <x:v>1</x:v>
      </x:c>
      <x:c r="G139" t="n">
        <x:v>1</x:v>
      </x:c>
      <x:c r="H139" t="str">
        <x:v>Colombia</x:v>
      </x:c>
      <x:c r="I139" t="str">
        <x:v>Penales</x:v>
      </x:c>
      <x:c r="J139" t="n">
        <x:v>0</x:v>
      </x:c>
      <x:c r="K139" t="n">
        <x:v>0</x:v>
      </x:c>
      <x:c r="L139" t="str">
        <x:v>Suiza</x:v>
      </x:c>
      <x:c r="M139" t="str">
        <x:v>Penales</x:v>
      </x:c>
      <x:c r="N139" t="n">
        <x:v>5</x:v>
      </x:c>
      <x:c r="O139" t="n">
        <x:v>0</x:v>
      </x:c>
      <x:c r="P139" t="n">
        <x:v>2</x:v>
      </x:c>
      <x:c r="Q139" t="n">
        <x:v>0</x:v>
      </x:c>
      <x:c r="R139" t="n">
        <x:v>2</x:v>
      </x:c>
      <x:c r="S139" t="n">
        <x:v>0</x:v>
      </x:c>
      <x:c r="T139" t="n">
        <x:v>0</x:v>
      </x:c>
      <x:c r="U139" t="n">
        <x:v>9</x:v>
      </x:c>
      <x:c r="V139" t="str">
        <x:v>OK</x:v>
      </x:c>
      <x:c r="W139" t="str">
        <x:v>Detalle 8vos publicado</x:v>
      </x:c>
    </x:row>
    <x:row r="140" ht="15" hidden="0" customHeight="1">
      <x:c r="A140" t="str">
        <x:v>8vos</x:v>
      </x:c>
      <x:c r="B140" t="str">
        <x:v>O7</x:v>
      </x:c>
      <x:c r="C140" t="str">
        <x:v>Aldo</x:v>
      </x:c>
      <x:c r="D140" t="str">
        <x:v>Suiza</x:v>
      </x:c>
      <x:c r="E140" t="str">
        <x:v>Colombia</x:v>
      </x:c>
      <x:c r="F140" t="n">
        <x:v>1</x:v>
      </x:c>
      <x:c r="G140" t="n">
        <x:v>2</x:v>
      </x:c>
      <x:c r="H140" t="str">
        <x:v>Colombia</x:v>
      </x:c>
      <x:c r="I140" t="str">
        <x:v>90 minutos</x:v>
      </x:c>
      <x:c r="J140" t="n">
        <x:v>0</x:v>
      </x:c>
      <x:c r="K140" t="n">
        <x:v>0</x:v>
      </x:c>
      <x:c r="L140" t="str">
        <x:v>Suiza</x:v>
      </x:c>
      <x:c r="M140" t="str">
        <x:v>Penales</x:v>
      </x:c>
      <x:c r="N140" t="n">
        <x:v>0</x:v>
      </x:c>
      <x:c r="O140" t="n">
        <x:v>0</x:v>
      </x:c>
      <x:c r="P140" t="n">
        <x:v>0</x:v>
      </x:c>
      <x:c r="Q140" t="n">
        <x:v>0</x:v>
      </x:c>
      <x:c r="R140" t="n">
        <x:v>0</x:v>
      </x:c>
      <x:c r="S140" t="n">
        <x:v>0</x:v>
      </x:c>
      <x:c r="T140" t="n">
        <x:v>0</x:v>
      </x:c>
      <x:c r="U140" t="n">
        <x:v>0</x:v>
      </x:c>
      <x:c r="V140" t="str">
        <x:v>OK</x:v>
      </x:c>
      <x:c r="W140" t="str">
        <x:v>Detalle 8vos publicado</x:v>
      </x:c>
    </x:row>
    <x:row r="141" ht="15" hidden="0" customHeight="1">
      <x:c r="A141" t="str">
        <x:v>8vos</x:v>
      </x:c>
      <x:c r="B141" t="str">
        <x:v>O7</x:v>
      </x:c>
      <x:c r="C141" t="str">
        <x:v>Javier</x:v>
      </x:c>
      <x:c r="D141" t="str">
        <x:v>Suiza</x:v>
      </x:c>
      <x:c r="E141" t="str">
        <x:v>Colombia</x:v>
      </x:c>
      <x:c r="F141" t="n">
        <x:v>1</x:v>
      </x:c>
      <x:c r="G141" t="n">
        <x:v>2</x:v>
      </x:c>
      <x:c r="H141" t="str">
        <x:v>Colombia</x:v>
      </x:c>
      <x:c r="I141" t="str">
        <x:v>Suplementario</x:v>
      </x:c>
      <x:c r="J141" t="n">
        <x:v>0</x:v>
      </x:c>
      <x:c r="K141" t="n">
        <x:v>0</x:v>
      </x:c>
      <x:c r="L141" t="str">
        <x:v>Suiza</x:v>
      </x:c>
      <x:c r="M141" t="str">
        <x:v>Penales</x:v>
      </x:c>
      <x:c r="N141" t="n">
        <x:v>0</x:v>
      </x:c>
      <x:c r="O141" t="n">
        <x:v>0</x:v>
      </x:c>
      <x:c r="P141" t="n">
        <x:v>0</x:v>
      </x:c>
      <x:c r="Q141" t="n">
        <x:v>0</x:v>
      </x:c>
      <x:c r="R141" t="n">
        <x:v>0</x:v>
      </x:c>
      <x:c r="S141" t="n">
        <x:v>0</x:v>
      </x:c>
      <x:c r="T141" t="n">
        <x:v>0</x:v>
      </x:c>
      <x:c r="U141" t="n">
        <x:v>0</x:v>
      </x:c>
      <x:c r="V141" t="str">
        <x:v>Revisar: ganador en 90 debe tener método 90 minutos</x:v>
      </x:c>
      <x:c r="W141" t="str">
        <x:v>Detalle 8vos publicado</x:v>
      </x:c>
    </x:row>
    <x:row r="142" ht="15" hidden="0" customHeight="1">
      <x:c r="A142" t="str">
        <x:v>8vos</x:v>
      </x:c>
      <x:c r="B142" t="str">
        <x:v>O7</x:v>
      </x:c>
      <x:c r="C142" t="str">
        <x:v>Gino</x:v>
      </x:c>
      <x:c r="D142" t="str">
        <x:v>Suiza</x:v>
      </x:c>
      <x:c r="E142" t="str">
        <x:v>Colombia</x:v>
      </x:c>
      <x:c r="F142" t="n">
        <x:v>0</x:v>
      </x:c>
      <x:c r="G142" t="n">
        <x:v>2</x:v>
      </x:c>
      <x:c r="H142" t="str">
        <x:v>Colombia</x:v>
      </x:c>
      <x:c r="I142" t="str">
        <x:v>90 minutos</x:v>
      </x:c>
      <x:c r="J142" t="n">
        <x:v>0</x:v>
      </x:c>
      <x:c r="K142" t="n">
        <x:v>0</x:v>
      </x:c>
      <x:c r="L142" t="str">
        <x:v>Suiza</x:v>
      </x:c>
      <x:c r="M142" t="str">
        <x:v>Penales</x:v>
      </x:c>
      <x:c r="N142" t="n">
        <x:v>0</x:v>
      </x:c>
      <x:c r="O142" t="n">
        <x:v>0</x:v>
      </x:c>
      <x:c r="P142" t="n">
        <x:v>0</x:v>
      </x:c>
      <x:c r="Q142" t="n">
        <x:v>0</x:v>
      </x:c>
      <x:c r="R142" t="n">
        <x:v>0</x:v>
      </x:c>
      <x:c r="S142" t="n">
        <x:v>1</x:v>
      </x:c>
      <x:c r="T142" t="n">
        <x:v>0</x:v>
      </x:c>
      <x:c r="U142" t="n">
        <x:v>1</x:v>
      </x:c>
      <x:c r="V142" t="str">
        <x:v>OK</x:v>
      </x:c>
      <x:c r="W142" t="str">
        <x:v>Detalle 8vos publicado</x:v>
      </x:c>
    </x:row>
    <x:row r="143" ht="15" hidden="0" customHeight="1">
      <x:c r="A143" t="str">
        <x:v>8vos</x:v>
      </x:c>
      <x:c r="B143" t="str">
        <x:v>O7</x:v>
      </x:c>
      <x:c r="C143" t="str">
        <x:v>Manuel</x:v>
      </x:c>
      <x:c r="D143" t="str">
        <x:v>Suiza</x:v>
      </x:c>
      <x:c r="E143" t="str">
        <x:v>Colombia</x:v>
      </x:c>
      <x:c r="F143" t="n">
        <x:v>2</x:v>
      </x:c>
      <x:c r="G143" t="n">
        <x:v>2</x:v>
      </x:c>
      <x:c r="H143" t="str">
        <x:v>Colombia</x:v>
      </x:c>
      <x:c r="I143" t="str">
        <x:v>Penales</x:v>
      </x:c>
      <x:c r="J143" t="n">
        <x:v>0</x:v>
      </x:c>
      <x:c r="K143" t="n">
        <x:v>0</x:v>
      </x:c>
      <x:c r="L143" t="str">
        <x:v>Suiza</x:v>
      </x:c>
      <x:c r="M143" t="str">
        <x:v>Penales</x:v>
      </x:c>
      <x:c r="N143" t="n">
        <x:v>5</x:v>
      </x:c>
      <x:c r="O143" t="n">
        <x:v>0</x:v>
      </x:c>
      <x:c r="P143" t="n">
        <x:v>2</x:v>
      </x:c>
      <x:c r="Q143" t="n">
        <x:v>0</x:v>
      </x:c>
      <x:c r="R143" t="n">
        <x:v>2</x:v>
      </x:c>
      <x:c r="S143" t="n">
        <x:v>0</x:v>
      </x:c>
      <x:c r="T143" t="n">
        <x:v>0</x:v>
      </x:c>
      <x:c r="U143" t="n">
        <x:v>9</x:v>
      </x:c>
      <x:c r="V143" t="str">
        <x:v>OK</x:v>
      </x:c>
      <x:c r="W143" t="str">
        <x:v>Detalle 8vos publicado</x:v>
      </x:c>
    </x:row>
    <x:row r="144" ht="15" hidden="0" customHeight="1">
      <x:c r="A144" t="str">
        <x:v>8vos</x:v>
      </x:c>
      <x:c r="B144" t="str">
        <x:v>O7</x:v>
      </x:c>
      <x:c r="C144" t="str">
        <x:v>Jorge</x:v>
      </x:c>
      <x:c r="D144" t="str">
        <x:v>Suiza</x:v>
      </x:c>
      <x:c r="E144" t="str">
        <x:v>Colombia</x:v>
      </x:c>
      <x:c r="F144" t="n">
        <x:v>1</x:v>
      </x:c>
      <x:c r="G144" t="n">
        <x:v>2</x:v>
      </x:c>
      <x:c r="H144" t="str">
        <x:v>Colombia</x:v>
      </x:c>
      <x:c r="I144" t="str">
        <x:v>Suplementario</x:v>
      </x:c>
      <x:c r="J144" t="n">
        <x:v>0</x:v>
      </x:c>
      <x:c r="K144" t="n">
        <x:v>0</x:v>
      </x:c>
      <x:c r="L144" t="str">
        <x:v>Suiza</x:v>
      </x:c>
      <x:c r="M144" t="str">
        <x:v>Penales</x:v>
      </x:c>
      <x:c r="N144" t="n">
        <x:v>0</x:v>
      </x:c>
      <x:c r="O144" t="n">
        <x:v>0</x:v>
      </x:c>
      <x:c r="P144" t="n">
        <x:v>0</x:v>
      </x:c>
      <x:c r="Q144" t="n">
        <x:v>0</x:v>
      </x:c>
      <x:c r="R144" t="n">
        <x:v>0</x:v>
      </x:c>
      <x:c r="S144" t="n">
        <x:v>0</x:v>
      </x:c>
      <x:c r="T144" t="n">
        <x:v>0</x:v>
      </x:c>
      <x:c r="U144" t="n">
        <x:v>0</x:v>
      </x:c>
      <x:c r="V144" t="str">
        <x:v>Revisar: ganador en 90 debe tener método 90 minutos</x:v>
      </x:c>
      <x:c r="W144" t="str">
        <x:v>Detalle 8vos publicado</x:v>
      </x:c>
    </x:row>
    <x:row r="145" ht="15" hidden="0" customHeight="1">
      <x:c r="A145" t="str">
        <x:v>8vos</x:v>
      </x:c>
      <x:c r="B145" t="str">
        <x:v>O7</x:v>
      </x:c>
      <x:c r="C145" t="str">
        <x:v>Daniel</x:v>
      </x:c>
      <x:c r="D145" t="str">
        <x:v>Suiza</x:v>
      </x:c>
      <x:c r="E145" t="str">
        <x:v>Colombia</x:v>
      </x:c>
      <x:c r="F145" t="n">
        <x:v>1</x:v>
      </x:c>
      <x:c r="G145" t="n">
        <x:v>2</x:v>
      </x:c>
      <x:c r="H145" t="str">
        <x:v>Colombia</x:v>
      </x:c>
      <x:c r="I145" t="str">
        <x:v>Suplementario</x:v>
      </x:c>
      <x:c r="J145" t="n">
        <x:v>0</x:v>
      </x:c>
      <x:c r="K145" t="n">
        <x:v>0</x:v>
      </x:c>
      <x:c r="L145" t="str">
        <x:v>Suiza</x:v>
      </x:c>
      <x:c r="M145" t="str">
        <x:v>Penales</x:v>
      </x:c>
      <x:c r="N145" t="n">
        <x:v>0</x:v>
      </x:c>
      <x:c r="O145" t="n">
        <x:v>0</x:v>
      </x:c>
      <x:c r="P145" t="n">
        <x:v>0</x:v>
      </x:c>
      <x:c r="Q145" t="n">
        <x:v>0</x:v>
      </x:c>
      <x:c r="R145" t="n">
        <x:v>0</x:v>
      </x:c>
      <x:c r="S145" t="n">
        <x:v>0</x:v>
      </x:c>
      <x:c r="T145" t="n">
        <x:v>0</x:v>
      </x:c>
      <x:c r="U145" t="n">
        <x:v>0</x:v>
      </x:c>
      <x:c r="V145" t="str">
        <x:v>Revisar: ganador en 90 debe tener método 90 minutos</x:v>
      </x:c>
      <x:c r="W145" t="str">
        <x:v>Detalle 8vos publicado</x:v>
      </x:c>
    </x:row>
    <x:row r="146" ht="15" hidden="0" customHeight="1">
      <x:c r="A146" t="str">
        <x:v>8vos</x:v>
      </x:c>
      <x:c r="B146" t="str">
        <x:v>O7</x:v>
      </x:c>
      <x:c r="C146" t="str">
        <x:v>Arthur</x:v>
      </x:c>
      <x:c r="D146" t="str">
        <x:v>Suiza</x:v>
      </x:c>
      <x:c r="E146" t="str">
        <x:v>Colombia</x:v>
      </x:c>
      <x:c r="F146" t="n">
        <x:v>1</x:v>
      </x:c>
      <x:c r="G146" t="n">
        <x:v>2</x:v>
      </x:c>
      <x:c r="H146" t="str">
        <x:v>Colombia</x:v>
      </x:c>
      <x:c r="I146" t="str">
        <x:v>90 minutos</x:v>
      </x:c>
      <x:c r="J146" t="n">
        <x:v>0</x:v>
      </x:c>
      <x:c r="K146" t="n">
        <x:v>0</x:v>
      </x:c>
      <x:c r="L146" t="str">
        <x:v>Suiza</x:v>
      </x:c>
      <x:c r="M146" t="str">
        <x:v>Penales</x:v>
      </x:c>
      <x:c r="N146" t="n">
        <x:v>0</x:v>
      </x:c>
      <x:c r="O146" t="n">
        <x:v>0</x:v>
      </x:c>
      <x:c r="P146" t="n">
        <x:v>0</x:v>
      </x:c>
      <x:c r="Q146" t="n">
        <x:v>0</x:v>
      </x:c>
      <x:c r="R146" t="n">
        <x:v>0</x:v>
      </x:c>
      <x:c r="S146" t="n">
        <x:v>0</x:v>
      </x:c>
      <x:c r="T146" t="n">
        <x:v>0</x:v>
      </x:c>
      <x:c r="U146" t="n">
        <x:v>0</x:v>
      </x:c>
      <x:c r="V146" t="str">
        <x:v>OK</x:v>
      </x:c>
      <x:c r="W146" t="str">
        <x:v>Detalle 8vos publicado</x:v>
      </x:c>
    </x:row>
    <x:row r="147" ht="15" hidden="0" customHeight="1">
      <x:c r="A147" t="str">
        <x:v>8vos</x:v>
      </x:c>
      <x:c r="B147" t="str">
        <x:v>O7</x:v>
      </x:c>
      <x:c r="C147" t="str">
        <x:v>José Luis</x:v>
      </x:c>
      <x:c r="D147" t="str">
        <x:v>Suiza</x:v>
      </x:c>
      <x:c r="E147" t="str">
        <x:v>Colombia</x:v>
      </x:c>
      <x:c r="F147"/>
      <x:c r="G147"/>
      <x:c r="H147" t="str">
        <x:v>Sin envío</x:v>
      </x:c>
      <x:c r="I147" t="str">
        <x:v>Sin envío</x:v>
      </x:c>
      <x:c r="J147" t="n">
        <x:v>0</x:v>
      </x:c>
      <x:c r="K147" t="n">
        <x:v>0</x:v>
      </x:c>
      <x:c r="L147" t="str">
        <x:v>Suiza</x:v>
      </x:c>
      <x:c r="M147" t="str">
        <x:v>Penales</x:v>
      </x:c>
      <x:c r="N147" t="n">
        <x:v>0</x:v>
      </x:c>
      <x:c r="O147" t="n">
        <x:v>0</x:v>
      </x:c>
      <x:c r="P147" t="n">
        <x:v>0</x:v>
      </x:c>
      <x:c r="Q147" t="n">
        <x:v>0</x:v>
      </x:c>
      <x:c r="R147" t="n">
        <x:v>0</x:v>
      </x:c>
      <x:c r="S147" t="n">
        <x:v>0</x:v>
      </x:c>
      <x:c r="T147" t="n">
        <x:v>0</x:v>
      </x:c>
      <x:c r="U147" t="n">
        <x:v>0</x:v>
      </x:c>
      <x:c r="V147" t="str">
        <x:v>Sin respuesta CSV</x:v>
      </x:c>
      <x:c r="W147" t="str">
        <x:v>Detalle 8vos publicado</x:v>
      </x:c>
    </x:row>
    <x:row r="148" ht="15" hidden="0" customHeight="1">
      <x:c r="A148" t="str">
        <x:v>8vos</x:v>
      </x:c>
      <x:c r="B148" t="str">
        <x:v>O7</x:v>
      </x:c>
      <x:c r="C148" t="str">
        <x:v>Marcelo</x:v>
      </x:c>
      <x:c r="D148" t="str">
        <x:v>Suiza</x:v>
      </x:c>
      <x:c r="E148" t="str">
        <x:v>Colombia</x:v>
      </x:c>
      <x:c r="F148"/>
      <x:c r="G148"/>
      <x:c r="H148" t="str">
        <x:v>Sin envío</x:v>
      </x:c>
      <x:c r="I148" t="str">
        <x:v>Sin envío</x:v>
      </x:c>
      <x:c r="J148" t="n">
        <x:v>0</x:v>
      </x:c>
      <x:c r="K148" t="n">
        <x:v>0</x:v>
      </x:c>
      <x:c r="L148" t="str">
        <x:v>Suiza</x:v>
      </x:c>
      <x:c r="M148" t="str">
        <x:v>Penales</x:v>
      </x:c>
      <x:c r="N148" t="n">
        <x:v>0</x:v>
      </x:c>
      <x:c r="O148" t="n">
        <x:v>0</x:v>
      </x:c>
      <x:c r="P148" t="n">
        <x:v>0</x:v>
      </x:c>
      <x:c r="Q148" t="n">
        <x:v>0</x:v>
      </x:c>
      <x:c r="R148" t="n">
        <x:v>0</x:v>
      </x:c>
      <x:c r="S148" t="n">
        <x:v>0</x:v>
      </x:c>
      <x:c r="T148" t="n">
        <x:v>0</x:v>
      </x:c>
      <x:c r="U148" t="n">
        <x:v>0</x:v>
      </x:c>
      <x:c r="V148" t="str">
        <x:v>Sin respuesta CSV</x:v>
      </x:c>
      <x:c r="W148" t="str">
        <x:v>Detalle 8vos publicado</x:v>
      </x:c>
    </x:row>
    <x:row r="149" ht="15" hidden="0" customHeight="1">
      <x:c r="A149" t="str">
        <x:v>8vos</x:v>
      </x:c>
      <x:c r="B149" t="str">
        <x:v>O7</x:v>
      </x:c>
      <x:c r="C149" t="str">
        <x:v>Anny</x:v>
      </x:c>
      <x:c r="D149" t="str">
        <x:v>Suiza</x:v>
      </x:c>
      <x:c r="E149" t="str">
        <x:v>Colombia</x:v>
      </x:c>
      <x:c r="F149" t="n">
        <x:v>2</x:v>
      </x:c>
      <x:c r="G149" t="n">
        <x:v>2</x:v>
      </x:c>
      <x:c r="H149" t="str">
        <x:v>Colombia</x:v>
      </x:c>
      <x:c r="I149" t="str">
        <x:v>Penales</x:v>
      </x:c>
      <x:c r="J149" t="n">
        <x:v>0</x:v>
      </x:c>
      <x:c r="K149" t="n">
        <x:v>0</x:v>
      </x:c>
      <x:c r="L149" t="str">
        <x:v>Suiza</x:v>
      </x:c>
      <x:c r="M149" t="str">
        <x:v>Penales</x:v>
      </x:c>
      <x:c r="N149" t="n">
        <x:v>5</x:v>
      </x:c>
      <x:c r="O149" t="n">
        <x:v>0</x:v>
      </x:c>
      <x:c r="P149" t="n">
        <x:v>2</x:v>
      </x:c>
      <x:c r="Q149" t="n">
        <x:v>0</x:v>
      </x:c>
      <x:c r="R149" t="n">
        <x:v>2</x:v>
      </x:c>
      <x:c r="S149" t="n">
        <x:v>0</x:v>
      </x:c>
      <x:c r="T149" t="n">
        <x:v>0</x:v>
      </x:c>
      <x:c r="U149" t="n">
        <x:v>9</x:v>
      </x:c>
      <x:c r="V149" t="str">
        <x:v>OK</x:v>
      </x:c>
      <x:c r="W149" t="str">
        <x:v>Detalle 8vos publicado</x:v>
      </x:c>
    </x:row>
    <x:row r="150" ht="15" hidden="0" customHeight="1">
      <x:c r="A150" t="str">
        <x:v>8vos</x:v>
      </x:c>
      <x:c r="B150" t="str">
        <x:v>O7</x:v>
      </x:c>
      <x:c r="C150" t="str">
        <x:v>Moisés</x:v>
      </x:c>
      <x:c r="D150" t="str">
        <x:v>Suiza</x:v>
      </x:c>
      <x:c r="E150" t="str">
        <x:v>Colombia</x:v>
      </x:c>
      <x:c r="F150" t="n">
        <x:v>1</x:v>
      </x:c>
      <x:c r="G150" t="n">
        <x:v>2</x:v>
      </x:c>
      <x:c r="H150" t="str">
        <x:v>Colombia</x:v>
      </x:c>
      <x:c r="I150" t="str">
        <x:v>Suplementario</x:v>
      </x:c>
      <x:c r="J150" t="n">
        <x:v>0</x:v>
      </x:c>
      <x:c r="K150" t="n">
        <x:v>0</x:v>
      </x:c>
      <x:c r="L150" t="str">
        <x:v>Suiza</x:v>
      </x:c>
      <x:c r="M150" t="str">
        <x:v>Penales</x:v>
      </x:c>
      <x:c r="N150" t="n">
        <x:v>0</x:v>
      </x:c>
      <x:c r="O150" t="n">
        <x:v>0</x:v>
      </x:c>
      <x:c r="P150" t="n">
        <x:v>0</x:v>
      </x:c>
      <x:c r="Q150" t="n">
        <x:v>0</x:v>
      </x:c>
      <x:c r="R150" t="n">
        <x:v>0</x:v>
      </x:c>
      <x:c r="S150" t="n">
        <x:v>0</x:v>
      </x:c>
      <x:c r="T150" t="n">
        <x:v>0</x:v>
      </x:c>
      <x:c r="U150" t="n">
        <x:v>0</x:v>
      </x:c>
      <x:c r="V150" t="str">
        <x:v>Revisar: ganador en 90 debe tener método 90 minutos</x:v>
      </x:c>
      <x:c r="W150" t="str">
        <x:v>Detalle 8vos publicado</x:v>
      </x:c>
    </x:row>
    <x:row r="151" ht="15" hidden="0" customHeight="1">
      <x:c r="A151" t="str">
        <x:v>8vos</x:v>
      </x:c>
      <x:c r="B151" t="str">
        <x:v>O7</x:v>
      </x:c>
      <x:c r="C151" t="str">
        <x:v>Alex</x:v>
      </x:c>
      <x:c r="D151" t="str">
        <x:v>Suiza</x:v>
      </x:c>
      <x:c r="E151" t="str">
        <x:v>Colombia</x:v>
      </x:c>
      <x:c r="F151" t="n">
        <x:v>2</x:v>
      </x:c>
      <x:c r="G151" t="n">
        <x:v>3</x:v>
      </x:c>
      <x:c r="H151" t="str">
        <x:v>Colombia</x:v>
      </x:c>
      <x:c r="I151" t="str">
        <x:v>Suplementario</x:v>
      </x:c>
      <x:c r="J151" t="n">
        <x:v>0</x:v>
      </x:c>
      <x:c r="K151" t="n">
        <x:v>0</x:v>
      </x:c>
      <x:c r="L151" t="str">
        <x:v>Suiza</x:v>
      </x:c>
      <x:c r="M151" t="str">
        <x:v>Penales</x:v>
      </x:c>
      <x:c r="N151" t="n">
        <x:v>0</x:v>
      </x:c>
      <x:c r="O151" t="n">
        <x:v>0</x:v>
      </x:c>
      <x:c r="P151" t="n">
        <x:v>0</x:v>
      </x:c>
      <x:c r="Q151" t="n">
        <x:v>0</x:v>
      </x:c>
      <x:c r="R151" t="n">
        <x:v>0</x:v>
      </x:c>
      <x:c r="S151" t="n">
        <x:v>0</x:v>
      </x:c>
      <x:c r="T151" t="n">
        <x:v>0</x:v>
      </x:c>
      <x:c r="U151" t="n">
        <x:v>0</x:v>
      </x:c>
      <x:c r="V151" t="str">
        <x:v>Revisar: ganador en 90 debe tener método 90 minutos</x:v>
      </x:c>
      <x:c r="W151" t="str">
        <x:v>Detalle 8vos publicado</x:v>
      </x:c>
    </x:row>
    <x:row r="152" ht="15" hidden="0" customHeight="1">
      <x:c r="A152" t="str">
        <x:v>8vos</x:v>
      </x:c>
      <x:c r="B152" t="str">
        <x:v>O7</x:v>
      </x:c>
      <x:c r="C152" t="str">
        <x:v>Omar</x:v>
      </x:c>
      <x:c r="D152" t="str">
        <x:v>Suiza</x:v>
      </x:c>
      <x:c r="E152" t="str">
        <x:v>Colombia</x:v>
      </x:c>
      <x:c r="F152"/>
      <x:c r="G152"/>
      <x:c r="H152" t="str">
        <x:v>Sin envío</x:v>
      </x:c>
      <x:c r="I152" t="str">
        <x:v>Sin envío</x:v>
      </x:c>
      <x:c r="J152" t="n">
        <x:v>0</x:v>
      </x:c>
      <x:c r="K152" t="n">
        <x:v>0</x:v>
      </x:c>
      <x:c r="L152" t="str">
        <x:v>Suiza</x:v>
      </x:c>
      <x:c r="M152" t="str">
        <x:v>Penales</x:v>
      </x:c>
      <x:c r="N152" t="n">
        <x:v>0</x:v>
      </x:c>
      <x:c r="O152" t="n">
        <x:v>0</x:v>
      </x:c>
      <x:c r="P152" t="n">
        <x:v>0</x:v>
      </x:c>
      <x:c r="Q152" t="n">
        <x:v>0</x:v>
      </x:c>
      <x:c r="R152" t="n">
        <x:v>0</x:v>
      </x:c>
      <x:c r="S152" t="n">
        <x:v>0</x:v>
      </x:c>
      <x:c r="T152" t="n">
        <x:v>0</x:v>
      </x:c>
      <x:c r="U152" t="n">
        <x:v>0</x:v>
      </x:c>
      <x:c r="V152" t="str">
        <x:v>Sin respuesta CSV</x:v>
      </x:c>
      <x:c r="W152" t="str">
        <x:v>Detalle 8vos publicado</x:v>
      </x:c>
    </x:row>
    <x:row r="153" ht="15" hidden="0" customHeight="1">
      <x:c r="A153" t="str">
        <x:v>8vos</x:v>
      </x:c>
      <x:c r="B153" t="str">
        <x:v>O7</x:v>
      </x:c>
      <x:c r="C153" t="str">
        <x:v>Fernando</x:v>
      </x:c>
      <x:c r="D153" t="str">
        <x:v>Suiza</x:v>
      </x:c>
      <x:c r="E153" t="str">
        <x:v>Colombia</x:v>
      </x:c>
      <x:c r="F153" t="n">
        <x:v>1</x:v>
      </x:c>
      <x:c r="G153" t="n">
        <x:v>2</x:v>
      </x:c>
      <x:c r="H153" t="str">
        <x:v>Colombia</x:v>
      </x:c>
      <x:c r="I153" t="str">
        <x:v>Suplementario</x:v>
      </x:c>
      <x:c r="J153" t="n">
        <x:v>0</x:v>
      </x:c>
      <x:c r="K153" t="n">
        <x:v>0</x:v>
      </x:c>
      <x:c r="L153" t="str">
        <x:v>Suiza</x:v>
      </x:c>
      <x:c r="M153" t="str">
        <x:v>Penales</x:v>
      </x:c>
      <x:c r="N153" t="n">
        <x:v>0</x:v>
      </x:c>
      <x:c r="O153" t="n">
        <x:v>0</x:v>
      </x:c>
      <x:c r="P153" t="n">
        <x:v>0</x:v>
      </x:c>
      <x:c r="Q153" t="n">
        <x:v>0</x:v>
      </x:c>
      <x:c r="R153" t="n">
        <x:v>0</x:v>
      </x:c>
      <x:c r="S153" t="n">
        <x:v>0</x:v>
      </x:c>
      <x:c r="T153" t="n">
        <x:v>0</x:v>
      </x:c>
      <x:c r="U153" t="n">
        <x:v>0</x:v>
      </x:c>
      <x:c r="V153" t="str">
        <x:v>Revisar: ganador en 90 debe tener método 90 minutos</x:v>
      </x:c>
      <x:c r="W153" t="str">
        <x:v>Detalle 8vos publicado</x:v>
      </x:c>
    </x:row>
    <x:row r="154" ht="15" hidden="0" customHeight="1">
      <x:c r="A154" t="str">
        <x:v>8vos</x:v>
      </x:c>
      <x:c r="B154" t="str">
        <x:v>O7</x:v>
      </x:c>
      <x:c r="C154" t="str">
        <x:v>Diana</x:v>
      </x:c>
      <x:c r="D154" t="str">
        <x:v>Suiza</x:v>
      </x:c>
      <x:c r="E154" t="str">
        <x:v>Colombia</x:v>
      </x:c>
      <x:c r="F154" t="n">
        <x:v>0</x:v>
      </x:c>
      <x:c r="G154" t="n">
        <x:v>2</x:v>
      </x:c>
      <x:c r="H154" t="str">
        <x:v>Colombia</x:v>
      </x:c>
      <x:c r="I154" t="str">
        <x:v>90 minutos</x:v>
      </x:c>
      <x:c r="J154" t="n">
        <x:v>0</x:v>
      </x:c>
      <x:c r="K154" t="n">
        <x:v>0</x:v>
      </x:c>
      <x:c r="L154" t="str">
        <x:v>Suiza</x:v>
      </x:c>
      <x:c r="M154" t="str">
        <x:v>Penales</x:v>
      </x:c>
      <x:c r="N154" t="n">
        <x:v>0</x:v>
      </x:c>
      <x:c r="O154" t="n">
        <x:v>0</x:v>
      </x:c>
      <x:c r="P154" t="n">
        <x:v>0</x:v>
      </x:c>
      <x:c r="Q154" t="n">
        <x:v>0</x:v>
      </x:c>
      <x:c r="R154" t="n">
        <x:v>0</x:v>
      </x:c>
      <x:c r="S154" t="n">
        <x:v>1</x:v>
      </x:c>
      <x:c r="T154" t="n">
        <x:v>0</x:v>
      </x:c>
      <x:c r="U154" t="n">
        <x:v>1</x:v>
      </x:c>
      <x:c r="V154" t="str">
        <x:v>OK</x:v>
      </x:c>
      <x:c r="W154" t="str">
        <x:v>Detalle 8vos publicado</x:v>
      </x:c>
    </x:row>
    <x:row r="155" ht="15" hidden="0" customHeight="1">
      <x:c r="A155" t="str">
        <x:v>8vos</x:v>
      </x:c>
      <x:c r="B155" t="str">
        <x:v>O7</x:v>
      </x:c>
      <x:c r="C155" t="str">
        <x:v>Óscar</x:v>
      </x:c>
      <x:c r="D155" t="str">
        <x:v>Suiza</x:v>
      </x:c>
      <x:c r="E155" t="str">
        <x:v>Colombia</x:v>
      </x:c>
      <x:c r="F155" t="n">
        <x:v>2</x:v>
      </x:c>
      <x:c r="G155" t="n">
        <x:v>2</x:v>
      </x:c>
      <x:c r="H155" t="str">
        <x:v>Colombia</x:v>
      </x:c>
      <x:c r="I155" t="str">
        <x:v>Penales</x:v>
      </x:c>
      <x:c r="J155" t="n">
        <x:v>0</x:v>
      </x:c>
      <x:c r="K155" t="n">
        <x:v>0</x:v>
      </x:c>
      <x:c r="L155" t="str">
        <x:v>Suiza</x:v>
      </x:c>
      <x:c r="M155" t="str">
        <x:v>Penales</x:v>
      </x:c>
      <x:c r="N155" t="n">
        <x:v>5</x:v>
      </x:c>
      <x:c r="O155" t="n">
        <x:v>0</x:v>
      </x:c>
      <x:c r="P155" t="n">
        <x:v>2</x:v>
      </x:c>
      <x:c r="Q155" t="n">
        <x:v>0</x:v>
      </x:c>
      <x:c r="R155" t="n">
        <x:v>2</x:v>
      </x:c>
      <x:c r="S155" t="n">
        <x:v>0</x:v>
      </x:c>
      <x:c r="T155" t="n">
        <x:v>0</x:v>
      </x:c>
      <x:c r="U155" t="n">
        <x:v>9</x:v>
      </x:c>
      <x:c r="V155" t="str">
        <x:v>OK</x:v>
      </x:c>
      <x:c r="W155" t="str">
        <x:v>Detalle 8vos publicado</x:v>
      </x:c>
    </x:row>
    <x:row r="156" ht="15" hidden="0" customHeight="1">
      <x:c r="A156" t="str">
        <x:v>8vos</x:v>
      </x:c>
      <x:c r="B156" t="str">
        <x:v>O8</x:v>
      </x:c>
      <x:c r="C156" t="str">
        <x:v>Freddy</x:v>
      </x:c>
      <x:c r="D156" t="str">
        <x:v>Argentina</x:v>
      </x:c>
      <x:c r="E156" t="str">
        <x:v>Egipto</x:v>
      </x:c>
      <x:c r="F156" t="n">
        <x:v>2</x:v>
      </x:c>
      <x:c r="G156" t="n">
        <x:v>0</x:v>
      </x:c>
      <x:c r="H156" t="str">
        <x:v>Argentina</x:v>
      </x:c>
      <x:c r="I156" t="str">
        <x:v>90 minutos</x:v>
      </x:c>
      <x:c r="J156" t="n">
        <x:v>3</x:v>
      </x:c>
      <x:c r="K156" t="n">
        <x:v>2</x:v>
      </x:c>
      <x:c r="L156" t="str">
        <x:v>Argentina</x:v>
      </x:c>
      <x:c r="M156" t="str">
        <x:v>90 minutos</x:v>
      </x:c>
      <x:c r="N156" t="n">
        <x:v>5</x:v>
      </x:c>
      <x:c r="O156" t="n">
        <x:v>3</x:v>
      </x:c>
      <x:c r="P156" t="n">
        <x:v>2</x:v>
      </x:c>
      <x:c r="Q156" t="n">
        <x:v>0</x:v>
      </x:c>
      <x:c r="R156" t="n">
        <x:v>0</x:v>
      </x:c>
      <x:c r="S156" t="n">
        <x:v>0</x:v>
      </x:c>
      <x:c r="T156" t="n">
        <x:v>0</x:v>
      </x:c>
      <x:c r="U156" t="n">
        <x:v>10</x:v>
      </x:c>
      <x:c r="V156" t="str">
        <x:v>OK</x:v>
      </x:c>
      <x:c r="W156" t="str">
        <x:v>Detalle 8vos publicado</x:v>
      </x:c>
    </x:row>
    <x:row r="157" ht="15" hidden="0" customHeight="1">
      <x:c r="A157" t="str">
        <x:v>8vos</x:v>
      </x:c>
      <x:c r="B157" t="str">
        <x:v>O8</x:v>
      </x:c>
      <x:c r="C157" t="str">
        <x:v>Gabriela</x:v>
      </x:c>
      <x:c r="D157" t="str">
        <x:v>Argentina</x:v>
      </x:c>
      <x:c r="E157" t="str">
        <x:v>Egipto</x:v>
      </x:c>
      <x:c r="F157" t="n">
        <x:v>3</x:v>
      </x:c>
      <x:c r="G157" t="n">
        <x:v>1</x:v>
      </x:c>
      <x:c r="H157" t="str">
        <x:v>Argentina</x:v>
      </x:c>
      <x:c r="I157" t="str">
        <x:v>90 minutos</x:v>
      </x:c>
      <x:c r="J157" t="n">
        <x:v>3</x:v>
      </x:c>
      <x:c r="K157" t="n">
        <x:v>2</x:v>
      </x:c>
      <x:c r="L157" t="str">
        <x:v>Argentina</x:v>
      </x:c>
      <x:c r="M157" t="str">
        <x:v>90 minutos</x:v>
      </x:c>
      <x:c r="N157" t="n">
        <x:v>5</x:v>
      </x:c>
      <x:c r="O157" t="n">
        <x:v>3</x:v>
      </x:c>
      <x:c r="P157" t="n">
        <x:v>2</x:v>
      </x:c>
      <x:c r="Q157" t="n">
        <x:v>0</x:v>
      </x:c>
      <x:c r="R157" t="n">
        <x:v>0</x:v>
      </x:c>
      <x:c r="S157" t="n">
        <x:v>1</x:v>
      </x:c>
      <x:c r="T157" t="n">
        <x:v>0</x:v>
      </x:c>
      <x:c r="U157" t="n">
        <x:v>11</x:v>
      </x:c>
      <x:c r="V157" t="str">
        <x:v>OK</x:v>
      </x:c>
      <x:c r="W157" t="str">
        <x:v>Detalle 8vos publicado</x:v>
      </x:c>
    </x:row>
    <x:row r="158" ht="15" hidden="0" customHeight="1">
      <x:c r="A158" t="str">
        <x:v>8vos</x:v>
      </x:c>
      <x:c r="B158" t="str">
        <x:v>O8</x:v>
      </x:c>
      <x:c r="C158" t="str">
        <x:v>Jean</x:v>
      </x:c>
      <x:c r="D158" t="str">
        <x:v>Argentina</x:v>
      </x:c>
      <x:c r="E158" t="str">
        <x:v>Egipto</x:v>
      </x:c>
      <x:c r="F158" t="n">
        <x:v>2</x:v>
      </x:c>
      <x:c r="G158" t="n">
        <x:v>0</x:v>
      </x:c>
      <x:c r="H158" t="str">
        <x:v>Argentina</x:v>
      </x:c>
      <x:c r="I158" t="str">
        <x:v>90 minutos</x:v>
      </x:c>
      <x:c r="J158" t="n">
        <x:v>3</x:v>
      </x:c>
      <x:c r="K158" t="n">
        <x:v>2</x:v>
      </x:c>
      <x:c r="L158" t="str">
        <x:v>Argentina</x:v>
      </x:c>
      <x:c r="M158" t="str">
        <x:v>90 minutos</x:v>
      </x:c>
      <x:c r="N158" t="n">
        <x:v>5</x:v>
      </x:c>
      <x:c r="O158" t="n">
        <x:v>3</x:v>
      </x:c>
      <x:c r="P158" t="n">
        <x:v>2</x:v>
      </x:c>
      <x:c r="Q158" t="n">
        <x:v>0</x:v>
      </x:c>
      <x:c r="R158" t="n">
        <x:v>0</x:v>
      </x:c>
      <x:c r="S158" t="n">
        <x:v>0</x:v>
      </x:c>
      <x:c r="T158" t="n">
        <x:v>0</x:v>
      </x:c>
      <x:c r="U158" t="n">
        <x:v>10</x:v>
      </x:c>
      <x:c r="V158" t="str">
        <x:v>OK</x:v>
      </x:c>
      <x:c r="W158" t="str">
        <x:v>Detalle 8vos publicado</x:v>
      </x:c>
    </x:row>
    <x:row r="159" ht="15" hidden="0" customHeight="1">
      <x:c r="A159" t="str">
        <x:v>8vos</x:v>
      </x:c>
      <x:c r="B159" t="str">
        <x:v>O8</x:v>
      </x:c>
      <x:c r="C159" t="str">
        <x:v>Juan</x:v>
      </x:c>
      <x:c r="D159" t="str">
        <x:v>Argentina</x:v>
      </x:c>
      <x:c r="E159" t="str">
        <x:v>Egipto</x:v>
      </x:c>
      <x:c r="F159" t="n">
        <x:v>2</x:v>
      </x:c>
      <x:c r="G159" t="n">
        <x:v>0</x:v>
      </x:c>
      <x:c r="H159" t="str">
        <x:v>Argentina</x:v>
      </x:c>
      <x:c r="I159" t="str">
        <x:v>90 minutos</x:v>
      </x:c>
      <x:c r="J159" t="n">
        <x:v>3</x:v>
      </x:c>
      <x:c r="K159" t="n">
        <x:v>2</x:v>
      </x:c>
      <x:c r="L159" t="str">
        <x:v>Argentina</x:v>
      </x:c>
      <x:c r="M159" t="str">
        <x:v>90 minutos</x:v>
      </x:c>
      <x:c r="N159" t="n">
        <x:v>5</x:v>
      </x:c>
      <x:c r="O159" t="n">
        <x:v>3</x:v>
      </x:c>
      <x:c r="P159" t="n">
        <x:v>2</x:v>
      </x:c>
      <x:c r="Q159" t="n">
        <x:v>0</x:v>
      </x:c>
      <x:c r="R159" t="n">
        <x:v>0</x:v>
      </x:c>
      <x:c r="S159" t="n">
        <x:v>0</x:v>
      </x:c>
      <x:c r="T159" t="n">
        <x:v>0</x:v>
      </x:c>
      <x:c r="U159" t="n">
        <x:v>10</x:v>
      </x:c>
      <x:c r="V159" t="str">
        <x:v>OK</x:v>
      </x:c>
      <x:c r="W159" t="str">
        <x:v>Detalle 8vos publicado</x:v>
      </x:c>
    </x:row>
    <x:row r="160" ht="15" hidden="0" customHeight="1">
      <x:c r="A160" t="str">
        <x:v>8vos</x:v>
      </x:c>
      <x:c r="B160" t="str">
        <x:v>O8</x:v>
      </x:c>
      <x:c r="C160" t="str">
        <x:v>Jesús</x:v>
      </x:c>
      <x:c r="D160" t="str">
        <x:v>Argentina</x:v>
      </x:c>
      <x:c r="E160" t="str">
        <x:v>Egipto</x:v>
      </x:c>
      <x:c r="F160" t="n">
        <x:v>3</x:v>
      </x:c>
      <x:c r="G160" t="n">
        <x:v>0</x:v>
      </x:c>
      <x:c r="H160" t="str">
        <x:v>Argentina</x:v>
      </x:c>
      <x:c r="I160" t="str">
        <x:v>90 minutos</x:v>
      </x:c>
      <x:c r="J160" t="n">
        <x:v>3</x:v>
      </x:c>
      <x:c r="K160" t="n">
        <x:v>2</x:v>
      </x:c>
      <x:c r="L160" t="str">
        <x:v>Argentina</x:v>
      </x:c>
      <x:c r="M160" t="str">
        <x:v>90 minutos</x:v>
      </x:c>
      <x:c r="N160" t="n">
        <x:v>5</x:v>
      </x:c>
      <x:c r="O160" t="n">
        <x:v>3</x:v>
      </x:c>
      <x:c r="P160" t="n">
        <x:v>2</x:v>
      </x:c>
      <x:c r="Q160" t="n">
        <x:v>0</x:v>
      </x:c>
      <x:c r="R160" t="n">
        <x:v>0</x:v>
      </x:c>
      <x:c r="S160" t="n">
        <x:v>1</x:v>
      </x:c>
      <x:c r="T160" t="n">
        <x:v>0</x:v>
      </x:c>
      <x:c r="U160" t="n">
        <x:v>11</x:v>
      </x:c>
      <x:c r="V160" t="str">
        <x:v>OK</x:v>
      </x:c>
      <x:c r="W160" t="str">
        <x:v>Detalle 8vos publicado</x:v>
      </x:c>
    </x:row>
    <x:row r="161" ht="15" hidden="0" customHeight="1">
      <x:c r="A161" t="str">
        <x:v>8vos</x:v>
      </x:c>
      <x:c r="B161" t="str">
        <x:v>O8</x:v>
      </x:c>
      <x:c r="C161" t="str">
        <x:v>Diego</x:v>
      </x:c>
      <x:c r="D161" t="str">
        <x:v>Argentina</x:v>
      </x:c>
      <x:c r="E161" t="str">
        <x:v>Egipto</x:v>
      </x:c>
      <x:c r="F161" t="n">
        <x:v>2</x:v>
      </x:c>
      <x:c r="G161" t="n">
        <x:v>0</x:v>
      </x:c>
      <x:c r="H161" t="str">
        <x:v>Argentina</x:v>
      </x:c>
      <x:c r="I161" t="str">
        <x:v>90 minutos</x:v>
      </x:c>
      <x:c r="J161" t="n">
        <x:v>3</x:v>
      </x:c>
      <x:c r="K161" t="n">
        <x:v>2</x:v>
      </x:c>
      <x:c r="L161" t="str">
        <x:v>Argentina</x:v>
      </x:c>
      <x:c r="M161" t="str">
        <x:v>90 minutos</x:v>
      </x:c>
      <x:c r="N161" t="n">
        <x:v>5</x:v>
      </x:c>
      <x:c r="O161" t="n">
        <x:v>3</x:v>
      </x:c>
      <x:c r="P161" t="n">
        <x:v>2</x:v>
      </x:c>
      <x:c r="Q161" t="n">
        <x:v>0</x:v>
      </x:c>
      <x:c r="R161" t="n">
        <x:v>0</x:v>
      </x:c>
      <x:c r="S161" t="n">
        <x:v>0</x:v>
      </x:c>
      <x:c r="T161" t="n">
        <x:v>0</x:v>
      </x:c>
      <x:c r="U161" t="n">
        <x:v>10</x:v>
      </x:c>
      <x:c r="V161" t="str">
        <x:v>OK</x:v>
      </x:c>
      <x:c r="W161" t="str">
        <x:v>Detalle 8vos publicado</x:v>
      </x:c>
    </x:row>
    <x:row r="162" ht="15" hidden="0" customHeight="1">
      <x:c r="A162" t="str">
        <x:v>8vos</x:v>
      </x:c>
      <x:c r="B162" t="str">
        <x:v>O8</x:v>
      </x:c>
      <x:c r="C162" t="str">
        <x:v>Aldo</x:v>
      </x:c>
      <x:c r="D162" t="str">
        <x:v>Argentina</x:v>
      </x:c>
      <x:c r="E162" t="str">
        <x:v>Egipto</x:v>
      </x:c>
      <x:c r="F162" t="n">
        <x:v>2</x:v>
      </x:c>
      <x:c r="G162" t="n">
        <x:v>1</x:v>
      </x:c>
      <x:c r="H162" t="str">
        <x:v>Argentina</x:v>
      </x:c>
      <x:c r="I162" t="str">
        <x:v>90 minutos</x:v>
      </x:c>
      <x:c r="J162" t="n">
        <x:v>3</x:v>
      </x:c>
      <x:c r="K162" t="n">
        <x:v>2</x:v>
      </x:c>
      <x:c r="L162" t="str">
        <x:v>Argentina</x:v>
      </x:c>
      <x:c r="M162" t="str">
        <x:v>90 minutos</x:v>
      </x:c>
      <x:c r="N162" t="n">
        <x:v>5</x:v>
      </x:c>
      <x:c r="O162" t="n">
        <x:v>3</x:v>
      </x:c>
      <x:c r="P162" t="n">
        <x:v>2</x:v>
      </x:c>
      <x:c r="Q162" t="n">
        <x:v>0</x:v>
      </x:c>
      <x:c r="R162" t="n">
        <x:v>2</x:v>
      </x:c>
      <x:c r="S162" t="n">
        <x:v>0</x:v>
      </x:c>
      <x:c r="T162" t="n">
        <x:v>0</x:v>
      </x:c>
      <x:c r="U162" t="n">
        <x:v>12</x:v>
      </x:c>
      <x:c r="V162" t="str">
        <x:v>OK</x:v>
      </x:c>
      <x:c r="W162" t="str">
        <x:v>Detalle 8vos publicado</x:v>
      </x:c>
    </x:row>
    <x:row r="163" ht="15" hidden="0" customHeight="1">
      <x:c r="A163" t="str">
        <x:v>8vos</x:v>
      </x:c>
      <x:c r="B163" t="str">
        <x:v>O8</x:v>
      </x:c>
      <x:c r="C163" t="str">
        <x:v>Javier</x:v>
      </x:c>
      <x:c r="D163" t="str">
        <x:v>Argentina</x:v>
      </x:c>
      <x:c r="E163" t="str">
        <x:v>Egipto</x:v>
      </x:c>
      <x:c r="F163" t="n">
        <x:v>2</x:v>
      </x:c>
      <x:c r="G163" t="n">
        <x:v>0</x:v>
      </x:c>
      <x:c r="H163" t="str">
        <x:v>Argentina</x:v>
      </x:c>
      <x:c r="I163" t="str">
        <x:v>90 minutos</x:v>
      </x:c>
      <x:c r="J163" t="n">
        <x:v>3</x:v>
      </x:c>
      <x:c r="K163" t="n">
        <x:v>2</x:v>
      </x:c>
      <x:c r="L163" t="str">
        <x:v>Argentina</x:v>
      </x:c>
      <x:c r="M163" t="str">
        <x:v>90 minutos</x:v>
      </x:c>
      <x:c r="N163" t="n">
        <x:v>5</x:v>
      </x:c>
      <x:c r="O163" t="n">
        <x:v>3</x:v>
      </x:c>
      <x:c r="P163" t="n">
        <x:v>2</x:v>
      </x:c>
      <x:c r="Q163" t="n">
        <x:v>0</x:v>
      </x:c>
      <x:c r="R163" t="n">
        <x:v>0</x:v>
      </x:c>
      <x:c r="S163" t="n">
        <x:v>0</x:v>
      </x:c>
      <x:c r="T163" t="n">
        <x:v>0</x:v>
      </x:c>
      <x:c r="U163" t="n">
        <x:v>10</x:v>
      </x:c>
      <x:c r="V163" t="str">
        <x:v>OK</x:v>
      </x:c>
      <x:c r="W163" t="str">
        <x:v>Detalle 8vos publicado</x:v>
      </x:c>
    </x:row>
    <x:row r="164" ht="15" hidden="0" customHeight="1">
      <x:c r="A164" t="str">
        <x:v>8vos</x:v>
      </x:c>
      <x:c r="B164" t="str">
        <x:v>O8</x:v>
      </x:c>
      <x:c r="C164" t="str">
        <x:v>Gino</x:v>
      </x:c>
      <x:c r="D164" t="str">
        <x:v>Argentina</x:v>
      </x:c>
      <x:c r="E164" t="str">
        <x:v>Egipto</x:v>
      </x:c>
      <x:c r="F164" t="n">
        <x:v>2</x:v>
      </x:c>
      <x:c r="G164" t="n">
        <x:v>0</x:v>
      </x:c>
      <x:c r="H164" t="str">
        <x:v>Argentina</x:v>
      </x:c>
      <x:c r="I164" t="str">
        <x:v>90 minutos</x:v>
      </x:c>
      <x:c r="J164" t="n">
        <x:v>3</x:v>
      </x:c>
      <x:c r="K164" t="n">
        <x:v>2</x:v>
      </x:c>
      <x:c r="L164" t="str">
        <x:v>Argentina</x:v>
      </x:c>
      <x:c r="M164" t="str">
        <x:v>90 minutos</x:v>
      </x:c>
      <x:c r="N164" t="n">
        <x:v>5</x:v>
      </x:c>
      <x:c r="O164" t="n">
        <x:v>3</x:v>
      </x:c>
      <x:c r="P164" t="n">
        <x:v>2</x:v>
      </x:c>
      <x:c r="Q164" t="n">
        <x:v>0</x:v>
      </x:c>
      <x:c r="R164" t="n">
        <x:v>0</x:v>
      </x:c>
      <x:c r="S164" t="n">
        <x:v>0</x:v>
      </x:c>
      <x:c r="T164" t="n">
        <x:v>0</x:v>
      </x:c>
      <x:c r="U164" t="n">
        <x:v>10</x:v>
      </x:c>
      <x:c r="V164" t="str">
        <x:v>OK</x:v>
      </x:c>
      <x:c r="W164" t="str">
        <x:v>Detalle 8vos publicado</x:v>
      </x:c>
    </x:row>
    <x:row r="165" ht="15" hidden="0" customHeight="1">
      <x:c r="A165" t="str">
        <x:v>8vos</x:v>
      </x:c>
      <x:c r="B165" t="str">
        <x:v>O8</x:v>
      </x:c>
      <x:c r="C165" t="str">
        <x:v>Manuel</x:v>
      </x:c>
      <x:c r="D165" t="str">
        <x:v>Argentina</x:v>
      </x:c>
      <x:c r="E165" t="str">
        <x:v>Egipto</x:v>
      </x:c>
      <x:c r="F165" t="n">
        <x:v>2</x:v>
      </x:c>
      <x:c r="G165" t="n">
        <x:v>1</x:v>
      </x:c>
      <x:c r="H165" t="str">
        <x:v>Argentina</x:v>
      </x:c>
      <x:c r="I165" t="str">
        <x:v>Suplementario</x:v>
      </x:c>
      <x:c r="J165" t="n">
        <x:v>3</x:v>
      </x:c>
      <x:c r="K165" t="n">
        <x:v>2</x:v>
      </x:c>
      <x:c r="L165" t="str">
        <x:v>Argentina</x:v>
      </x:c>
      <x:c r="M165" t="str">
        <x:v>90 minutos</x:v>
      </x:c>
      <x:c r="N165" t="n">
        <x:v>0</x:v>
      </x:c>
      <x:c r="O165" t="n">
        <x:v>0</x:v>
      </x:c>
      <x:c r="P165" t="n">
        <x:v>0</x:v>
      </x:c>
      <x:c r="Q165" t="n">
        <x:v>0</x:v>
      </x:c>
      <x:c r="R165" t="n">
        <x:v>0</x:v>
      </x:c>
      <x:c r="S165" t="n">
        <x:v>0</x:v>
      </x:c>
      <x:c r="T165" t="n">
        <x:v>0</x:v>
      </x:c>
      <x:c r="U165" t="n">
        <x:v>0</x:v>
      </x:c>
      <x:c r="V165" t="str">
        <x:v>Revisar: ganador en 90 debe tener método 90 minutos</x:v>
      </x:c>
      <x:c r="W165" t="str">
        <x:v>Detalle 8vos publicado</x:v>
      </x:c>
    </x:row>
    <x:row r="166" ht="15" hidden="0" customHeight="1">
      <x:c r="A166" t="str">
        <x:v>8vos</x:v>
      </x:c>
      <x:c r="B166" t="str">
        <x:v>O8</x:v>
      </x:c>
      <x:c r="C166" t="str">
        <x:v>Jorge</x:v>
      </x:c>
      <x:c r="D166" t="str">
        <x:v>Argentina</x:v>
      </x:c>
      <x:c r="E166" t="str">
        <x:v>Egipto</x:v>
      </x:c>
      <x:c r="F166" t="n">
        <x:v>3</x:v>
      </x:c>
      <x:c r="G166" t="n">
        <x:v>1</x:v>
      </x:c>
      <x:c r="H166" t="str">
        <x:v>Argentina</x:v>
      </x:c>
      <x:c r="I166" t="str">
        <x:v>90 minutos</x:v>
      </x:c>
      <x:c r="J166" t="n">
        <x:v>3</x:v>
      </x:c>
      <x:c r="K166" t="n">
        <x:v>2</x:v>
      </x:c>
      <x:c r="L166" t="str">
        <x:v>Argentina</x:v>
      </x:c>
      <x:c r="M166" t="str">
        <x:v>90 minutos</x:v>
      </x:c>
      <x:c r="N166" t="n">
        <x:v>5</x:v>
      </x:c>
      <x:c r="O166" t="n">
        <x:v>3</x:v>
      </x:c>
      <x:c r="P166" t="n">
        <x:v>2</x:v>
      </x:c>
      <x:c r="Q166" t="n">
        <x:v>0</x:v>
      </x:c>
      <x:c r="R166" t="n">
        <x:v>0</x:v>
      </x:c>
      <x:c r="S166" t="n">
        <x:v>1</x:v>
      </x:c>
      <x:c r="T166" t="n">
        <x:v>0</x:v>
      </x:c>
      <x:c r="U166" t="n">
        <x:v>11</x:v>
      </x:c>
      <x:c r="V166" t="str">
        <x:v>OK</x:v>
      </x:c>
      <x:c r="W166" t="str">
        <x:v>Detalle 8vos publicado</x:v>
      </x:c>
    </x:row>
    <x:row r="167" ht="15" hidden="0" customHeight="1">
      <x:c r="A167" t="str">
        <x:v>8vos</x:v>
      </x:c>
      <x:c r="B167" t="str">
        <x:v>O8</x:v>
      </x:c>
      <x:c r="C167" t="str">
        <x:v>Daniel</x:v>
      </x:c>
      <x:c r="D167" t="str">
        <x:v>Argentina</x:v>
      </x:c>
      <x:c r="E167" t="str">
        <x:v>Egipto</x:v>
      </x:c>
      <x:c r="F167" t="n">
        <x:v>2</x:v>
      </x:c>
      <x:c r="G167" t="n">
        <x:v>1</x:v>
      </x:c>
      <x:c r="H167" t="str">
        <x:v>Argentina</x:v>
      </x:c>
      <x:c r="I167" t="str">
        <x:v>90 minutos</x:v>
      </x:c>
      <x:c r="J167" t="n">
        <x:v>3</x:v>
      </x:c>
      <x:c r="K167" t="n">
        <x:v>2</x:v>
      </x:c>
      <x:c r="L167" t="str">
        <x:v>Argentina</x:v>
      </x:c>
      <x:c r="M167" t="str">
        <x:v>90 minutos</x:v>
      </x:c>
      <x:c r="N167" t="n">
        <x:v>5</x:v>
      </x:c>
      <x:c r="O167" t="n">
        <x:v>3</x:v>
      </x:c>
      <x:c r="P167" t="n">
        <x:v>2</x:v>
      </x:c>
      <x:c r="Q167" t="n">
        <x:v>0</x:v>
      </x:c>
      <x:c r="R167" t="n">
        <x:v>2</x:v>
      </x:c>
      <x:c r="S167" t="n">
        <x:v>0</x:v>
      </x:c>
      <x:c r="T167" t="n">
        <x:v>0</x:v>
      </x:c>
      <x:c r="U167" t="n">
        <x:v>12</x:v>
      </x:c>
      <x:c r="V167" t="str">
        <x:v>OK</x:v>
      </x:c>
      <x:c r="W167" t="str">
        <x:v>Detalle 8vos publicado</x:v>
      </x:c>
    </x:row>
    <x:row r="168" ht="15" hidden="0" customHeight="1">
      <x:c r="A168" t="str">
        <x:v>8vos</x:v>
      </x:c>
      <x:c r="B168" t="str">
        <x:v>O8</x:v>
      </x:c>
      <x:c r="C168" t="str">
        <x:v>Arthur</x:v>
      </x:c>
      <x:c r="D168" t="str">
        <x:v>Argentina</x:v>
      </x:c>
      <x:c r="E168" t="str">
        <x:v>Egipto</x:v>
      </x:c>
      <x:c r="F168" t="n">
        <x:v>2</x:v>
      </x:c>
      <x:c r="G168" t="n">
        <x:v>0</x:v>
      </x:c>
      <x:c r="H168" t="str">
        <x:v>Argentina</x:v>
      </x:c>
      <x:c r="I168" t="str">
        <x:v>90 minutos</x:v>
      </x:c>
      <x:c r="J168" t="n">
        <x:v>3</x:v>
      </x:c>
      <x:c r="K168" t="n">
        <x:v>2</x:v>
      </x:c>
      <x:c r="L168" t="str">
        <x:v>Argentina</x:v>
      </x:c>
      <x:c r="M168" t="str">
        <x:v>90 minutos</x:v>
      </x:c>
      <x:c r="N168" t="n">
        <x:v>5</x:v>
      </x:c>
      <x:c r="O168" t="n">
        <x:v>3</x:v>
      </x:c>
      <x:c r="P168" t="n">
        <x:v>2</x:v>
      </x:c>
      <x:c r="Q168" t="n">
        <x:v>0</x:v>
      </x:c>
      <x:c r="R168" t="n">
        <x:v>0</x:v>
      </x:c>
      <x:c r="S168" t="n">
        <x:v>0</x:v>
      </x:c>
      <x:c r="T168" t="n">
        <x:v>0</x:v>
      </x:c>
      <x:c r="U168" t="n">
        <x:v>10</x:v>
      </x:c>
      <x:c r="V168" t="str">
        <x:v>OK</x:v>
      </x:c>
      <x:c r="W168" t="str">
        <x:v>Detalle 8vos publicado</x:v>
      </x:c>
    </x:row>
    <x:row r="169" ht="15" hidden="0" customHeight="1">
      <x:c r="A169" t="str">
        <x:v>8vos</x:v>
      </x:c>
      <x:c r="B169" t="str">
        <x:v>O8</x:v>
      </x:c>
      <x:c r="C169" t="str">
        <x:v>José Luis</x:v>
      </x:c>
      <x:c r="D169" t="str">
        <x:v>Argentina</x:v>
      </x:c>
      <x:c r="E169" t="str">
        <x:v>Egipto</x:v>
      </x:c>
      <x:c r="F169"/>
      <x:c r="G169"/>
      <x:c r="H169" t="str">
        <x:v>Sin envío</x:v>
      </x:c>
      <x:c r="I169" t="str">
        <x:v>Sin envío</x:v>
      </x:c>
      <x:c r="J169" t="n">
        <x:v>3</x:v>
      </x:c>
      <x:c r="K169" t="n">
        <x:v>2</x:v>
      </x:c>
      <x:c r="L169" t="str">
        <x:v>Argentina</x:v>
      </x:c>
      <x:c r="M169" t="str">
        <x:v>90 minutos</x:v>
      </x:c>
      <x:c r="N169" t="n">
        <x:v>0</x:v>
      </x:c>
      <x:c r="O169" t="n">
        <x:v>0</x:v>
      </x:c>
      <x:c r="P169" t="n">
        <x:v>0</x:v>
      </x:c>
      <x:c r="Q169" t="n">
        <x:v>0</x:v>
      </x:c>
      <x:c r="R169" t="n">
        <x:v>0</x:v>
      </x:c>
      <x:c r="S169" t="n">
        <x:v>0</x:v>
      </x:c>
      <x:c r="T169" t="n">
        <x:v>0</x:v>
      </x:c>
      <x:c r="U169" t="n">
        <x:v>0</x:v>
      </x:c>
      <x:c r="V169" t="str">
        <x:v>Sin respuesta CSV</x:v>
      </x:c>
      <x:c r="W169" t="str">
        <x:v>Detalle 8vos publicado</x:v>
      </x:c>
    </x:row>
    <x:row r="170" ht="15" hidden="0" customHeight="1">
      <x:c r="A170" t="str">
        <x:v>8vos</x:v>
      </x:c>
      <x:c r="B170" t="str">
        <x:v>O8</x:v>
      </x:c>
      <x:c r="C170" t="str">
        <x:v>Marcelo</x:v>
      </x:c>
      <x:c r="D170" t="str">
        <x:v>Argentina</x:v>
      </x:c>
      <x:c r="E170" t="str">
        <x:v>Egipto</x:v>
      </x:c>
      <x:c r="F170"/>
      <x:c r="G170"/>
      <x:c r="H170" t="str">
        <x:v>Sin envío</x:v>
      </x:c>
      <x:c r="I170" t="str">
        <x:v>Sin envío</x:v>
      </x:c>
      <x:c r="J170" t="n">
        <x:v>3</x:v>
      </x:c>
      <x:c r="K170" t="n">
        <x:v>2</x:v>
      </x:c>
      <x:c r="L170" t="str">
        <x:v>Argentina</x:v>
      </x:c>
      <x:c r="M170" t="str">
        <x:v>90 minutos</x:v>
      </x:c>
      <x:c r="N170" t="n">
        <x:v>0</x:v>
      </x:c>
      <x:c r="O170" t="n">
        <x:v>0</x:v>
      </x:c>
      <x:c r="P170" t="n">
        <x:v>0</x:v>
      </x:c>
      <x:c r="Q170" t="n">
        <x:v>0</x:v>
      </x:c>
      <x:c r="R170" t="n">
        <x:v>0</x:v>
      </x:c>
      <x:c r="S170" t="n">
        <x:v>0</x:v>
      </x:c>
      <x:c r="T170" t="n">
        <x:v>0</x:v>
      </x:c>
      <x:c r="U170" t="n">
        <x:v>0</x:v>
      </x:c>
      <x:c r="V170" t="str">
        <x:v>Sin respuesta CSV</x:v>
      </x:c>
      <x:c r="W170" t="str">
        <x:v>Detalle 8vos publicado</x:v>
      </x:c>
    </x:row>
    <x:row r="171" ht="15" hidden="0" customHeight="1">
      <x:c r="A171" t="str">
        <x:v>8vos</x:v>
      </x:c>
      <x:c r="B171" t="str">
        <x:v>O8</x:v>
      </x:c>
      <x:c r="C171" t="str">
        <x:v>Anny</x:v>
      </x:c>
      <x:c r="D171" t="str">
        <x:v>Argentina</x:v>
      </x:c>
      <x:c r="E171" t="str">
        <x:v>Egipto</x:v>
      </x:c>
      <x:c r="F171" t="n">
        <x:v>2</x:v>
      </x:c>
      <x:c r="G171" t="n">
        <x:v>1</x:v>
      </x:c>
      <x:c r="H171" t="str">
        <x:v>Argentina</x:v>
      </x:c>
      <x:c r="I171" t="str">
        <x:v>90 minutos</x:v>
      </x:c>
      <x:c r="J171" t="n">
        <x:v>3</x:v>
      </x:c>
      <x:c r="K171" t="n">
        <x:v>2</x:v>
      </x:c>
      <x:c r="L171" t="str">
        <x:v>Argentina</x:v>
      </x:c>
      <x:c r="M171" t="str">
        <x:v>90 minutos</x:v>
      </x:c>
      <x:c r="N171" t="n">
        <x:v>5</x:v>
      </x:c>
      <x:c r="O171" t="n">
        <x:v>3</x:v>
      </x:c>
      <x:c r="P171" t="n">
        <x:v>2</x:v>
      </x:c>
      <x:c r="Q171" t="n">
        <x:v>0</x:v>
      </x:c>
      <x:c r="R171" t="n">
        <x:v>2</x:v>
      </x:c>
      <x:c r="S171" t="n">
        <x:v>0</x:v>
      </x:c>
      <x:c r="T171" t="n">
        <x:v>0</x:v>
      </x:c>
      <x:c r="U171" t="n">
        <x:v>12</x:v>
      </x:c>
      <x:c r="V171" t="str">
        <x:v>OK</x:v>
      </x:c>
      <x:c r="W171" t="str">
        <x:v>Detalle 8vos publicado</x:v>
      </x:c>
    </x:row>
    <x:row r="172" ht="15" hidden="0" customHeight="1">
      <x:c r="A172" t="str">
        <x:v>8vos</x:v>
      </x:c>
      <x:c r="B172" t="str">
        <x:v>O8</x:v>
      </x:c>
      <x:c r="C172" t="str">
        <x:v>Moisés</x:v>
      </x:c>
      <x:c r="D172" t="str">
        <x:v>Argentina</x:v>
      </x:c>
      <x:c r="E172" t="str">
        <x:v>Egipto</x:v>
      </x:c>
      <x:c r="F172" t="n">
        <x:v>2</x:v>
      </x:c>
      <x:c r="G172" t="n">
        <x:v>1</x:v>
      </x:c>
      <x:c r="H172" t="str">
        <x:v>Argentina</x:v>
      </x:c>
      <x:c r="I172" t="str">
        <x:v>Suplementario</x:v>
      </x:c>
      <x:c r="J172" t="n">
        <x:v>3</x:v>
      </x:c>
      <x:c r="K172" t="n">
        <x:v>2</x:v>
      </x:c>
      <x:c r="L172" t="str">
        <x:v>Argentina</x:v>
      </x:c>
      <x:c r="M172" t="str">
        <x:v>90 minutos</x:v>
      </x:c>
      <x:c r="N172" t="n">
        <x:v>0</x:v>
      </x:c>
      <x:c r="O172" t="n">
        <x:v>0</x:v>
      </x:c>
      <x:c r="P172" t="n">
        <x:v>0</x:v>
      </x:c>
      <x:c r="Q172" t="n">
        <x:v>0</x:v>
      </x:c>
      <x:c r="R172" t="n">
        <x:v>0</x:v>
      </x:c>
      <x:c r="S172" t="n">
        <x:v>0</x:v>
      </x:c>
      <x:c r="T172" t="n">
        <x:v>0</x:v>
      </x:c>
      <x:c r="U172" t="n">
        <x:v>0</x:v>
      </x:c>
      <x:c r="V172" t="str">
        <x:v>Revisar: ganador en 90 debe tener método 90 minutos</x:v>
      </x:c>
      <x:c r="W172" t="str">
        <x:v>Detalle 8vos publicado</x:v>
      </x:c>
    </x:row>
    <x:row r="173" ht="15" hidden="0" customHeight="1">
      <x:c r="A173" t="str">
        <x:v>8vos</x:v>
      </x:c>
      <x:c r="B173" t="str">
        <x:v>O8</x:v>
      </x:c>
      <x:c r="C173" t="str">
        <x:v>Alex</x:v>
      </x:c>
      <x:c r="D173" t="str">
        <x:v>Argentina</x:v>
      </x:c>
      <x:c r="E173" t="str">
        <x:v>Egipto</x:v>
      </x:c>
      <x:c r="F173" t="n">
        <x:v>2</x:v>
      </x:c>
      <x:c r="G173" t="n">
        <x:v>1</x:v>
      </x:c>
      <x:c r="H173" t="str">
        <x:v>Argentina</x:v>
      </x:c>
      <x:c r="I173" t="str">
        <x:v>90 minutos</x:v>
      </x:c>
      <x:c r="J173" t="n">
        <x:v>3</x:v>
      </x:c>
      <x:c r="K173" t="n">
        <x:v>2</x:v>
      </x:c>
      <x:c r="L173" t="str">
        <x:v>Argentina</x:v>
      </x:c>
      <x:c r="M173" t="str">
        <x:v>90 minutos</x:v>
      </x:c>
      <x:c r="N173" t="n">
        <x:v>5</x:v>
      </x:c>
      <x:c r="O173" t="n">
        <x:v>3</x:v>
      </x:c>
      <x:c r="P173" t="n">
        <x:v>2</x:v>
      </x:c>
      <x:c r="Q173" t="n">
        <x:v>0</x:v>
      </x:c>
      <x:c r="R173" t="n">
        <x:v>2</x:v>
      </x:c>
      <x:c r="S173" t="n">
        <x:v>0</x:v>
      </x:c>
      <x:c r="T173" t="n">
        <x:v>0</x:v>
      </x:c>
      <x:c r="U173" t="n">
        <x:v>12</x:v>
      </x:c>
      <x:c r="V173" t="str">
        <x:v>OK</x:v>
      </x:c>
      <x:c r="W173" t="str">
        <x:v>Detalle 8vos publicado</x:v>
      </x:c>
    </x:row>
    <x:row r="174" ht="15" hidden="0" customHeight="1">
      <x:c r="A174" t="str">
        <x:v>8vos</x:v>
      </x:c>
      <x:c r="B174" t="str">
        <x:v>O8</x:v>
      </x:c>
      <x:c r="C174" t="str">
        <x:v>Omar</x:v>
      </x:c>
      <x:c r="D174" t="str">
        <x:v>Argentina</x:v>
      </x:c>
      <x:c r="E174" t="str">
        <x:v>Egipto</x:v>
      </x:c>
      <x:c r="F174"/>
      <x:c r="G174"/>
      <x:c r="H174" t="str">
        <x:v>Sin envío</x:v>
      </x:c>
      <x:c r="I174" t="str">
        <x:v>Sin envío</x:v>
      </x:c>
      <x:c r="J174" t="n">
        <x:v>3</x:v>
      </x:c>
      <x:c r="K174" t="n">
        <x:v>2</x:v>
      </x:c>
      <x:c r="L174" t="str">
        <x:v>Argentina</x:v>
      </x:c>
      <x:c r="M174" t="str">
        <x:v>90 minutos</x:v>
      </x:c>
      <x:c r="N174" t="n">
        <x:v>0</x:v>
      </x:c>
      <x:c r="O174" t="n">
        <x:v>0</x:v>
      </x:c>
      <x:c r="P174" t="n">
        <x:v>0</x:v>
      </x:c>
      <x:c r="Q174" t="n">
        <x:v>0</x:v>
      </x:c>
      <x:c r="R174" t="n">
        <x:v>0</x:v>
      </x:c>
      <x:c r="S174" t="n">
        <x:v>0</x:v>
      </x:c>
      <x:c r="T174" t="n">
        <x:v>0</x:v>
      </x:c>
      <x:c r="U174" t="n">
        <x:v>0</x:v>
      </x:c>
      <x:c r="V174" t="str">
        <x:v>Sin respuesta CSV</x:v>
      </x:c>
      <x:c r="W174" t="str">
        <x:v>Detalle 8vos publicado</x:v>
      </x:c>
    </x:row>
    <x:row r="175" ht="15" hidden="0" customHeight="1">
      <x:c r="A175" t="str">
        <x:v>8vos</x:v>
      </x:c>
      <x:c r="B175" t="str">
        <x:v>O8</x:v>
      </x:c>
      <x:c r="C175" t="str">
        <x:v>Fernando</x:v>
      </x:c>
      <x:c r="D175" t="str">
        <x:v>Argentina</x:v>
      </x:c>
      <x:c r="E175" t="str">
        <x:v>Egipto</x:v>
      </x:c>
      <x:c r="F175" t="n">
        <x:v>3</x:v>
      </x:c>
      <x:c r="G175" t="n">
        <x:v>2</x:v>
      </x:c>
      <x:c r="H175" t="str">
        <x:v>Argentina</x:v>
      </x:c>
      <x:c r="I175" t="str">
        <x:v>Suplementario</x:v>
      </x:c>
      <x:c r="J175" t="n">
        <x:v>3</x:v>
      </x:c>
      <x:c r="K175" t="n">
        <x:v>2</x:v>
      </x:c>
      <x:c r="L175" t="str">
        <x:v>Argentina</x:v>
      </x:c>
      <x:c r="M175" t="str">
        <x:v>90 minutos</x:v>
      </x:c>
      <x:c r="N175" t="n">
        <x:v>0</x:v>
      </x:c>
      <x:c r="O175" t="n">
        <x:v>0</x:v>
      </x:c>
      <x:c r="P175" t="n">
        <x:v>0</x:v>
      </x:c>
      <x:c r="Q175" t="n">
        <x:v>0</x:v>
      </x:c>
      <x:c r="R175" t="n">
        <x:v>0</x:v>
      </x:c>
      <x:c r="S175" t="n">
        <x:v>0</x:v>
      </x:c>
      <x:c r="T175" t="n">
        <x:v>0</x:v>
      </x:c>
      <x:c r="U175" t="n">
        <x:v>0</x:v>
      </x:c>
      <x:c r="V175" t="str">
        <x:v>Revisar: ganador en 90 debe tener método 90 minutos</x:v>
      </x:c>
      <x:c r="W175" t="str">
        <x:v>Detalle 8vos publicado</x:v>
      </x:c>
    </x:row>
    <x:row r="176" ht="15" hidden="0" customHeight="1">
      <x:c r="A176" t="str">
        <x:v>8vos</x:v>
      </x:c>
      <x:c r="B176" t="str">
        <x:v>O8</x:v>
      </x:c>
      <x:c r="C176" t="str">
        <x:v>Diana</x:v>
      </x:c>
      <x:c r="D176" t="str">
        <x:v>Argentina</x:v>
      </x:c>
      <x:c r="E176" t="str">
        <x:v>Egipto</x:v>
      </x:c>
      <x:c r="F176" t="n">
        <x:v>3</x:v>
      </x:c>
      <x:c r="G176" t="n">
        <x:v>1</x:v>
      </x:c>
      <x:c r="H176" t="str">
        <x:v>Argentina</x:v>
      </x:c>
      <x:c r="I176" t="str">
        <x:v>90 minutos</x:v>
      </x:c>
      <x:c r="J176" t="n">
        <x:v>3</x:v>
      </x:c>
      <x:c r="K176" t="n">
        <x:v>2</x:v>
      </x:c>
      <x:c r="L176" t="str">
        <x:v>Argentina</x:v>
      </x:c>
      <x:c r="M176" t="str">
        <x:v>90 minutos</x:v>
      </x:c>
      <x:c r="N176" t="n">
        <x:v>5</x:v>
      </x:c>
      <x:c r="O176" t="n">
        <x:v>3</x:v>
      </x:c>
      <x:c r="P176" t="n">
        <x:v>2</x:v>
      </x:c>
      <x:c r="Q176" t="n">
        <x:v>0</x:v>
      </x:c>
      <x:c r="R176" t="n">
        <x:v>0</x:v>
      </x:c>
      <x:c r="S176" t="n">
        <x:v>1</x:v>
      </x:c>
      <x:c r="T176" t="n">
        <x:v>0</x:v>
      </x:c>
      <x:c r="U176" t="n">
        <x:v>11</x:v>
      </x:c>
      <x:c r="V176" t="str">
        <x:v>OK</x:v>
      </x:c>
      <x:c r="W176" t="str">
        <x:v>Detalle 8vos publicado</x:v>
      </x:c>
    </x:row>
    <x:row r="177" ht="15" hidden="0" customHeight="1">
      <x:c r="A177" t="str">
        <x:v>8vos</x:v>
      </x:c>
      <x:c r="B177" t="str">
        <x:v>O8</x:v>
      </x:c>
      <x:c r="C177" t="str">
        <x:v>Óscar</x:v>
      </x:c>
      <x:c r="D177" t="str">
        <x:v>Argentina</x:v>
      </x:c>
      <x:c r="E177" t="str">
        <x:v>Egipto</x:v>
      </x:c>
      <x:c r="F177" t="n">
        <x:v>3</x:v>
      </x:c>
      <x:c r="G177" t="n">
        <x:v>2</x:v>
      </x:c>
      <x:c r="H177" t="str">
        <x:v>Argentina</x:v>
      </x:c>
      <x:c r="I177" t="str">
        <x:v>Suplementario</x:v>
      </x:c>
      <x:c r="J177" t="n">
        <x:v>3</x:v>
      </x:c>
      <x:c r="K177" t="n">
        <x:v>2</x:v>
      </x:c>
      <x:c r="L177" t="str">
        <x:v>Argentina</x:v>
      </x:c>
      <x:c r="M177" t="str">
        <x:v>90 minutos</x:v>
      </x:c>
      <x:c r="N177" t="n">
        <x:v>0</x:v>
      </x:c>
      <x:c r="O177" t="n">
        <x:v>0</x:v>
      </x:c>
      <x:c r="P177" t="n">
        <x:v>0</x:v>
      </x:c>
      <x:c r="Q177" t="n">
        <x:v>0</x:v>
      </x:c>
      <x:c r="R177" t="n">
        <x:v>0</x:v>
      </x:c>
      <x:c r="S177" t="n">
        <x:v>0</x:v>
      </x:c>
      <x:c r="T177" t="n">
        <x:v>0</x:v>
      </x:c>
      <x:c r="U177" t="n">
        <x:v>0</x:v>
      </x:c>
      <x:c r="V177" t="str">
        <x:v>Revisar: ganador en 90 debe tener método 90 minutos</x:v>
      </x:c>
      <x:c r="W177" t="str">
        <x:v>Detalle 8vos publicado</x:v>
      </x:c>
    </x:row>
    <x:row r="178" ht="15" hidden="0" customHeight="1">
      <x:c r="A178" t="str">
        <x:v>4tos</x:v>
      </x:c>
      <x:c r="B178" t="str">
        <x:v>QF1</x:v>
      </x:c>
      <x:c r="C178" t="str">
        <x:v>Freddy</x:v>
      </x:c>
      <x:c r="D178" t="str">
        <x:v>Francia</x:v>
      </x:c>
      <x:c r="E178" t="str">
        <x:v>Marruecos</x:v>
      </x:c>
      <x:c r="F178" t="n">
        <x:v>1</x:v>
      </x:c>
      <x:c r="G178" t="n">
        <x:v>0</x:v>
      </x:c>
      <x:c r="H178" t="str">
        <x:v>Francia</x:v>
      </x:c>
      <x:c r="I178" t="str">
        <x:v>90 minutos</x:v>
      </x:c>
      <x:c r="J178" t="n">
        <x:v>2</x:v>
      </x:c>
      <x:c r="K178" t="n">
        <x:v>0</x:v>
      </x:c>
      <x:c r="L178" t="str">
        <x:v>Francia</x:v>
      </x:c>
      <x:c r="M178" t="str">
        <x:v>90 minutos</x:v>
      </x:c>
      <x:c r="N178" t="n">
        <x:f>IF(AND(AND(ISNUMBER($F178),ISNUMBER($G178),$H178=$L178),IF($I178="90 minutos",IF($F178&gt;$G178,"A",IF($G178&gt;$F178,"B","E")),"E")=IF($M178="90 minutos",IF($J178&gt;$K178,"A",IF($K178&gt;$J178,"B","E")),"E")),Reglas!$B$2,0)</x:f>
        <x:v>5</x:v>
      </x:c>
      <x:c r="O178" t="n">
        <x:f>IF(AND(ISNUMBER($F178),ISNUMBER($G178),$H178=$L178),Reglas!$B$3,0)</x:f>
        <x:v>3</x:v>
      </x:c>
      <x:c r="P178" t="n">
        <x:f>IF(AND(AND(ISNUMBER($F178),ISNUMBER($G178),$H178=$L178),$I178=$M178),Reglas!$B$4,0)</x:f>
        <x:v>2</x:v>
      </x:c>
      <x:c r="Q178" t="n">
        <x:f>IF(AND(AND(AND(ISNUMBER($F178),ISNUMBER($G178),$H178=$L178),$I178=$M178,NOT(AND($I178="Penales",$F178&lt;&gt;$G178))),$F178=$J178,$G178=$K178),Reglas!$B$5,0)</x:f>
        <x:v>0</x:v>
      </x:c>
      <x:c r="R178" t="n">
        <x:f>IF(AND(AND(AND(ISNUMBER($F178),ISNUMBER($G178),$H178=$L178),$I178=$M178,NOT(AND($I178="Penales",$F178&lt;&gt;$G178))),$F178-$G178=$J178-$K178),Reglas!$B$6,0)</x:f>
        <x:v>0</x:v>
      </x:c>
      <x:c r="S178" t="n">
        <x:f>IF(AND(AND(AND(ISNUMBER($F178),ISNUMBER($G178),$H178=$L178),$I178=$M178,NOT(AND($I178="Penales",$F178&lt;&gt;$G178))),$F178=$J178),Reglas!$B$7,0)</x:f>
        <x:v>0</x:v>
      </x:c>
      <x:c r="T178" t="n">
        <x:f>IF(AND(AND(AND(ISNUMBER($F178),ISNUMBER($G178),$H178=$L178),$I178=$M178,NOT(AND($I178="Penales",$F178&lt;&gt;$G178))),$G178=$K178),Reglas!$B$8,0)</x:f>
        <x:v>1</x:v>
      </x:c>
      <x:c r="U178" t="n">
        <x:f>SUM(N178:T178)</x:f>
        <x:v>11</x:v>
      </x:c>
      <x:c r="V178" t="str">
        <x:f>IF($W178="Sin respuesta","Sin envio",IF($U178&gt;0,"OK","Sin puntos"))</x:f>
        <x:v>OK</x:v>
      </x:c>
      <x:c r="W178" t="str">
        <x:v>Google Forms</x:v>
      </x:c>
    </x:row>
    <x:row r="179" ht="15" hidden="0" customHeight="1">
      <x:c r="A179" t="str">
        <x:v>4tos</x:v>
      </x:c>
      <x:c r="B179" t="str">
        <x:v>QF1</x:v>
      </x:c>
      <x:c r="C179" t="str">
        <x:v>Gabriela</x:v>
      </x:c>
      <x:c r="D179" t="str">
        <x:v>Francia</x:v>
      </x:c>
      <x:c r="E179" t="str">
        <x:v>Marruecos</x:v>
      </x:c>
      <x:c r="F179" t="n">
        <x:v>3</x:v>
      </x:c>
      <x:c r="G179" t="n">
        <x:v>2</x:v>
      </x:c>
      <x:c r="H179" t="str">
        <x:v>Francia</x:v>
      </x:c>
      <x:c r="I179" t="str">
        <x:v>Suplementario</x:v>
      </x:c>
      <x:c r="J179" t="n">
        <x:v>2</x:v>
      </x:c>
      <x:c r="K179" t="n">
        <x:v>0</x:v>
      </x:c>
      <x:c r="L179" t="str">
        <x:v>Francia</x:v>
      </x:c>
      <x:c r="M179" t="str">
        <x:v>90 minutos</x:v>
      </x:c>
      <x:c r="N179" t="n">
        <x:f>IF(AND(AND(ISNUMBER($F179),ISNUMBER($G179),$H179=$L179),IF($I179="90 minutos",IF($F179&gt;$G179,"A",IF($G179&gt;$F179,"B","E")),"E")=IF($M179="90 minutos",IF($J179&gt;$K179,"A",IF($K179&gt;$J179,"B","E")),"E")),Reglas!$B$2,0)</x:f>
        <x:v>0</x:v>
      </x:c>
      <x:c r="O179" t="n">
        <x:f>IF(AND(ISNUMBER($F179),ISNUMBER($G179),$H179=$L179),Reglas!$B$3,0)</x:f>
        <x:v>3</x:v>
      </x:c>
      <x:c r="P179" t="n">
        <x:f>IF(AND(AND(ISNUMBER($F179),ISNUMBER($G179),$H179=$L179),$I179=$M179),Reglas!$B$4,0)</x:f>
        <x:v>0</x:v>
      </x:c>
      <x:c r="Q179" t="n">
        <x:f>IF(AND(AND(AND(ISNUMBER($F179),ISNUMBER($G179),$H179=$L179),$I179=$M179,NOT(AND($I179="Penales",$F179&lt;&gt;$G179))),$F179=$J179,$G179=$K179),Reglas!$B$5,0)</x:f>
        <x:v>0</x:v>
      </x:c>
      <x:c r="R179" t="n">
        <x:f>IF(AND(AND(AND(ISNUMBER($F179),ISNUMBER($G179),$H179=$L179),$I179=$M179,NOT(AND($I179="Penales",$F179&lt;&gt;$G179))),$F179-$G179=$J179-$K179),Reglas!$B$6,0)</x:f>
        <x:v>0</x:v>
      </x:c>
      <x:c r="S179" t="n">
        <x:f>IF(AND(AND(AND(ISNUMBER($F179),ISNUMBER($G179),$H179=$L179),$I179=$M179,NOT(AND($I179="Penales",$F179&lt;&gt;$G179))),$F179=$J179),Reglas!$B$7,0)</x:f>
        <x:v>0</x:v>
      </x:c>
      <x:c r="T179" t="n">
        <x:f>IF(AND(AND(AND(ISNUMBER($F179),ISNUMBER($G179),$H179=$L179),$I179=$M179,NOT(AND($I179="Penales",$F179&lt;&gt;$G179))),$G179=$K179),Reglas!$B$8,0)</x:f>
        <x:v>0</x:v>
      </x:c>
      <x:c r="U179" t="n">
        <x:f>SUM(N179:T179)</x:f>
        <x:v>3</x:v>
      </x:c>
      <x:c r="V179" t="str">
        <x:f>IF($W179="Sin respuesta","Sin envio",IF($U179&gt;0,"OK","Sin puntos"))</x:f>
        <x:v>OK</x:v>
      </x:c>
      <x:c r="W179" t="str">
        <x:v>Google Forms</x:v>
      </x:c>
    </x:row>
    <x:row r="180" ht="15" hidden="0" customHeight="1">
      <x:c r="A180" t="str">
        <x:v>4tos</x:v>
      </x:c>
      <x:c r="B180" t="str">
        <x:v>QF1</x:v>
      </x:c>
      <x:c r="C180" t="str">
        <x:v>Jean</x:v>
      </x:c>
      <x:c r="D180" t="str">
        <x:v>Francia</x:v>
      </x:c>
      <x:c r="E180" t="str">
        <x:v>Marruecos</x:v>
      </x:c>
      <x:c r="F180" t="n">
        <x:v>1</x:v>
      </x:c>
      <x:c r="G180" t="n">
        <x:v>0</x:v>
      </x:c>
      <x:c r="H180" t="str">
        <x:v>Francia</x:v>
      </x:c>
      <x:c r="I180" t="str">
        <x:v>90 minutos</x:v>
      </x:c>
      <x:c r="J180" t="n">
        <x:v>2</x:v>
      </x:c>
      <x:c r="K180" t="n">
        <x:v>0</x:v>
      </x:c>
      <x:c r="L180" t="str">
        <x:v>Francia</x:v>
      </x:c>
      <x:c r="M180" t="str">
        <x:v>90 minutos</x:v>
      </x:c>
      <x:c r="N180" t="n">
        <x:f>IF(AND(AND(ISNUMBER($F180),ISNUMBER($G180),$H180=$L180),IF($I180="90 minutos",IF($F180&gt;$G180,"A",IF($G180&gt;$F180,"B","E")),"E")=IF($M180="90 minutos",IF($J180&gt;$K180,"A",IF($K180&gt;$J180,"B","E")),"E")),Reglas!$B$2,0)</x:f>
        <x:v>5</x:v>
      </x:c>
      <x:c r="O180" t="n">
        <x:f>IF(AND(ISNUMBER($F180),ISNUMBER($G180),$H180=$L180),Reglas!$B$3,0)</x:f>
        <x:v>3</x:v>
      </x:c>
      <x:c r="P180" t="n">
        <x:f>IF(AND(AND(ISNUMBER($F180),ISNUMBER($G180),$H180=$L180),$I180=$M180),Reglas!$B$4,0)</x:f>
        <x:v>2</x:v>
      </x:c>
      <x:c r="Q180" t="n">
        <x:f>IF(AND(AND(AND(ISNUMBER($F180),ISNUMBER($G180),$H180=$L180),$I180=$M180,NOT(AND($I180="Penales",$F180&lt;&gt;$G180))),$F180=$J180,$G180=$K180),Reglas!$B$5,0)</x:f>
        <x:v>0</x:v>
      </x:c>
      <x:c r="R180" t="n">
        <x:f>IF(AND(AND(AND(ISNUMBER($F180),ISNUMBER($G180),$H180=$L180),$I180=$M180,NOT(AND($I180="Penales",$F180&lt;&gt;$G180))),$F180-$G180=$J180-$K180),Reglas!$B$6,0)</x:f>
        <x:v>0</x:v>
      </x:c>
      <x:c r="S180" t="n">
        <x:f>IF(AND(AND(AND(ISNUMBER($F180),ISNUMBER($G180),$H180=$L180),$I180=$M180,NOT(AND($I180="Penales",$F180&lt;&gt;$G180))),$F180=$J180),Reglas!$B$7,0)</x:f>
        <x:v>0</x:v>
      </x:c>
      <x:c r="T180" t="n">
        <x:f>IF(AND(AND(AND(ISNUMBER($F180),ISNUMBER($G180),$H180=$L180),$I180=$M180,NOT(AND($I180="Penales",$F180&lt;&gt;$G180))),$G180=$K180),Reglas!$B$8,0)</x:f>
        <x:v>1</x:v>
      </x:c>
      <x:c r="U180" t="n">
        <x:f>SUM(N180:T180)</x:f>
        <x:v>11</x:v>
      </x:c>
      <x:c r="V180" t="str">
        <x:f>IF($W180="Sin respuesta","Sin envio",IF($U180&gt;0,"OK","Sin puntos"))</x:f>
        <x:v>OK</x:v>
      </x:c>
      <x:c r="W180" t="str">
        <x:v>Google Forms</x:v>
      </x:c>
    </x:row>
    <x:row r="181" ht="15" hidden="0" customHeight="1">
      <x:c r="A181" t="str">
        <x:v>4tos</x:v>
      </x:c>
      <x:c r="B181" t="str">
        <x:v>QF1</x:v>
      </x:c>
      <x:c r="C181" t="str">
        <x:v>Juan</x:v>
      </x:c>
      <x:c r="D181" t="str">
        <x:v>Francia</x:v>
      </x:c>
      <x:c r="E181" t="str">
        <x:v>Marruecos</x:v>
      </x:c>
      <x:c r="F181"/>
      <x:c r="G181"/>
      <x:c r="H181" t="str">
        <x:v>Sin envio</x:v>
      </x:c>
      <x:c r="I181" t="str">
        <x:v>Sin envio</x:v>
      </x:c>
      <x:c r="J181" t="n">
        <x:v>2</x:v>
      </x:c>
      <x:c r="K181" t="n">
        <x:v>0</x:v>
      </x:c>
      <x:c r="L181" t="str">
        <x:v>Francia</x:v>
      </x:c>
      <x:c r="M181" t="str">
        <x:v>90 minutos</x:v>
      </x:c>
      <x:c r="N181" t="n">
        <x:f>IF(AND(AND(ISNUMBER($F181),ISNUMBER($G181),$H181=$L181),IF($I181="90 minutos",IF($F181&gt;$G181,"A",IF($G181&gt;$F181,"B","E")),"E")=IF($M181="90 minutos",IF($J181&gt;$K181,"A",IF($K181&gt;$J181,"B","E")),"E")),Reglas!$B$2,0)</x:f>
        <x:v>0</x:v>
      </x:c>
      <x:c r="O181" t="n">
        <x:f>IF(AND(ISNUMBER($F181),ISNUMBER($G181),$H181=$L181),Reglas!$B$3,0)</x:f>
        <x:v>0</x:v>
      </x:c>
      <x:c r="P181" t="n">
        <x:f>IF(AND(AND(ISNUMBER($F181),ISNUMBER($G181),$H181=$L181),$I181=$M181),Reglas!$B$4,0)</x:f>
        <x:v>0</x:v>
      </x:c>
      <x:c r="Q181" t="n">
        <x:f>IF(AND(AND(AND(ISNUMBER($F181),ISNUMBER($G181),$H181=$L181),$I181=$M181,NOT(AND($I181="Penales",$F181&lt;&gt;$G181))),$F181=$J181,$G181=$K181),Reglas!$B$5,0)</x:f>
        <x:v>0</x:v>
      </x:c>
      <x:c r="R181" t="n">
        <x:f>IF(AND(AND(AND(ISNUMBER($F181),ISNUMBER($G181),$H181=$L181),$I181=$M181,NOT(AND($I181="Penales",$F181&lt;&gt;$G181))),$F181-$G181=$J181-$K181),Reglas!$B$6,0)</x:f>
        <x:v>0</x:v>
      </x:c>
      <x:c r="S181" t="n">
        <x:f>IF(AND(AND(AND(ISNUMBER($F181),ISNUMBER($G181),$H181=$L181),$I181=$M181,NOT(AND($I181="Penales",$F181&lt;&gt;$G181))),$F181=$J181),Reglas!$B$7,0)</x:f>
        <x:v>0</x:v>
      </x:c>
      <x:c r="T181" t="n">
        <x:f>IF(AND(AND(AND(ISNUMBER($F181),ISNUMBER($G181),$H181=$L181),$I181=$M181,NOT(AND($I181="Penales",$F181&lt;&gt;$G181))),$G181=$K181),Reglas!$B$8,0)</x:f>
        <x:v>0</x:v>
      </x:c>
      <x:c r="U181" t="n">
        <x:f>SUM(N181:T181)</x:f>
        <x:v>0</x:v>
      </x:c>
      <x:c r="V181" t="str">
        <x:f>IF($W181="Sin respuesta","Sin envio",IF($U181&gt;0,"OK","Sin puntos"))</x:f>
        <x:v>Sin envio</x:v>
      </x:c>
      <x:c r="W181" t="str">
        <x:v>Sin respuesta</x:v>
      </x:c>
    </x:row>
    <x:row r="182" ht="15" hidden="0" customHeight="1">
      <x:c r="A182" t="str">
        <x:v>4tos</x:v>
      </x:c>
      <x:c r="B182" t="str">
        <x:v>QF1</x:v>
      </x:c>
      <x:c r="C182" t="str">
        <x:v>Jesús</x:v>
      </x:c>
      <x:c r="D182" t="str">
        <x:v>Francia</x:v>
      </x:c>
      <x:c r="E182" t="str">
        <x:v>Marruecos</x:v>
      </x:c>
      <x:c r="F182" t="n">
        <x:v>3</x:v>
      </x:c>
      <x:c r="G182" t="n">
        <x:v>1</x:v>
      </x:c>
      <x:c r="H182" t="str">
        <x:v>Francia</x:v>
      </x:c>
      <x:c r="I182" t="str">
        <x:v>90 minutos</x:v>
      </x:c>
      <x:c r="J182" t="n">
        <x:v>2</x:v>
      </x:c>
      <x:c r="K182" t="n">
        <x:v>0</x:v>
      </x:c>
      <x:c r="L182" t="str">
        <x:v>Francia</x:v>
      </x:c>
      <x:c r="M182" t="str">
        <x:v>90 minutos</x:v>
      </x:c>
      <x:c r="N182" t="n">
        <x:f>IF(AND(AND(ISNUMBER($F182),ISNUMBER($G182),$H182=$L182),IF($I182="90 minutos",IF($F182&gt;$G182,"A",IF($G182&gt;$F182,"B","E")),"E")=IF($M182="90 minutos",IF($J182&gt;$K182,"A",IF($K182&gt;$J182,"B","E")),"E")),Reglas!$B$2,0)</x:f>
        <x:v>5</x:v>
      </x:c>
      <x:c r="O182" t="n">
        <x:f>IF(AND(ISNUMBER($F182),ISNUMBER($G182),$H182=$L182),Reglas!$B$3,0)</x:f>
        <x:v>3</x:v>
      </x:c>
      <x:c r="P182" t="n">
        <x:f>IF(AND(AND(ISNUMBER($F182),ISNUMBER($G182),$H182=$L182),$I182=$M182),Reglas!$B$4,0)</x:f>
        <x:v>2</x:v>
      </x:c>
      <x:c r="Q182" t="n">
        <x:f>IF(AND(AND(AND(ISNUMBER($F182),ISNUMBER($G182),$H182=$L182),$I182=$M182,NOT(AND($I182="Penales",$F182&lt;&gt;$G182))),$F182=$J182,$G182=$K182),Reglas!$B$5,0)</x:f>
        <x:v>0</x:v>
      </x:c>
      <x:c r="R182" t="n">
        <x:f>IF(AND(AND(AND(ISNUMBER($F182),ISNUMBER($G182),$H182=$L182),$I182=$M182,NOT(AND($I182="Penales",$F182&lt;&gt;$G182))),$F182-$G182=$J182-$K182),Reglas!$B$6,0)</x:f>
        <x:v>2</x:v>
      </x:c>
      <x:c r="S182" t="n">
        <x:f>IF(AND(AND(AND(ISNUMBER($F182),ISNUMBER($G182),$H182=$L182),$I182=$M182,NOT(AND($I182="Penales",$F182&lt;&gt;$G182))),$F182=$J182),Reglas!$B$7,0)</x:f>
        <x:v>0</x:v>
      </x:c>
      <x:c r="T182" t="n">
        <x:f>IF(AND(AND(AND(ISNUMBER($F182),ISNUMBER($G182),$H182=$L182),$I182=$M182,NOT(AND($I182="Penales",$F182&lt;&gt;$G182))),$G182=$K182),Reglas!$B$8,0)</x:f>
        <x:v>0</x:v>
      </x:c>
      <x:c r="U182" t="n">
        <x:f>SUM(N182:T182)</x:f>
        <x:v>12</x:v>
      </x:c>
      <x:c r="V182" t="str">
        <x:f>IF($W182="Sin respuesta","Sin envio",IF($U182&gt;0,"OK","Sin puntos"))</x:f>
        <x:v>OK</x:v>
      </x:c>
      <x:c r="W182" t="str">
        <x:v>Google Forms</x:v>
      </x:c>
    </x:row>
    <x:row r="183" ht="15" hidden="0" customHeight="1">
      <x:c r="A183" t="str">
        <x:v>4tos</x:v>
      </x:c>
      <x:c r="B183" t="str">
        <x:v>QF1</x:v>
      </x:c>
      <x:c r="C183" t="str">
        <x:v>Diego</x:v>
      </x:c>
      <x:c r="D183" t="str">
        <x:v>Francia</x:v>
      </x:c>
      <x:c r="E183" t="str">
        <x:v>Marruecos</x:v>
      </x:c>
      <x:c r="F183" t="n">
        <x:v>2</x:v>
      </x:c>
      <x:c r="G183" t="n">
        <x:v>1</x:v>
      </x:c>
      <x:c r="H183" t="str">
        <x:v>Francia</x:v>
      </x:c>
      <x:c r="I183" t="str">
        <x:v>90 minutos</x:v>
      </x:c>
      <x:c r="J183" t="n">
        <x:v>2</x:v>
      </x:c>
      <x:c r="K183" t="n">
        <x:v>0</x:v>
      </x:c>
      <x:c r="L183" t="str">
        <x:v>Francia</x:v>
      </x:c>
      <x:c r="M183" t="str">
        <x:v>90 minutos</x:v>
      </x:c>
      <x:c r="N183" t="n">
        <x:f>IF(AND(AND(ISNUMBER($F183),ISNUMBER($G183),$H183=$L183),IF($I183="90 minutos",IF($F183&gt;$G183,"A",IF($G183&gt;$F183,"B","E")),"E")=IF($M183="90 minutos",IF($J183&gt;$K183,"A",IF($K183&gt;$J183,"B","E")),"E")),Reglas!$B$2,0)</x:f>
        <x:v>5</x:v>
      </x:c>
      <x:c r="O183" t="n">
        <x:f>IF(AND(ISNUMBER($F183),ISNUMBER($G183),$H183=$L183),Reglas!$B$3,0)</x:f>
        <x:v>3</x:v>
      </x:c>
      <x:c r="P183" t="n">
        <x:f>IF(AND(AND(ISNUMBER($F183),ISNUMBER($G183),$H183=$L183),$I183=$M183),Reglas!$B$4,0)</x:f>
        <x:v>2</x:v>
      </x:c>
      <x:c r="Q183" t="n">
        <x:f>IF(AND(AND(AND(ISNUMBER($F183),ISNUMBER($G183),$H183=$L183),$I183=$M183,NOT(AND($I183="Penales",$F183&lt;&gt;$G183))),$F183=$J183,$G183=$K183),Reglas!$B$5,0)</x:f>
        <x:v>0</x:v>
      </x:c>
      <x:c r="R183" t="n">
        <x:f>IF(AND(AND(AND(ISNUMBER($F183),ISNUMBER($G183),$H183=$L183),$I183=$M183,NOT(AND($I183="Penales",$F183&lt;&gt;$G183))),$F183-$G183=$J183-$K183),Reglas!$B$6,0)</x:f>
        <x:v>0</x:v>
      </x:c>
      <x:c r="S183" t="n">
        <x:f>IF(AND(AND(AND(ISNUMBER($F183),ISNUMBER($G183),$H183=$L183),$I183=$M183,NOT(AND($I183="Penales",$F183&lt;&gt;$G183))),$F183=$J183),Reglas!$B$7,0)</x:f>
        <x:v>1</x:v>
      </x:c>
      <x:c r="T183" t="n">
        <x:f>IF(AND(AND(AND(ISNUMBER($F183),ISNUMBER($G183),$H183=$L183),$I183=$M183,NOT(AND($I183="Penales",$F183&lt;&gt;$G183))),$G183=$K183),Reglas!$B$8,0)</x:f>
        <x:v>0</x:v>
      </x:c>
      <x:c r="U183" t="n">
        <x:f>SUM(N183:T183)</x:f>
        <x:v>11</x:v>
      </x:c>
      <x:c r="V183" t="str">
        <x:f>IF($W183="Sin respuesta","Sin envio",IF($U183&gt;0,"OK","Sin puntos"))</x:f>
        <x:v>OK</x:v>
      </x:c>
      <x:c r="W183" t="str">
        <x:v>Google Forms</x:v>
      </x:c>
    </x:row>
    <x:row r="184" ht="15" hidden="0" customHeight="1">
      <x:c r="A184" t="str">
        <x:v>4tos</x:v>
      </x:c>
      <x:c r="B184" t="str">
        <x:v>QF1</x:v>
      </x:c>
      <x:c r="C184" t="str">
        <x:v>Aldo</x:v>
      </x:c>
      <x:c r="D184" t="str">
        <x:v>Francia</x:v>
      </x:c>
      <x:c r="E184" t="str">
        <x:v>Marruecos</x:v>
      </x:c>
      <x:c r="F184" t="n">
        <x:v>1</x:v>
      </x:c>
      <x:c r="G184" t="n">
        <x:v>1</x:v>
      </x:c>
      <x:c r="H184" t="str">
        <x:v>Marruecos</x:v>
      </x:c>
      <x:c r="I184" t="str">
        <x:v>Penales</x:v>
      </x:c>
      <x:c r="J184" t="n">
        <x:v>2</x:v>
      </x:c>
      <x:c r="K184" t="n">
        <x:v>0</x:v>
      </x:c>
      <x:c r="L184" t="str">
        <x:v>Francia</x:v>
      </x:c>
      <x:c r="M184" t="str">
        <x:v>90 minutos</x:v>
      </x:c>
      <x:c r="N184" t="n">
        <x:f>IF(AND(AND(ISNUMBER($F184),ISNUMBER($G184),$H184=$L184),IF($I184="90 minutos",IF($F184&gt;$G184,"A",IF($G184&gt;$F184,"B","E")),"E")=IF($M184="90 minutos",IF($J184&gt;$K184,"A",IF($K184&gt;$J184,"B","E")),"E")),Reglas!$B$2,0)</x:f>
        <x:v>0</x:v>
      </x:c>
      <x:c r="O184" t="n">
        <x:f>IF(AND(ISNUMBER($F184),ISNUMBER($G184),$H184=$L184),Reglas!$B$3,0)</x:f>
        <x:v>0</x:v>
      </x:c>
      <x:c r="P184" t="n">
        <x:f>IF(AND(AND(ISNUMBER($F184),ISNUMBER($G184),$H184=$L184),$I184=$M184),Reglas!$B$4,0)</x:f>
        <x:v>0</x:v>
      </x:c>
      <x:c r="Q184" t="n">
        <x:f>IF(AND(AND(AND(ISNUMBER($F184),ISNUMBER($G184),$H184=$L184),$I184=$M184,NOT(AND($I184="Penales",$F184&lt;&gt;$G184))),$F184=$J184,$G184=$K184),Reglas!$B$5,0)</x:f>
        <x:v>0</x:v>
      </x:c>
      <x:c r="R184" t="n">
        <x:f>IF(AND(AND(AND(ISNUMBER($F184),ISNUMBER($G184),$H184=$L184),$I184=$M184,NOT(AND($I184="Penales",$F184&lt;&gt;$G184))),$F184-$G184=$J184-$K184),Reglas!$B$6,0)</x:f>
        <x:v>0</x:v>
      </x:c>
      <x:c r="S184" t="n">
        <x:f>IF(AND(AND(AND(ISNUMBER($F184),ISNUMBER($G184),$H184=$L184),$I184=$M184,NOT(AND($I184="Penales",$F184&lt;&gt;$G184))),$F184=$J184),Reglas!$B$7,0)</x:f>
        <x:v>0</x:v>
      </x:c>
      <x:c r="T184" t="n">
        <x:f>IF(AND(AND(AND(ISNUMBER($F184),ISNUMBER($G184),$H184=$L184),$I184=$M184,NOT(AND($I184="Penales",$F184&lt;&gt;$G184))),$G184=$K184),Reglas!$B$8,0)</x:f>
        <x:v>0</x:v>
      </x:c>
      <x:c r="U184" t="n">
        <x:f>SUM(N184:T184)</x:f>
        <x:v>0</x:v>
      </x:c>
      <x:c r="V184" t="str">
        <x:f>IF($W184="Sin respuesta","Sin envio",IF($U184&gt;0,"OK","Sin puntos"))</x:f>
        <x:v>Sin puntos</x:v>
      </x:c>
      <x:c r="W184" t="str">
        <x:v>Google Forms</x:v>
      </x:c>
    </x:row>
    <x:row r="185" ht="15" hidden="0" customHeight="1">
      <x:c r="A185" t="str">
        <x:v>4tos</x:v>
      </x:c>
      <x:c r="B185" t="str">
        <x:v>QF1</x:v>
      </x:c>
      <x:c r="C185" t="str">
        <x:v>Javier</x:v>
      </x:c>
      <x:c r="D185" t="str">
        <x:v>Francia</x:v>
      </x:c>
      <x:c r="E185" t="str">
        <x:v>Marruecos</x:v>
      </x:c>
      <x:c r="F185" t="n">
        <x:v>2</x:v>
      </x:c>
      <x:c r="G185" t="n">
        <x:v>1</x:v>
      </x:c>
      <x:c r="H185" t="str">
        <x:v>Francia</x:v>
      </x:c>
      <x:c r="I185" t="str">
        <x:v>Suplementario</x:v>
      </x:c>
      <x:c r="J185" t="n">
        <x:v>2</x:v>
      </x:c>
      <x:c r="K185" t="n">
        <x:v>0</x:v>
      </x:c>
      <x:c r="L185" t="str">
        <x:v>Francia</x:v>
      </x:c>
      <x:c r="M185" t="str">
        <x:v>90 minutos</x:v>
      </x:c>
      <x:c r="N185" t="n">
        <x:f>IF(AND(AND(ISNUMBER($F185),ISNUMBER($G185),$H185=$L185),IF($I185="90 minutos",IF($F185&gt;$G185,"A",IF($G185&gt;$F185,"B","E")),"E")=IF($M185="90 minutos",IF($J185&gt;$K185,"A",IF($K185&gt;$J185,"B","E")),"E")),Reglas!$B$2,0)</x:f>
        <x:v>0</x:v>
      </x:c>
      <x:c r="O185" t="n">
        <x:f>IF(AND(ISNUMBER($F185),ISNUMBER($G185),$H185=$L185),Reglas!$B$3,0)</x:f>
        <x:v>3</x:v>
      </x:c>
      <x:c r="P185" t="n">
        <x:f>IF(AND(AND(ISNUMBER($F185),ISNUMBER($G185),$H185=$L185),$I185=$M185),Reglas!$B$4,0)</x:f>
        <x:v>0</x:v>
      </x:c>
      <x:c r="Q185" t="n">
        <x:f>IF(AND(AND(AND(ISNUMBER($F185),ISNUMBER($G185),$H185=$L185),$I185=$M185,NOT(AND($I185="Penales",$F185&lt;&gt;$G185))),$F185=$J185,$G185=$K185),Reglas!$B$5,0)</x:f>
        <x:v>0</x:v>
      </x:c>
      <x:c r="R185" t="n">
        <x:f>IF(AND(AND(AND(ISNUMBER($F185),ISNUMBER($G185),$H185=$L185),$I185=$M185,NOT(AND($I185="Penales",$F185&lt;&gt;$G185))),$F185-$G185=$J185-$K185),Reglas!$B$6,0)</x:f>
        <x:v>0</x:v>
      </x:c>
      <x:c r="S185" t="n">
        <x:f>IF(AND(AND(AND(ISNUMBER($F185),ISNUMBER($G185),$H185=$L185),$I185=$M185,NOT(AND($I185="Penales",$F185&lt;&gt;$G185))),$F185=$J185),Reglas!$B$7,0)</x:f>
        <x:v>0</x:v>
      </x:c>
      <x:c r="T185" t="n">
        <x:f>IF(AND(AND(AND(ISNUMBER($F185),ISNUMBER($G185),$H185=$L185),$I185=$M185,NOT(AND($I185="Penales",$F185&lt;&gt;$G185))),$G185=$K185),Reglas!$B$8,0)</x:f>
        <x:v>0</x:v>
      </x:c>
      <x:c r="U185" t="n">
        <x:f>SUM(N185:T185)</x:f>
        <x:v>3</x:v>
      </x:c>
      <x:c r="V185" t="str">
        <x:f>IF($W185="Sin respuesta","Sin envio",IF($U185&gt;0,"OK","Sin puntos"))</x:f>
        <x:v>OK</x:v>
      </x:c>
      <x:c r="W185" t="str">
        <x:v>Google Forms</x:v>
      </x:c>
    </x:row>
    <x:row r="186" ht="15" hidden="0" customHeight="1">
      <x:c r="A186" t="str">
        <x:v>4tos</x:v>
      </x:c>
      <x:c r="B186" t="str">
        <x:v>QF1</x:v>
      </x:c>
      <x:c r="C186" t="str">
        <x:v>Gino</x:v>
      </x:c>
      <x:c r="D186" t="str">
        <x:v>Francia</x:v>
      </x:c>
      <x:c r="E186" t="str">
        <x:v>Marruecos</x:v>
      </x:c>
      <x:c r="F186" t="n">
        <x:v>2</x:v>
      </x:c>
      <x:c r="G186" t="n">
        <x:v>1</x:v>
      </x:c>
      <x:c r="H186" t="str">
        <x:v>Francia</x:v>
      </x:c>
      <x:c r="I186" t="str">
        <x:v>90 minutos</x:v>
      </x:c>
      <x:c r="J186" t="n">
        <x:v>2</x:v>
      </x:c>
      <x:c r="K186" t="n">
        <x:v>0</x:v>
      </x:c>
      <x:c r="L186" t="str">
        <x:v>Francia</x:v>
      </x:c>
      <x:c r="M186" t="str">
        <x:v>90 minutos</x:v>
      </x:c>
      <x:c r="N186" t="n">
        <x:f>IF(AND(AND(ISNUMBER($F186),ISNUMBER($G186),$H186=$L186),IF($I186="90 minutos",IF($F186&gt;$G186,"A",IF($G186&gt;$F186,"B","E")),"E")=IF($M186="90 minutos",IF($J186&gt;$K186,"A",IF($K186&gt;$J186,"B","E")),"E")),Reglas!$B$2,0)</x:f>
        <x:v>5</x:v>
      </x:c>
      <x:c r="O186" t="n">
        <x:f>IF(AND(ISNUMBER($F186),ISNUMBER($G186),$H186=$L186),Reglas!$B$3,0)</x:f>
        <x:v>3</x:v>
      </x:c>
      <x:c r="P186" t="n">
        <x:f>IF(AND(AND(ISNUMBER($F186),ISNUMBER($G186),$H186=$L186),$I186=$M186),Reglas!$B$4,0)</x:f>
        <x:v>2</x:v>
      </x:c>
      <x:c r="Q186" t="n">
        <x:f>IF(AND(AND(AND(ISNUMBER($F186),ISNUMBER($G186),$H186=$L186),$I186=$M186,NOT(AND($I186="Penales",$F186&lt;&gt;$G186))),$F186=$J186,$G186=$K186),Reglas!$B$5,0)</x:f>
        <x:v>0</x:v>
      </x:c>
      <x:c r="R186" t="n">
        <x:f>IF(AND(AND(AND(ISNUMBER($F186),ISNUMBER($G186),$H186=$L186),$I186=$M186,NOT(AND($I186="Penales",$F186&lt;&gt;$G186))),$F186-$G186=$J186-$K186),Reglas!$B$6,0)</x:f>
        <x:v>0</x:v>
      </x:c>
      <x:c r="S186" t="n">
        <x:f>IF(AND(AND(AND(ISNUMBER($F186),ISNUMBER($G186),$H186=$L186),$I186=$M186,NOT(AND($I186="Penales",$F186&lt;&gt;$G186))),$F186=$J186),Reglas!$B$7,0)</x:f>
        <x:v>1</x:v>
      </x:c>
      <x:c r="T186" t="n">
        <x:f>IF(AND(AND(AND(ISNUMBER($F186),ISNUMBER($G186),$H186=$L186),$I186=$M186,NOT(AND($I186="Penales",$F186&lt;&gt;$G186))),$G186=$K186),Reglas!$B$8,0)</x:f>
        <x:v>0</x:v>
      </x:c>
      <x:c r="U186" t="n">
        <x:f>SUM(N186:T186)</x:f>
        <x:v>11</x:v>
      </x:c>
      <x:c r="V186" t="str">
        <x:f>IF($W186="Sin respuesta","Sin envio",IF($U186&gt;0,"OK","Sin puntos"))</x:f>
        <x:v>OK</x:v>
      </x:c>
      <x:c r="W186" t="str">
        <x:v>Google Forms</x:v>
      </x:c>
    </x:row>
    <x:row r="187" ht="15" hidden="0" customHeight="1">
      <x:c r="A187" t="str">
        <x:v>4tos</x:v>
      </x:c>
      <x:c r="B187" t="str">
        <x:v>QF1</x:v>
      </x:c>
      <x:c r="C187" t="str">
        <x:v>Manuel</x:v>
      </x:c>
      <x:c r="D187" t="str">
        <x:v>Francia</x:v>
      </x:c>
      <x:c r="E187" t="str">
        <x:v>Marruecos</x:v>
      </x:c>
      <x:c r="F187" t="n">
        <x:v>2</x:v>
      </x:c>
      <x:c r="G187" t="n">
        <x:v>0</x:v>
      </x:c>
      <x:c r="H187" t="str">
        <x:v>Francia</x:v>
      </x:c>
      <x:c r="I187" t="str">
        <x:v>90 minutos</x:v>
      </x:c>
      <x:c r="J187" t="n">
        <x:v>2</x:v>
      </x:c>
      <x:c r="K187" t="n">
        <x:v>0</x:v>
      </x:c>
      <x:c r="L187" t="str">
        <x:v>Francia</x:v>
      </x:c>
      <x:c r="M187" t="str">
        <x:v>90 minutos</x:v>
      </x:c>
      <x:c r="N187" t="n">
        <x:f>IF(AND(AND(ISNUMBER($F187),ISNUMBER($G187),$H187=$L187),IF($I187="90 minutos",IF($F187&gt;$G187,"A",IF($G187&gt;$F187,"B","E")),"E")=IF($M187="90 minutos",IF($J187&gt;$K187,"A",IF($K187&gt;$J187,"B","E")),"E")),Reglas!$B$2,0)</x:f>
        <x:v>5</x:v>
      </x:c>
      <x:c r="O187" t="n">
        <x:f>IF(AND(ISNUMBER($F187),ISNUMBER($G187),$H187=$L187),Reglas!$B$3,0)</x:f>
        <x:v>3</x:v>
      </x:c>
      <x:c r="P187" t="n">
        <x:f>IF(AND(AND(ISNUMBER($F187),ISNUMBER($G187),$H187=$L187),$I187=$M187),Reglas!$B$4,0)</x:f>
        <x:v>2</x:v>
      </x:c>
      <x:c r="Q187" t="n">
        <x:f>IF(AND(AND(AND(ISNUMBER($F187),ISNUMBER($G187),$H187=$L187),$I187=$M187,NOT(AND($I187="Penales",$F187&lt;&gt;$G187))),$F187=$J187,$G187=$K187),Reglas!$B$5,0)</x:f>
        <x:v>4</x:v>
      </x:c>
      <x:c r="R187" t="n">
        <x:f>IF(AND(AND(AND(ISNUMBER($F187),ISNUMBER($G187),$H187=$L187),$I187=$M187,NOT(AND($I187="Penales",$F187&lt;&gt;$G187))),$F187-$G187=$J187-$K187),Reglas!$B$6,0)</x:f>
        <x:v>2</x:v>
      </x:c>
      <x:c r="S187" t="n">
        <x:f>IF(AND(AND(AND(ISNUMBER($F187),ISNUMBER($G187),$H187=$L187),$I187=$M187,NOT(AND($I187="Penales",$F187&lt;&gt;$G187))),$F187=$J187),Reglas!$B$7,0)</x:f>
        <x:v>1</x:v>
      </x:c>
      <x:c r="T187" t="n">
        <x:f>IF(AND(AND(AND(ISNUMBER($F187),ISNUMBER($G187),$H187=$L187),$I187=$M187,NOT(AND($I187="Penales",$F187&lt;&gt;$G187))),$G187=$K187),Reglas!$B$8,0)</x:f>
        <x:v>1</x:v>
      </x:c>
      <x:c r="U187" t="n">
        <x:f>SUM(N187:T187)</x:f>
        <x:v>18</x:v>
      </x:c>
      <x:c r="V187" t="str">
        <x:f>IF($W187="Sin respuesta","Sin envio",IF($U187&gt;0,"OK","Sin puntos"))</x:f>
        <x:v>OK</x:v>
      </x:c>
      <x:c r="W187" t="str">
        <x:v>Google Forms</x:v>
      </x:c>
    </x:row>
    <x:row r="188" ht="15" hidden="0" customHeight="1">
      <x:c r="A188" t="str">
        <x:v>4tos</x:v>
      </x:c>
      <x:c r="B188" t="str">
        <x:v>QF1</x:v>
      </x:c>
      <x:c r="C188" t="str">
        <x:v>Jorge</x:v>
      </x:c>
      <x:c r="D188" t="str">
        <x:v>Francia</x:v>
      </x:c>
      <x:c r="E188" t="str">
        <x:v>Marruecos</x:v>
      </x:c>
      <x:c r="F188" t="n">
        <x:v>3</x:v>
      </x:c>
      <x:c r="G188" t="n">
        <x:v>2</x:v>
      </x:c>
      <x:c r="H188" t="str">
        <x:v>Francia</x:v>
      </x:c>
      <x:c r="I188" t="str">
        <x:v>90 minutos</x:v>
      </x:c>
      <x:c r="J188" t="n">
        <x:v>2</x:v>
      </x:c>
      <x:c r="K188" t="n">
        <x:v>0</x:v>
      </x:c>
      <x:c r="L188" t="str">
        <x:v>Francia</x:v>
      </x:c>
      <x:c r="M188" t="str">
        <x:v>90 minutos</x:v>
      </x:c>
      <x:c r="N188" t="n">
        <x:f>IF(AND(AND(ISNUMBER($F188),ISNUMBER($G188),$H188=$L188),IF($I188="90 minutos",IF($F188&gt;$G188,"A",IF($G188&gt;$F188,"B","E")),"E")=IF($M188="90 minutos",IF($J188&gt;$K188,"A",IF($K188&gt;$J188,"B","E")),"E")),Reglas!$B$2,0)</x:f>
        <x:v>5</x:v>
      </x:c>
      <x:c r="O188" t="n">
        <x:f>IF(AND(ISNUMBER($F188),ISNUMBER($G188),$H188=$L188),Reglas!$B$3,0)</x:f>
        <x:v>3</x:v>
      </x:c>
      <x:c r="P188" t="n">
        <x:f>IF(AND(AND(ISNUMBER($F188),ISNUMBER($G188),$H188=$L188),$I188=$M188),Reglas!$B$4,0)</x:f>
        <x:v>2</x:v>
      </x:c>
      <x:c r="Q188" t="n">
        <x:f>IF(AND(AND(AND(ISNUMBER($F188),ISNUMBER($G188),$H188=$L188),$I188=$M188,NOT(AND($I188="Penales",$F188&lt;&gt;$G188))),$F188=$J188,$G188=$K188),Reglas!$B$5,0)</x:f>
        <x:v>0</x:v>
      </x:c>
      <x:c r="R188" t="n">
        <x:f>IF(AND(AND(AND(ISNUMBER($F188),ISNUMBER($G188),$H188=$L188),$I188=$M188,NOT(AND($I188="Penales",$F188&lt;&gt;$G188))),$F188-$G188=$J188-$K188),Reglas!$B$6,0)</x:f>
        <x:v>0</x:v>
      </x:c>
      <x:c r="S188" t="n">
        <x:f>IF(AND(AND(AND(ISNUMBER($F188),ISNUMBER($G188),$H188=$L188),$I188=$M188,NOT(AND($I188="Penales",$F188&lt;&gt;$G188))),$F188=$J188),Reglas!$B$7,0)</x:f>
        <x:v>0</x:v>
      </x:c>
      <x:c r="T188" t="n">
        <x:f>IF(AND(AND(AND(ISNUMBER($F188),ISNUMBER($G188),$H188=$L188),$I188=$M188,NOT(AND($I188="Penales",$F188&lt;&gt;$G188))),$G188=$K188),Reglas!$B$8,0)</x:f>
        <x:v>0</x:v>
      </x:c>
      <x:c r="U188" t="n">
        <x:f>SUM(N188:T188)</x:f>
        <x:v>10</x:v>
      </x:c>
      <x:c r="V188" t="str">
        <x:f>IF($W188="Sin respuesta","Sin envio",IF($U188&gt;0,"OK","Sin puntos"))</x:f>
        <x:v>OK</x:v>
      </x:c>
      <x:c r="W188" t="str">
        <x:v>Google Forms</x:v>
      </x:c>
    </x:row>
    <x:row r="189" ht="15" hidden="0" customHeight="1">
      <x:c r="A189" t="str">
        <x:v>4tos</x:v>
      </x:c>
      <x:c r="B189" t="str">
        <x:v>QF1</x:v>
      </x:c>
      <x:c r="C189" t="str">
        <x:v>Daniel</x:v>
      </x:c>
      <x:c r="D189" t="str">
        <x:v>Francia</x:v>
      </x:c>
      <x:c r="E189" t="str">
        <x:v>Marruecos</x:v>
      </x:c>
      <x:c r="F189" t="n">
        <x:v>3</x:v>
      </x:c>
      <x:c r="G189" t="n">
        <x:v>2</x:v>
      </x:c>
      <x:c r="H189" t="str">
        <x:v>Francia</x:v>
      </x:c>
      <x:c r="I189" t="str">
        <x:v>Suplementario</x:v>
      </x:c>
      <x:c r="J189" t="n">
        <x:v>2</x:v>
      </x:c>
      <x:c r="K189" t="n">
        <x:v>0</x:v>
      </x:c>
      <x:c r="L189" t="str">
        <x:v>Francia</x:v>
      </x:c>
      <x:c r="M189" t="str">
        <x:v>90 minutos</x:v>
      </x:c>
      <x:c r="N189" t="n">
        <x:f>IF(AND(AND(ISNUMBER($F189),ISNUMBER($G189),$H189=$L189),IF($I189="90 minutos",IF($F189&gt;$G189,"A",IF($G189&gt;$F189,"B","E")),"E")=IF($M189="90 minutos",IF($J189&gt;$K189,"A",IF($K189&gt;$J189,"B","E")),"E")),Reglas!$B$2,0)</x:f>
        <x:v>0</x:v>
      </x:c>
      <x:c r="O189" t="n">
        <x:f>IF(AND(ISNUMBER($F189),ISNUMBER($G189),$H189=$L189),Reglas!$B$3,0)</x:f>
        <x:v>3</x:v>
      </x:c>
      <x:c r="P189" t="n">
        <x:f>IF(AND(AND(ISNUMBER($F189),ISNUMBER($G189),$H189=$L189),$I189=$M189),Reglas!$B$4,0)</x:f>
        <x:v>0</x:v>
      </x:c>
      <x:c r="Q189" t="n">
        <x:f>IF(AND(AND(AND(ISNUMBER($F189),ISNUMBER($G189),$H189=$L189),$I189=$M189,NOT(AND($I189="Penales",$F189&lt;&gt;$G189))),$F189=$J189,$G189=$K189),Reglas!$B$5,0)</x:f>
        <x:v>0</x:v>
      </x:c>
      <x:c r="R189" t="n">
        <x:f>IF(AND(AND(AND(ISNUMBER($F189),ISNUMBER($G189),$H189=$L189),$I189=$M189,NOT(AND($I189="Penales",$F189&lt;&gt;$G189))),$F189-$G189=$J189-$K189),Reglas!$B$6,0)</x:f>
        <x:v>0</x:v>
      </x:c>
      <x:c r="S189" t="n">
        <x:f>IF(AND(AND(AND(ISNUMBER($F189),ISNUMBER($G189),$H189=$L189),$I189=$M189,NOT(AND($I189="Penales",$F189&lt;&gt;$G189))),$F189=$J189),Reglas!$B$7,0)</x:f>
        <x:v>0</x:v>
      </x:c>
      <x:c r="T189" t="n">
        <x:f>IF(AND(AND(AND(ISNUMBER($F189),ISNUMBER($G189),$H189=$L189),$I189=$M189,NOT(AND($I189="Penales",$F189&lt;&gt;$G189))),$G189=$K189),Reglas!$B$8,0)</x:f>
        <x:v>0</x:v>
      </x:c>
      <x:c r="U189" t="n">
        <x:f>SUM(N189:T189)</x:f>
        <x:v>3</x:v>
      </x:c>
      <x:c r="V189" t="str">
        <x:f>IF($W189="Sin respuesta","Sin envio",IF($U189&gt;0,"OK","Sin puntos"))</x:f>
        <x:v>OK</x:v>
      </x:c>
      <x:c r="W189" t="str">
        <x:v>Google Forms</x:v>
      </x:c>
    </x:row>
    <x:row r="190" ht="15" hidden="0" customHeight="1">
      <x:c r="A190" t="str">
        <x:v>4tos</x:v>
      </x:c>
      <x:c r="B190" t="str">
        <x:v>QF1</x:v>
      </x:c>
      <x:c r="C190" t="str">
        <x:v>Arthur</x:v>
      </x:c>
      <x:c r="D190" t="str">
        <x:v>Francia</x:v>
      </x:c>
      <x:c r="E190" t="str">
        <x:v>Marruecos</x:v>
      </x:c>
      <x:c r="F190" t="n">
        <x:v>2</x:v>
      </x:c>
      <x:c r="G190" t="n">
        <x:v>0</x:v>
      </x:c>
      <x:c r="H190" t="str">
        <x:v>Francia</x:v>
      </x:c>
      <x:c r="I190" t="str">
        <x:v>90 minutos</x:v>
      </x:c>
      <x:c r="J190" t="n">
        <x:v>2</x:v>
      </x:c>
      <x:c r="K190" t="n">
        <x:v>0</x:v>
      </x:c>
      <x:c r="L190" t="str">
        <x:v>Francia</x:v>
      </x:c>
      <x:c r="M190" t="str">
        <x:v>90 minutos</x:v>
      </x:c>
      <x:c r="N190" t="n">
        <x:f>IF(AND(AND(ISNUMBER($F190),ISNUMBER($G190),$H190=$L190),IF($I190="90 minutos",IF($F190&gt;$G190,"A",IF($G190&gt;$F190,"B","E")),"E")=IF($M190="90 minutos",IF($J190&gt;$K190,"A",IF($K190&gt;$J190,"B","E")),"E")),Reglas!$B$2,0)</x:f>
        <x:v>5</x:v>
      </x:c>
      <x:c r="O190" t="n">
        <x:f>IF(AND(ISNUMBER($F190),ISNUMBER($G190),$H190=$L190),Reglas!$B$3,0)</x:f>
        <x:v>3</x:v>
      </x:c>
      <x:c r="P190" t="n">
        <x:f>IF(AND(AND(ISNUMBER($F190),ISNUMBER($G190),$H190=$L190),$I190=$M190),Reglas!$B$4,0)</x:f>
        <x:v>2</x:v>
      </x:c>
      <x:c r="Q190" t="n">
        <x:f>IF(AND(AND(AND(ISNUMBER($F190),ISNUMBER($G190),$H190=$L190),$I190=$M190,NOT(AND($I190="Penales",$F190&lt;&gt;$G190))),$F190=$J190,$G190=$K190),Reglas!$B$5,0)</x:f>
        <x:v>4</x:v>
      </x:c>
      <x:c r="R190" t="n">
        <x:f>IF(AND(AND(AND(ISNUMBER($F190),ISNUMBER($G190),$H190=$L190),$I190=$M190,NOT(AND($I190="Penales",$F190&lt;&gt;$G190))),$F190-$G190=$J190-$K190),Reglas!$B$6,0)</x:f>
        <x:v>2</x:v>
      </x:c>
      <x:c r="S190" t="n">
        <x:f>IF(AND(AND(AND(ISNUMBER($F190),ISNUMBER($G190),$H190=$L190),$I190=$M190,NOT(AND($I190="Penales",$F190&lt;&gt;$G190))),$F190=$J190),Reglas!$B$7,0)</x:f>
        <x:v>1</x:v>
      </x:c>
      <x:c r="T190" t="n">
        <x:f>IF(AND(AND(AND(ISNUMBER($F190),ISNUMBER($G190),$H190=$L190),$I190=$M190,NOT(AND($I190="Penales",$F190&lt;&gt;$G190))),$G190=$K190),Reglas!$B$8,0)</x:f>
        <x:v>1</x:v>
      </x:c>
      <x:c r="U190" t="n">
        <x:f>SUM(N190:T190)</x:f>
        <x:v>18</x:v>
      </x:c>
      <x:c r="V190" t="str">
        <x:f>IF($W190="Sin respuesta","Sin envio",IF($U190&gt;0,"OK","Sin puntos"))</x:f>
        <x:v>OK</x:v>
      </x:c>
      <x:c r="W190" t="str">
        <x:v>Google Forms</x:v>
      </x:c>
    </x:row>
    <x:row r="191" ht="15" hidden="0" customHeight="1">
      <x:c r="A191" t="str">
        <x:v>4tos</x:v>
      </x:c>
      <x:c r="B191" t="str">
        <x:v>QF1</x:v>
      </x:c>
      <x:c r="C191" t="str">
        <x:v>José Luis</x:v>
      </x:c>
      <x:c r="D191" t="str">
        <x:v>Francia</x:v>
      </x:c>
      <x:c r="E191" t="str">
        <x:v>Marruecos</x:v>
      </x:c>
      <x:c r="F191"/>
      <x:c r="G191"/>
      <x:c r="H191" t="str">
        <x:v>Sin envio</x:v>
      </x:c>
      <x:c r="I191" t="str">
        <x:v>Sin envio</x:v>
      </x:c>
      <x:c r="J191" t="n">
        <x:v>2</x:v>
      </x:c>
      <x:c r="K191" t="n">
        <x:v>0</x:v>
      </x:c>
      <x:c r="L191" t="str">
        <x:v>Francia</x:v>
      </x:c>
      <x:c r="M191" t="str">
        <x:v>90 minutos</x:v>
      </x:c>
      <x:c r="N191" t="n">
        <x:f>IF(AND(AND(ISNUMBER($F191),ISNUMBER($G191),$H191=$L191),IF($I191="90 minutos",IF($F191&gt;$G191,"A",IF($G191&gt;$F191,"B","E")),"E")=IF($M191="90 minutos",IF($J191&gt;$K191,"A",IF($K191&gt;$J191,"B","E")),"E")),Reglas!$B$2,0)</x:f>
        <x:v>0</x:v>
      </x:c>
      <x:c r="O191" t="n">
        <x:f>IF(AND(ISNUMBER($F191),ISNUMBER($G191),$H191=$L191),Reglas!$B$3,0)</x:f>
        <x:v>0</x:v>
      </x:c>
      <x:c r="P191" t="n">
        <x:f>IF(AND(AND(ISNUMBER($F191),ISNUMBER($G191),$H191=$L191),$I191=$M191),Reglas!$B$4,0)</x:f>
        <x:v>0</x:v>
      </x:c>
      <x:c r="Q191" t="n">
        <x:f>IF(AND(AND(AND(ISNUMBER($F191),ISNUMBER($G191),$H191=$L191),$I191=$M191,NOT(AND($I191="Penales",$F191&lt;&gt;$G191))),$F191=$J191,$G191=$K191),Reglas!$B$5,0)</x:f>
        <x:v>0</x:v>
      </x:c>
      <x:c r="R191" t="n">
        <x:f>IF(AND(AND(AND(ISNUMBER($F191),ISNUMBER($G191),$H191=$L191),$I191=$M191,NOT(AND($I191="Penales",$F191&lt;&gt;$G191))),$F191-$G191=$J191-$K191),Reglas!$B$6,0)</x:f>
        <x:v>0</x:v>
      </x:c>
      <x:c r="S191" t="n">
        <x:f>IF(AND(AND(AND(ISNUMBER($F191),ISNUMBER($G191),$H191=$L191),$I191=$M191,NOT(AND($I191="Penales",$F191&lt;&gt;$G191))),$F191=$J191),Reglas!$B$7,0)</x:f>
        <x:v>0</x:v>
      </x:c>
      <x:c r="T191" t="n">
        <x:f>IF(AND(AND(AND(ISNUMBER($F191),ISNUMBER($G191),$H191=$L191),$I191=$M191,NOT(AND($I191="Penales",$F191&lt;&gt;$G191))),$G191=$K191),Reglas!$B$8,0)</x:f>
        <x:v>0</x:v>
      </x:c>
      <x:c r="U191" t="n">
        <x:f>SUM(N191:T191)</x:f>
        <x:v>0</x:v>
      </x:c>
      <x:c r="V191" t="str">
        <x:f>IF($W191="Sin respuesta","Sin envio",IF($U191&gt;0,"OK","Sin puntos"))</x:f>
        <x:v>Sin envio</x:v>
      </x:c>
      <x:c r="W191" t="str">
        <x:v>Sin respuesta</x:v>
      </x:c>
    </x:row>
    <x:row r="192" ht="15" hidden="0" customHeight="1">
      <x:c r="A192" t="str">
        <x:v>4tos</x:v>
      </x:c>
      <x:c r="B192" t="str">
        <x:v>QF1</x:v>
      </x:c>
      <x:c r="C192" t="str">
        <x:v>Marcelo</x:v>
      </x:c>
      <x:c r="D192" t="str">
        <x:v>Francia</x:v>
      </x:c>
      <x:c r="E192" t="str">
        <x:v>Marruecos</x:v>
      </x:c>
      <x:c r="F192"/>
      <x:c r="G192"/>
      <x:c r="H192" t="str">
        <x:v>Sin envio</x:v>
      </x:c>
      <x:c r="I192" t="str">
        <x:v>Sin envio</x:v>
      </x:c>
      <x:c r="J192" t="n">
        <x:v>2</x:v>
      </x:c>
      <x:c r="K192" t="n">
        <x:v>0</x:v>
      </x:c>
      <x:c r="L192" t="str">
        <x:v>Francia</x:v>
      </x:c>
      <x:c r="M192" t="str">
        <x:v>90 minutos</x:v>
      </x:c>
      <x:c r="N192" t="n">
        <x:f>IF(AND(AND(ISNUMBER($F192),ISNUMBER($G192),$H192=$L192),IF($I192="90 minutos",IF($F192&gt;$G192,"A",IF($G192&gt;$F192,"B","E")),"E")=IF($M192="90 minutos",IF($J192&gt;$K192,"A",IF($K192&gt;$J192,"B","E")),"E")),Reglas!$B$2,0)</x:f>
        <x:v>0</x:v>
      </x:c>
      <x:c r="O192" t="n">
        <x:f>IF(AND(ISNUMBER($F192),ISNUMBER($G192),$H192=$L192),Reglas!$B$3,0)</x:f>
        <x:v>0</x:v>
      </x:c>
      <x:c r="P192" t="n">
        <x:f>IF(AND(AND(ISNUMBER($F192),ISNUMBER($G192),$H192=$L192),$I192=$M192),Reglas!$B$4,0)</x:f>
        <x:v>0</x:v>
      </x:c>
      <x:c r="Q192" t="n">
        <x:f>IF(AND(AND(AND(ISNUMBER($F192),ISNUMBER($G192),$H192=$L192),$I192=$M192,NOT(AND($I192="Penales",$F192&lt;&gt;$G192))),$F192=$J192,$G192=$K192),Reglas!$B$5,0)</x:f>
        <x:v>0</x:v>
      </x:c>
      <x:c r="R192" t="n">
        <x:f>IF(AND(AND(AND(ISNUMBER($F192),ISNUMBER($G192),$H192=$L192),$I192=$M192,NOT(AND($I192="Penales",$F192&lt;&gt;$G192))),$F192-$G192=$J192-$K192),Reglas!$B$6,0)</x:f>
        <x:v>0</x:v>
      </x:c>
      <x:c r="S192" t="n">
        <x:f>IF(AND(AND(AND(ISNUMBER($F192),ISNUMBER($G192),$H192=$L192),$I192=$M192,NOT(AND($I192="Penales",$F192&lt;&gt;$G192))),$F192=$J192),Reglas!$B$7,0)</x:f>
        <x:v>0</x:v>
      </x:c>
      <x:c r="T192" t="n">
        <x:f>IF(AND(AND(AND(ISNUMBER($F192),ISNUMBER($G192),$H192=$L192),$I192=$M192,NOT(AND($I192="Penales",$F192&lt;&gt;$G192))),$G192=$K192),Reglas!$B$8,0)</x:f>
        <x:v>0</x:v>
      </x:c>
      <x:c r="U192" t="n">
        <x:f>SUM(N192:T192)</x:f>
        <x:v>0</x:v>
      </x:c>
      <x:c r="V192" t="str">
        <x:f>IF($W192="Sin respuesta","Sin envio",IF($U192&gt;0,"OK","Sin puntos"))</x:f>
        <x:v>Sin envio</x:v>
      </x:c>
      <x:c r="W192" t="str">
        <x:v>Sin respuesta</x:v>
      </x:c>
    </x:row>
    <x:row r="193" ht="15" hidden="0" customHeight="1">
      <x:c r="A193" t="str">
        <x:v>4tos</x:v>
      </x:c>
      <x:c r="B193" t="str">
        <x:v>QF1</x:v>
      </x:c>
      <x:c r="C193" t="str">
        <x:v>Anny</x:v>
      </x:c>
      <x:c r="D193" t="str">
        <x:v>Francia</x:v>
      </x:c>
      <x:c r="E193" t="str">
        <x:v>Marruecos</x:v>
      </x:c>
      <x:c r="F193" t="n">
        <x:v>2</x:v>
      </x:c>
      <x:c r="G193" t="n">
        <x:v>1</x:v>
      </x:c>
      <x:c r="H193" t="str">
        <x:v>Francia</x:v>
      </x:c>
      <x:c r="I193" t="str">
        <x:v>90 minutos</x:v>
      </x:c>
      <x:c r="J193" t="n">
        <x:v>2</x:v>
      </x:c>
      <x:c r="K193" t="n">
        <x:v>0</x:v>
      </x:c>
      <x:c r="L193" t="str">
        <x:v>Francia</x:v>
      </x:c>
      <x:c r="M193" t="str">
        <x:v>90 minutos</x:v>
      </x:c>
      <x:c r="N193" t="n">
        <x:f>IF(AND(AND(ISNUMBER($F193),ISNUMBER($G193),$H193=$L193),IF($I193="90 minutos",IF($F193&gt;$G193,"A",IF($G193&gt;$F193,"B","E")),"E")=IF($M193="90 minutos",IF($J193&gt;$K193,"A",IF($K193&gt;$J193,"B","E")),"E")),Reglas!$B$2,0)</x:f>
        <x:v>5</x:v>
      </x:c>
      <x:c r="O193" t="n">
        <x:f>IF(AND(ISNUMBER($F193),ISNUMBER($G193),$H193=$L193),Reglas!$B$3,0)</x:f>
        <x:v>3</x:v>
      </x:c>
      <x:c r="P193" t="n">
        <x:f>IF(AND(AND(ISNUMBER($F193),ISNUMBER($G193),$H193=$L193),$I193=$M193),Reglas!$B$4,0)</x:f>
        <x:v>2</x:v>
      </x:c>
      <x:c r="Q193" t="n">
        <x:f>IF(AND(AND(AND(ISNUMBER($F193),ISNUMBER($G193),$H193=$L193),$I193=$M193,NOT(AND($I193="Penales",$F193&lt;&gt;$G193))),$F193=$J193,$G193=$K193),Reglas!$B$5,0)</x:f>
        <x:v>0</x:v>
      </x:c>
      <x:c r="R193" t="n">
        <x:f>IF(AND(AND(AND(ISNUMBER($F193),ISNUMBER($G193),$H193=$L193),$I193=$M193,NOT(AND($I193="Penales",$F193&lt;&gt;$G193))),$F193-$G193=$J193-$K193),Reglas!$B$6,0)</x:f>
        <x:v>0</x:v>
      </x:c>
      <x:c r="S193" t="n">
        <x:f>IF(AND(AND(AND(ISNUMBER($F193),ISNUMBER($G193),$H193=$L193),$I193=$M193,NOT(AND($I193="Penales",$F193&lt;&gt;$G193))),$F193=$J193),Reglas!$B$7,0)</x:f>
        <x:v>1</x:v>
      </x:c>
      <x:c r="T193" t="n">
        <x:f>IF(AND(AND(AND(ISNUMBER($F193),ISNUMBER($G193),$H193=$L193),$I193=$M193,NOT(AND($I193="Penales",$F193&lt;&gt;$G193))),$G193=$K193),Reglas!$B$8,0)</x:f>
        <x:v>0</x:v>
      </x:c>
      <x:c r="U193" t="n">
        <x:f>SUM(N193:T193)</x:f>
        <x:v>11</x:v>
      </x:c>
      <x:c r="V193" t="str">
        <x:f>IF($W193="Sin respuesta","Sin envio",IF($U193&gt;0,"OK","Sin puntos"))</x:f>
        <x:v>OK</x:v>
      </x:c>
      <x:c r="W193" t="str">
        <x:v>Google Forms</x:v>
      </x:c>
    </x:row>
    <x:row r="194" ht="15" hidden="0" customHeight="1">
      <x:c r="A194" t="str">
        <x:v>4tos</x:v>
      </x:c>
      <x:c r="B194" t="str">
        <x:v>QF1</x:v>
      </x:c>
      <x:c r="C194" t="str">
        <x:v>Moisés</x:v>
      </x:c>
      <x:c r="D194" t="str">
        <x:v>Francia</x:v>
      </x:c>
      <x:c r="E194" t="str">
        <x:v>Marruecos</x:v>
      </x:c>
      <x:c r="F194" t="n">
        <x:v>2</x:v>
      </x:c>
      <x:c r="G194" t="n">
        <x:v>1</x:v>
      </x:c>
      <x:c r="H194" t="str">
        <x:v>Francia</x:v>
      </x:c>
      <x:c r="I194" t="str">
        <x:v>90 minutos</x:v>
      </x:c>
      <x:c r="J194" t="n">
        <x:v>2</x:v>
      </x:c>
      <x:c r="K194" t="n">
        <x:v>0</x:v>
      </x:c>
      <x:c r="L194" t="str">
        <x:v>Francia</x:v>
      </x:c>
      <x:c r="M194" t="str">
        <x:v>90 minutos</x:v>
      </x:c>
      <x:c r="N194" t="n">
        <x:f>IF(AND(AND(ISNUMBER($F194),ISNUMBER($G194),$H194=$L194),IF($I194="90 minutos",IF($F194&gt;$G194,"A",IF($G194&gt;$F194,"B","E")),"E")=IF($M194="90 minutos",IF($J194&gt;$K194,"A",IF($K194&gt;$J194,"B","E")),"E")),Reglas!$B$2,0)</x:f>
        <x:v>5</x:v>
      </x:c>
      <x:c r="O194" t="n">
        <x:f>IF(AND(ISNUMBER($F194),ISNUMBER($G194),$H194=$L194),Reglas!$B$3,0)</x:f>
        <x:v>3</x:v>
      </x:c>
      <x:c r="P194" t="n">
        <x:f>IF(AND(AND(ISNUMBER($F194),ISNUMBER($G194),$H194=$L194),$I194=$M194),Reglas!$B$4,0)</x:f>
        <x:v>2</x:v>
      </x:c>
      <x:c r="Q194" t="n">
        <x:f>IF(AND(AND(AND(ISNUMBER($F194),ISNUMBER($G194),$H194=$L194),$I194=$M194,NOT(AND($I194="Penales",$F194&lt;&gt;$G194))),$F194=$J194,$G194=$K194),Reglas!$B$5,0)</x:f>
        <x:v>0</x:v>
      </x:c>
      <x:c r="R194" t="n">
        <x:f>IF(AND(AND(AND(ISNUMBER($F194),ISNUMBER($G194),$H194=$L194),$I194=$M194,NOT(AND($I194="Penales",$F194&lt;&gt;$G194))),$F194-$G194=$J194-$K194),Reglas!$B$6,0)</x:f>
        <x:v>0</x:v>
      </x:c>
      <x:c r="S194" t="n">
        <x:f>IF(AND(AND(AND(ISNUMBER($F194),ISNUMBER($G194),$H194=$L194),$I194=$M194,NOT(AND($I194="Penales",$F194&lt;&gt;$G194))),$F194=$J194),Reglas!$B$7,0)</x:f>
        <x:v>1</x:v>
      </x:c>
      <x:c r="T194" t="n">
        <x:f>IF(AND(AND(AND(ISNUMBER($F194),ISNUMBER($G194),$H194=$L194),$I194=$M194,NOT(AND($I194="Penales",$F194&lt;&gt;$G194))),$G194=$K194),Reglas!$B$8,0)</x:f>
        <x:v>0</x:v>
      </x:c>
      <x:c r="U194" t="n">
        <x:f>SUM(N194:T194)</x:f>
        <x:v>11</x:v>
      </x:c>
      <x:c r="V194" t="str">
        <x:f>IF($W194="Sin respuesta","Sin envio",IF($U194&gt;0,"OK","Sin puntos"))</x:f>
        <x:v>OK</x:v>
      </x:c>
      <x:c r="W194" t="str">
        <x:v>Google Forms</x:v>
      </x:c>
    </x:row>
    <x:row r="195" ht="15" hidden="0" customHeight="1">
      <x:c r="A195" t="str">
        <x:v>4tos</x:v>
      </x:c>
      <x:c r="B195" t="str">
        <x:v>QF1</x:v>
      </x:c>
      <x:c r="C195" t="str">
        <x:v>Alex</x:v>
      </x:c>
      <x:c r="D195" t="str">
        <x:v>Francia</x:v>
      </x:c>
      <x:c r="E195" t="str">
        <x:v>Marruecos</x:v>
      </x:c>
      <x:c r="F195" t="n">
        <x:v>3</x:v>
      </x:c>
      <x:c r="G195" t="n">
        <x:v>1</x:v>
      </x:c>
      <x:c r="H195" t="str">
        <x:v>Francia</x:v>
      </x:c>
      <x:c r="I195" t="str">
        <x:v>90 minutos</x:v>
      </x:c>
      <x:c r="J195" t="n">
        <x:v>2</x:v>
      </x:c>
      <x:c r="K195" t="n">
        <x:v>0</x:v>
      </x:c>
      <x:c r="L195" t="str">
        <x:v>Francia</x:v>
      </x:c>
      <x:c r="M195" t="str">
        <x:v>90 minutos</x:v>
      </x:c>
      <x:c r="N195" t="n">
        <x:f>IF(AND(AND(ISNUMBER($F195),ISNUMBER($G195),$H195=$L195),IF($I195="90 minutos",IF($F195&gt;$G195,"A",IF($G195&gt;$F195,"B","E")),"E")=IF($M195="90 minutos",IF($J195&gt;$K195,"A",IF($K195&gt;$J195,"B","E")),"E")),Reglas!$B$2,0)</x:f>
        <x:v>5</x:v>
      </x:c>
      <x:c r="O195" t="n">
        <x:f>IF(AND(ISNUMBER($F195),ISNUMBER($G195),$H195=$L195),Reglas!$B$3,0)</x:f>
        <x:v>3</x:v>
      </x:c>
      <x:c r="P195" t="n">
        <x:f>IF(AND(AND(ISNUMBER($F195),ISNUMBER($G195),$H195=$L195),$I195=$M195),Reglas!$B$4,0)</x:f>
        <x:v>2</x:v>
      </x:c>
      <x:c r="Q195" t="n">
        <x:f>IF(AND(AND(AND(ISNUMBER($F195),ISNUMBER($G195),$H195=$L195),$I195=$M195,NOT(AND($I195="Penales",$F195&lt;&gt;$G195))),$F195=$J195,$G195=$K195),Reglas!$B$5,0)</x:f>
        <x:v>0</x:v>
      </x:c>
      <x:c r="R195" t="n">
        <x:f>IF(AND(AND(AND(ISNUMBER($F195),ISNUMBER($G195),$H195=$L195),$I195=$M195,NOT(AND($I195="Penales",$F195&lt;&gt;$G195))),$F195-$G195=$J195-$K195),Reglas!$B$6,0)</x:f>
        <x:v>2</x:v>
      </x:c>
      <x:c r="S195" t="n">
        <x:f>IF(AND(AND(AND(ISNUMBER($F195),ISNUMBER($G195),$H195=$L195),$I195=$M195,NOT(AND($I195="Penales",$F195&lt;&gt;$G195))),$F195=$J195),Reglas!$B$7,0)</x:f>
        <x:v>0</x:v>
      </x:c>
      <x:c r="T195" t="n">
        <x:f>IF(AND(AND(AND(ISNUMBER($F195),ISNUMBER($G195),$H195=$L195),$I195=$M195,NOT(AND($I195="Penales",$F195&lt;&gt;$G195))),$G195=$K195),Reglas!$B$8,0)</x:f>
        <x:v>0</x:v>
      </x:c>
      <x:c r="U195" t="n">
        <x:f>SUM(N195:T195)</x:f>
        <x:v>12</x:v>
      </x:c>
      <x:c r="V195" t="str">
        <x:f>IF($W195="Sin respuesta","Sin envio",IF($U195&gt;0,"OK","Sin puntos"))</x:f>
        <x:v>OK</x:v>
      </x:c>
      <x:c r="W195" t="str">
        <x:v>Google Forms</x:v>
      </x:c>
    </x:row>
    <x:row r="196" ht="15" hidden="0" customHeight="1">
      <x:c r="A196" t="str">
        <x:v>4tos</x:v>
      </x:c>
      <x:c r="B196" t="str">
        <x:v>QF1</x:v>
      </x:c>
      <x:c r="C196" t="str">
        <x:v>Omar</x:v>
      </x:c>
      <x:c r="D196" t="str">
        <x:v>Francia</x:v>
      </x:c>
      <x:c r="E196" t="str">
        <x:v>Marruecos</x:v>
      </x:c>
      <x:c r="F196"/>
      <x:c r="G196"/>
      <x:c r="H196" t="str">
        <x:v>Sin envio</x:v>
      </x:c>
      <x:c r="I196" t="str">
        <x:v>Sin envio</x:v>
      </x:c>
      <x:c r="J196" t="n">
        <x:v>2</x:v>
      </x:c>
      <x:c r="K196" t="n">
        <x:v>0</x:v>
      </x:c>
      <x:c r="L196" t="str">
        <x:v>Francia</x:v>
      </x:c>
      <x:c r="M196" t="str">
        <x:v>90 minutos</x:v>
      </x:c>
      <x:c r="N196" t="n">
        <x:f>IF(AND(AND(ISNUMBER($F196),ISNUMBER($G196),$H196=$L196),IF($I196="90 minutos",IF($F196&gt;$G196,"A",IF($G196&gt;$F196,"B","E")),"E")=IF($M196="90 minutos",IF($J196&gt;$K196,"A",IF($K196&gt;$J196,"B","E")),"E")),Reglas!$B$2,0)</x:f>
        <x:v>0</x:v>
      </x:c>
      <x:c r="O196" t="n">
        <x:f>IF(AND(ISNUMBER($F196),ISNUMBER($G196),$H196=$L196),Reglas!$B$3,0)</x:f>
        <x:v>0</x:v>
      </x:c>
      <x:c r="P196" t="n">
        <x:f>IF(AND(AND(ISNUMBER($F196),ISNUMBER($G196),$H196=$L196),$I196=$M196),Reglas!$B$4,0)</x:f>
        <x:v>0</x:v>
      </x:c>
      <x:c r="Q196" t="n">
        <x:f>IF(AND(AND(AND(ISNUMBER($F196),ISNUMBER($G196),$H196=$L196),$I196=$M196,NOT(AND($I196="Penales",$F196&lt;&gt;$G196))),$F196=$J196,$G196=$K196),Reglas!$B$5,0)</x:f>
        <x:v>0</x:v>
      </x:c>
      <x:c r="R196" t="n">
        <x:f>IF(AND(AND(AND(ISNUMBER($F196),ISNUMBER($G196),$H196=$L196),$I196=$M196,NOT(AND($I196="Penales",$F196&lt;&gt;$G196))),$F196-$G196=$J196-$K196),Reglas!$B$6,0)</x:f>
        <x:v>0</x:v>
      </x:c>
      <x:c r="S196" t="n">
        <x:f>IF(AND(AND(AND(ISNUMBER($F196),ISNUMBER($G196),$H196=$L196),$I196=$M196,NOT(AND($I196="Penales",$F196&lt;&gt;$G196))),$F196=$J196),Reglas!$B$7,0)</x:f>
        <x:v>0</x:v>
      </x:c>
      <x:c r="T196" t="n">
        <x:f>IF(AND(AND(AND(ISNUMBER($F196),ISNUMBER($G196),$H196=$L196),$I196=$M196,NOT(AND($I196="Penales",$F196&lt;&gt;$G196))),$G196=$K196),Reglas!$B$8,0)</x:f>
        <x:v>0</x:v>
      </x:c>
      <x:c r="U196" t="n">
        <x:f>SUM(N196:T196)</x:f>
        <x:v>0</x:v>
      </x:c>
      <x:c r="V196" t="str">
        <x:f>IF($W196="Sin respuesta","Sin envio",IF($U196&gt;0,"OK","Sin puntos"))</x:f>
        <x:v>Sin envio</x:v>
      </x:c>
      <x:c r="W196" t="str">
        <x:v>Sin respuesta</x:v>
      </x:c>
    </x:row>
    <x:row r="197" ht="15" hidden="0" customHeight="1">
      <x:c r="A197" t="str">
        <x:v>4tos</x:v>
      </x:c>
      <x:c r="B197" t="str">
        <x:v>QF1</x:v>
      </x:c>
      <x:c r="C197" t="str">
        <x:v>Fernando</x:v>
      </x:c>
      <x:c r="D197" t="str">
        <x:v>Francia</x:v>
      </x:c>
      <x:c r="E197" t="str">
        <x:v>Marruecos</x:v>
      </x:c>
      <x:c r="F197" t="n">
        <x:v>2</x:v>
      </x:c>
      <x:c r="G197" t="n">
        <x:v>1</x:v>
      </x:c>
      <x:c r="H197" t="str">
        <x:v>Francia</x:v>
      </x:c>
      <x:c r="I197" t="str">
        <x:v>90 minutos</x:v>
      </x:c>
      <x:c r="J197" t="n">
        <x:v>2</x:v>
      </x:c>
      <x:c r="K197" t="n">
        <x:v>0</x:v>
      </x:c>
      <x:c r="L197" t="str">
        <x:v>Francia</x:v>
      </x:c>
      <x:c r="M197" t="str">
        <x:v>90 minutos</x:v>
      </x:c>
      <x:c r="N197" t="n">
        <x:f>IF(AND(AND(ISNUMBER($F197),ISNUMBER($G197),$H197=$L197),IF($I197="90 minutos",IF($F197&gt;$G197,"A",IF($G197&gt;$F197,"B","E")),"E")=IF($M197="90 minutos",IF($J197&gt;$K197,"A",IF($K197&gt;$J197,"B","E")),"E")),Reglas!$B$2,0)</x:f>
        <x:v>5</x:v>
      </x:c>
      <x:c r="O197" t="n">
        <x:f>IF(AND(ISNUMBER($F197),ISNUMBER($G197),$H197=$L197),Reglas!$B$3,0)</x:f>
        <x:v>3</x:v>
      </x:c>
      <x:c r="P197" t="n">
        <x:f>IF(AND(AND(ISNUMBER($F197),ISNUMBER($G197),$H197=$L197),$I197=$M197),Reglas!$B$4,0)</x:f>
        <x:v>2</x:v>
      </x:c>
      <x:c r="Q197" t="n">
        <x:f>IF(AND(AND(AND(ISNUMBER($F197),ISNUMBER($G197),$H197=$L197),$I197=$M197,NOT(AND($I197="Penales",$F197&lt;&gt;$G197))),$F197=$J197,$G197=$K197),Reglas!$B$5,0)</x:f>
        <x:v>0</x:v>
      </x:c>
      <x:c r="R197" t="n">
        <x:f>IF(AND(AND(AND(ISNUMBER($F197),ISNUMBER($G197),$H197=$L197),$I197=$M197,NOT(AND($I197="Penales",$F197&lt;&gt;$G197))),$F197-$G197=$J197-$K197),Reglas!$B$6,0)</x:f>
        <x:v>0</x:v>
      </x:c>
      <x:c r="S197" t="n">
        <x:f>IF(AND(AND(AND(ISNUMBER($F197),ISNUMBER($G197),$H197=$L197),$I197=$M197,NOT(AND($I197="Penales",$F197&lt;&gt;$G197))),$F197=$J197),Reglas!$B$7,0)</x:f>
        <x:v>1</x:v>
      </x:c>
      <x:c r="T197" t="n">
        <x:f>IF(AND(AND(AND(ISNUMBER($F197),ISNUMBER($G197),$H197=$L197),$I197=$M197,NOT(AND($I197="Penales",$F197&lt;&gt;$G197))),$G197=$K197),Reglas!$B$8,0)</x:f>
        <x:v>0</x:v>
      </x:c>
      <x:c r="U197" t="n">
        <x:f>SUM(N197:T197)</x:f>
        <x:v>11</x:v>
      </x:c>
      <x:c r="V197" t="str">
        <x:f>IF($W197="Sin respuesta","Sin envio",IF($U197&gt;0,"OK","Sin puntos"))</x:f>
        <x:v>OK</x:v>
      </x:c>
      <x:c r="W197" t="str">
        <x:v>Google Forms</x:v>
      </x:c>
    </x:row>
    <x:row r="198" ht="15" hidden="0" customHeight="1">
      <x:c r="A198" t="str">
        <x:v>4tos</x:v>
      </x:c>
      <x:c r="B198" t="str">
        <x:v>QF1</x:v>
      </x:c>
      <x:c r="C198" t="str">
        <x:v>Diana</x:v>
      </x:c>
      <x:c r="D198" t="str">
        <x:v>Francia</x:v>
      </x:c>
      <x:c r="E198" t="str">
        <x:v>Marruecos</x:v>
      </x:c>
      <x:c r="F198"/>
      <x:c r="G198"/>
      <x:c r="H198" t="str">
        <x:v>Sin envio</x:v>
      </x:c>
      <x:c r="I198" t="str">
        <x:v>Sin envio</x:v>
      </x:c>
      <x:c r="J198" t="n">
        <x:v>2</x:v>
      </x:c>
      <x:c r="K198" t="n">
        <x:v>0</x:v>
      </x:c>
      <x:c r="L198" t="str">
        <x:v>Francia</x:v>
      </x:c>
      <x:c r="M198" t="str">
        <x:v>90 minutos</x:v>
      </x:c>
      <x:c r="N198" t="n">
        <x:f>IF(AND(AND(ISNUMBER($F198),ISNUMBER($G198),$H198=$L198),IF($I198="90 minutos",IF($F198&gt;$G198,"A",IF($G198&gt;$F198,"B","E")),"E")=IF($M198="90 minutos",IF($J198&gt;$K198,"A",IF($K198&gt;$J198,"B","E")),"E")),Reglas!$B$2,0)</x:f>
        <x:v>0</x:v>
      </x:c>
      <x:c r="O198" t="n">
        <x:f>IF(AND(ISNUMBER($F198),ISNUMBER($G198),$H198=$L198),Reglas!$B$3,0)</x:f>
        <x:v>0</x:v>
      </x:c>
      <x:c r="P198" t="n">
        <x:f>IF(AND(AND(ISNUMBER($F198),ISNUMBER($G198),$H198=$L198),$I198=$M198),Reglas!$B$4,0)</x:f>
        <x:v>0</x:v>
      </x:c>
      <x:c r="Q198" t="n">
        <x:f>IF(AND(AND(AND(ISNUMBER($F198),ISNUMBER($G198),$H198=$L198),$I198=$M198,NOT(AND($I198="Penales",$F198&lt;&gt;$G198))),$F198=$J198,$G198=$K198),Reglas!$B$5,0)</x:f>
        <x:v>0</x:v>
      </x:c>
      <x:c r="R198" t="n">
        <x:f>IF(AND(AND(AND(ISNUMBER($F198),ISNUMBER($G198),$H198=$L198),$I198=$M198,NOT(AND($I198="Penales",$F198&lt;&gt;$G198))),$F198-$G198=$J198-$K198),Reglas!$B$6,0)</x:f>
        <x:v>0</x:v>
      </x:c>
      <x:c r="S198" t="n">
        <x:f>IF(AND(AND(AND(ISNUMBER($F198),ISNUMBER($G198),$H198=$L198),$I198=$M198,NOT(AND($I198="Penales",$F198&lt;&gt;$G198))),$F198=$J198),Reglas!$B$7,0)</x:f>
        <x:v>0</x:v>
      </x:c>
      <x:c r="T198" t="n">
        <x:f>IF(AND(AND(AND(ISNUMBER($F198),ISNUMBER($G198),$H198=$L198),$I198=$M198,NOT(AND($I198="Penales",$F198&lt;&gt;$G198))),$G198=$K198),Reglas!$B$8,0)</x:f>
        <x:v>0</x:v>
      </x:c>
      <x:c r="U198" t="n">
        <x:f>SUM(N198:T198)</x:f>
        <x:v>0</x:v>
      </x:c>
      <x:c r="V198" t="str">
        <x:f>IF($W198="Sin respuesta","Sin envio",IF($U198&gt;0,"OK","Sin puntos"))</x:f>
        <x:v>Sin envio</x:v>
      </x:c>
      <x:c r="W198" t="str">
        <x:v>Sin respuesta</x:v>
      </x:c>
    </x:row>
    <x:row r="199" ht="15" hidden="0" customHeight="1">
      <x:c r="A199" t="str">
        <x:v>4tos</x:v>
      </x:c>
      <x:c r="B199" t="str">
        <x:v>QF1</x:v>
      </x:c>
      <x:c r="C199" t="str">
        <x:v>Óscar</x:v>
      </x:c>
      <x:c r="D199" t="str">
        <x:v>Francia</x:v>
      </x:c>
      <x:c r="E199" t="str">
        <x:v>Marruecos</x:v>
      </x:c>
      <x:c r="F199" t="n">
        <x:v>2</x:v>
      </x:c>
      <x:c r="G199" t="n">
        <x:v>1</x:v>
      </x:c>
      <x:c r="H199" t="str">
        <x:v>Francia</x:v>
      </x:c>
      <x:c r="I199" t="str">
        <x:v>Suplementario</x:v>
      </x:c>
      <x:c r="J199" t="n">
        <x:v>2</x:v>
      </x:c>
      <x:c r="K199" t="n">
        <x:v>0</x:v>
      </x:c>
      <x:c r="L199" t="str">
        <x:v>Francia</x:v>
      </x:c>
      <x:c r="M199" t="str">
        <x:v>90 minutos</x:v>
      </x:c>
      <x:c r="N199" t="n">
        <x:f>IF(AND(AND(ISNUMBER($F199),ISNUMBER($G199),$H199=$L199),IF($I199="90 minutos",IF($F199&gt;$G199,"A",IF($G199&gt;$F199,"B","E")),"E")=IF($M199="90 minutos",IF($J199&gt;$K199,"A",IF($K199&gt;$J199,"B","E")),"E")),Reglas!$B$2,0)</x:f>
        <x:v>0</x:v>
      </x:c>
      <x:c r="O199" t="n">
        <x:f>IF(AND(ISNUMBER($F199),ISNUMBER($G199),$H199=$L199),Reglas!$B$3,0)</x:f>
        <x:v>3</x:v>
      </x:c>
      <x:c r="P199" t="n">
        <x:f>IF(AND(AND(ISNUMBER($F199),ISNUMBER($G199),$H199=$L199),$I199=$M199),Reglas!$B$4,0)</x:f>
        <x:v>0</x:v>
      </x:c>
      <x:c r="Q199" t="n">
        <x:f>IF(AND(AND(AND(ISNUMBER($F199),ISNUMBER($G199),$H199=$L199),$I199=$M199,NOT(AND($I199="Penales",$F199&lt;&gt;$G199))),$F199=$J199,$G199=$K199),Reglas!$B$5,0)</x:f>
        <x:v>0</x:v>
      </x:c>
      <x:c r="R199" t="n">
        <x:f>IF(AND(AND(AND(ISNUMBER($F199),ISNUMBER($G199),$H199=$L199),$I199=$M199,NOT(AND($I199="Penales",$F199&lt;&gt;$G199))),$F199-$G199=$J199-$K199),Reglas!$B$6,0)</x:f>
        <x:v>0</x:v>
      </x:c>
      <x:c r="S199" t="n">
        <x:f>IF(AND(AND(AND(ISNUMBER($F199),ISNUMBER($G199),$H199=$L199),$I199=$M199,NOT(AND($I199="Penales",$F199&lt;&gt;$G199))),$F199=$J199),Reglas!$B$7,0)</x:f>
        <x:v>0</x:v>
      </x:c>
      <x:c r="T199" t="n">
        <x:f>IF(AND(AND(AND(ISNUMBER($F199),ISNUMBER($G199),$H199=$L199),$I199=$M199,NOT(AND($I199="Penales",$F199&lt;&gt;$G199))),$G199=$K199),Reglas!$B$8,0)</x:f>
        <x:v>0</x:v>
      </x:c>
      <x:c r="U199" t="n">
        <x:f>SUM(N199:T199)</x:f>
        <x:v>3</x:v>
      </x:c>
      <x:c r="V199" t="str">
        <x:f>IF($W199="Sin respuesta","Sin envio",IF($U199&gt;0,"OK","Sin puntos"))</x:f>
        <x:v>OK</x:v>
      </x:c>
      <x:c r="W199" t="str">
        <x:v>Google Forms</x:v>
      </x:c>
    </x:row>
    <x:row r="200" ht="15" hidden="0" customHeight="1">
      <x:c r="A200" t="str">
        <x:v>4tos</x:v>
      </x:c>
      <x:c r="B200" t="str">
        <x:v>QF2</x:v>
      </x:c>
      <x:c r="C200" t="str">
        <x:v>Freddy</x:v>
      </x:c>
      <x:c r="D200" t="str">
        <x:v>España</x:v>
      </x:c>
      <x:c r="E200" t="str">
        <x:v>Bélgica</x:v>
      </x:c>
      <x:c r="F200" t="n">
        <x:v>2</x:v>
      </x:c>
      <x:c r="G200" t="n">
        <x:v>1</x:v>
      </x:c>
      <x:c r="H200" t="str">
        <x:v>España</x:v>
      </x:c>
      <x:c r="I200" t="str">
        <x:v>90 minutos</x:v>
      </x:c>
      <x:c r="J200" t="n">
        <x:v>2</x:v>
      </x:c>
      <x:c r="K200" t="n">
        <x:v>1</x:v>
      </x:c>
      <x:c r="L200" t="str">
        <x:v>España</x:v>
      </x:c>
      <x:c r="M200" t="str">
        <x:v>90 minutos</x:v>
      </x:c>
      <x:c r="N200" t="n">
        <x:f>IF(AND(AND(ISNUMBER($F200),ISNUMBER($G200),$H200=$L200),IF($I200="90 minutos",IF($F200&gt;$G200,"A",IF($G200&gt;$F200,"B","E")),"E")=IF($M200="90 minutos",IF($J200&gt;$K200,"A",IF($K200&gt;$J200,"B","E")),"E")),Reglas!$B$2,0)</x:f>
        <x:v>5</x:v>
      </x:c>
      <x:c r="O200" t="n">
        <x:f>IF(AND(ISNUMBER($F200),ISNUMBER($G200),$H200=$L200),Reglas!$B$3,0)</x:f>
        <x:v>3</x:v>
      </x:c>
      <x:c r="P200" t="n">
        <x:f>IF(AND(AND(ISNUMBER($F200),ISNUMBER($G200),$H200=$L200),$I200=$M200),Reglas!$B$4,0)</x:f>
        <x:v>2</x:v>
      </x:c>
      <x:c r="Q200" t="n">
        <x:f>IF(AND(AND(AND(ISNUMBER($F200),ISNUMBER($G200),$H200=$L200),$I200=$M200,NOT(AND($I200="Penales",$F200&lt;&gt;$G200))),$F200=$J200,$G200=$K200),Reglas!$B$5,0)</x:f>
        <x:v>4</x:v>
      </x:c>
      <x:c r="R200" t="n">
        <x:f>IF(AND(AND(AND(ISNUMBER($F200),ISNUMBER($G200),$H200=$L200),$I200=$M200,NOT(AND($I200="Penales",$F200&lt;&gt;$G200))),$F200-$G200=$J200-$K200),Reglas!$B$6,0)</x:f>
        <x:v>2</x:v>
      </x:c>
      <x:c r="S200" t="n">
        <x:f>IF(AND(AND(AND(ISNUMBER($F200),ISNUMBER($G200),$H200=$L200),$I200=$M200,NOT(AND($I200="Penales",$F200&lt;&gt;$G200))),$F200=$J200),Reglas!$B$7,0)</x:f>
        <x:v>1</x:v>
      </x:c>
      <x:c r="T200" t="n">
        <x:f>IF(AND(AND(AND(ISNUMBER($F200),ISNUMBER($G200),$H200=$L200),$I200=$M200,NOT(AND($I200="Penales",$F200&lt;&gt;$G200))),$G200=$K200),Reglas!$B$8,0)</x:f>
        <x:v>1</x:v>
      </x:c>
      <x:c r="U200" t="n">
        <x:f>SUM(N200:T200)</x:f>
        <x:v>18</x:v>
      </x:c>
      <x:c r="V200" t="str">
        <x:f>IF($W200="Sin respuesta","Sin envio",IF($U200&gt;0,"OK","Sin puntos"))</x:f>
        <x:v>OK</x:v>
      </x:c>
      <x:c r="W200" t="str">
        <x:v>Google Forms</x:v>
      </x:c>
    </x:row>
    <x:row r="201" ht="15" hidden="0" customHeight="1">
      <x:c r="A201" t="str">
        <x:v>4tos</x:v>
      </x:c>
      <x:c r="B201" t="str">
        <x:v>QF2</x:v>
      </x:c>
      <x:c r="C201" t="str">
        <x:v>Gabriela</x:v>
      </x:c>
      <x:c r="D201" t="str">
        <x:v>España</x:v>
      </x:c>
      <x:c r="E201" t="str">
        <x:v>Bélgica</x:v>
      </x:c>
      <x:c r="F201" t="n">
        <x:v>2</x:v>
      </x:c>
      <x:c r="G201" t="n">
        <x:v>0</x:v>
      </x:c>
      <x:c r="H201" t="str">
        <x:v>España</x:v>
      </x:c>
      <x:c r="I201" t="str">
        <x:v>90 minutos</x:v>
      </x:c>
      <x:c r="J201" t="n">
        <x:v>2</x:v>
      </x:c>
      <x:c r="K201" t="n">
        <x:v>1</x:v>
      </x:c>
      <x:c r="L201" t="str">
        <x:v>España</x:v>
      </x:c>
      <x:c r="M201" t="str">
        <x:v>90 minutos</x:v>
      </x:c>
      <x:c r="N201" t="n">
        <x:f>IF(AND(AND(ISNUMBER($F201),ISNUMBER($G201),$H201=$L201),IF($I201="90 minutos",IF($F201&gt;$G201,"A",IF($G201&gt;$F201,"B","E")),"E")=IF($M201="90 minutos",IF($J201&gt;$K201,"A",IF($K201&gt;$J201,"B","E")),"E")),Reglas!$B$2,0)</x:f>
        <x:v>5</x:v>
      </x:c>
      <x:c r="O201" t="n">
        <x:f>IF(AND(ISNUMBER($F201),ISNUMBER($G201),$H201=$L201),Reglas!$B$3,0)</x:f>
        <x:v>3</x:v>
      </x:c>
      <x:c r="P201" t="n">
        <x:f>IF(AND(AND(ISNUMBER($F201),ISNUMBER($G201),$H201=$L201),$I201=$M201),Reglas!$B$4,0)</x:f>
        <x:v>2</x:v>
      </x:c>
      <x:c r="Q201" t="n">
        <x:f>IF(AND(AND(AND(ISNUMBER($F201),ISNUMBER($G201),$H201=$L201),$I201=$M201,NOT(AND($I201="Penales",$F201&lt;&gt;$G201))),$F201=$J201,$G201=$K201),Reglas!$B$5,0)</x:f>
        <x:v>0</x:v>
      </x:c>
      <x:c r="R201" t="n">
        <x:f>IF(AND(AND(AND(ISNUMBER($F201),ISNUMBER($G201),$H201=$L201),$I201=$M201,NOT(AND($I201="Penales",$F201&lt;&gt;$G201))),$F201-$G201=$J201-$K201),Reglas!$B$6,0)</x:f>
        <x:v>0</x:v>
      </x:c>
      <x:c r="S201" t="n">
        <x:f>IF(AND(AND(AND(ISNUMBER($F201),ISNUMBER($G201),$H201=$L201),$I201=$M201,NOT(AND($I201="Penales",$F201&lt;&gt;$G201))),$F201=$J201),Reglas!$B$7,0)</x:f>
        <x:v>1</x:v>
      </x:c>
      <x:c r="T201" t="n">
        <x:f>IF(AND(AND(AND(ISNUMBER($F201),ISNUMBER($G201),$H201=$L201),$I201=$M201,NOT(AND($I201="Penales",$F201&lt;&gt;$G201))),$G201=$K201),Reglas!$B$8,0)</x:f>
        <x:v>0</x:v>
      </x:c>
      <x:c r="U201" t="n">
        <x:f>SUM(N201:T201)</x:f>
        <x:v>11</x:v>
      </x:c>
      <x:c r="V201" t="str">
        <x:f>IF($W201="Sin respuesta","Sin envio",IF($U201&gt;0,"OK","Sin puntos"))</x:f>
        <x:v>OK</x:v>
      </x:c>
      <x:c r="W201" t="str">
        <x:v>Google Forms</x:v>
      </x:c>
    </x:row>
    <x:row r="202" ht="15" hidden="0" customHeight="1">
      <x:c r="A202" t="str">
        <x:v>4tos</x:v>
      </x:c>
      <x:c r="B202" t="str">
        <x:v>QF2</x:v>
      </x:c>
      <x:c r="C202" t="str">
        <x:v>Jean</x:v>
      </x:c>
      <x:c r="D202" t="str">
        <x:v>España</x:v>
      </x:c>
      <x:c r="E202" t="str">
        <x:v>Bélgica</x:v>
      </x:c>
      <x:c r="F202" t="n">
        <x:v>1</x:v>
      </x:c>
      <x:c r="G202" t="n">
        <x:v>0</x:v>
      </x:c>
      <x:c r="H202" t="str">
        <x:v>España</x:v>
      </x:c>
      <x:c r="I202" t="str">
        <x:v>90 minutos</x:v>
      </x:c>
      <x:c r="J202" t="n">
        <x:v>2</x:v>
      </x:c>
      <x:c r="K202" t="n">
        <x:v>1</x:v>
      </x:c>
      <x:c r="L202" t="str">
        <x:v>España</x:v>
      </x:c>
      <x:c r="M202" t="str">
        <x:v>90 minutos</x:v>
      </x:c>
      <x:c r="N202" t="n">
        <x:f>IF(AND(AND(ISNUMBER($F202),ISNUMBER($G202),$H202=$L202),IF($I202="90 minutos",IF($F202&gt;$G202,"A",IF($G202&gt;$F202,"B","E")),"E")=IF($M202="90 minutos",IF($J202&gt;$K202,"A",IF($K202&gt;$J202,"B","E")),"E")),Reglas!$B$2,0)</x:f>
        <x:v>5</x:v>
      </x:c>
      <x:c r="O202" t="n">
        <x:f>IF(AND(ISNUMBER($F202),ISNUMBER($G202),$H202=$L202),Reglas!$B$3,0)</x:f>
        <x:v>3</x:v>
      </x:c>
      <x:c r="P202" t="n">
        <x:f>IF(AND(AND(ISNUMBER($F202),ISNUMBER($G202),$H202=$L202),$I202=$M202),Reglas!$B$4,0)</x:f>
        <x:v>2</x:v>
      </x:c>
      <x:c r="Q202" t="n">
        <x:f>IF(AND(AND(AND(ISNUMBER($F202),ISNUMBER($G202),$H202=$L202),$I202=$M202,NOT(AND($I202="Penales",$F202&lt;&gt;$G202))),$F202=$J202,$G202=$K202),Reglas!$B$5,0)</x:f>
        <x:v>0</x:v>
      </x:c>
      <x:c r="R202" t="n">
        <x:f>IF(AND(AND(AND(ISNUMBER($F202),ISNUMBER($G202),$H202=$L202),$I202=$M202,NOT(AND($I202="Penales",$F202&lt;&gt;$G202))),$F202-$G202=$J202-$K202),Reglas!$B$6,0)</x:f>
        <x:v>2</x:v>
      </x:c>
      <x:c r="S202" t="n">
        <x:f>IF(AND(AND(AND(ISNUMBER($F202),ISNUMBER($G202),$H202=$L202),$I202=$M202,NOT(AND($I202="Penales",$F202&lt;&gt;$G202))),$F202=$J202),Reglas!$B$7,0)</x:f>
        <x:v>0</x:v>
      </x:c>
      <x:c r="T202" t="n">
        <x:f>IF(AND(AND(AND(ISNUMBER($F202),ISNUMBER($G202),$H202=$L202),$I202=$M202,NOT(AND($I202="Penales",$F202&lt;&gt;$G202))),$G202=$K202),Reglas!$B$8,0)</x:f>
        <x:v>0</x:v>
      </x:c>
      <x:c r="U202" t="n">
        <x:f>SUM(N202:T202)</x:f>
        <x:v>12</x:v>
      </x:c>
      <x:c r="V202" t="str">
        <x:f>IF($W202="Sin respuesta","Sin envio",IF($U202&gt;0,"OK","Sin puntos"))</x:f>
        <x:v>OK</x:v>
      </x:c>
      <x:c r="W202" t="str">
        <x:v>Google Forms</x:v>
      </x:c>
    </x:row>
    <x:row r="203" ht="15" hidden="0" customHeight="1">
      <x:c r="A203" t="str">
        <x:v>4tos</x:v>
      </x:c>
      <x:c r="B203" t="str">
        <x:v>QF2</x:v>
      </x:c>
      <x:c r="C203" t="str">
        <x:v>Juan</x:v>
      </x:c>
      <x:c r="D203" t="str">
        <x:v>España</x:v>
      </x:c>
      <x:c r="E203" t="str">
        <x:v>Bélgica</x:v>
      </x:c>
      <x:c r="F203"/>
      <x:c r="G203"/>
      <x:c r="H203" t="str">
        <x:v>Sin envio</x:v>
      </x:c>
      <x:c r="I203" t="str">
        <x:v>Sin envio</x:v>
      </x:c>
      <x:c r="J203" t="n">
        <x:v>2</x:v>
      </x:c>
      <x:c r="K203" t="n">
        <x:v>1</x:v>
      </x:c>
      <x:c r="L203" t="str">
        <x:v>España</x:v>
      </x:c>
      <x:c r="M203" t="str">
        <x:v>90 minutos</x:v>
      </x:c>
      <x:c r="N203" t="n">
        <x:f>IF(AND(AND(ISNUMBER($F203),ISNUMBER($G203),$H203=$L203),IF($I203="90 minutos",IF($F203&gt;$G203,"A",IF($G203&gt;$F203,"B","E")),"E")=IF($M203="90 minutos",IF($J203&gt;$K203,"A",IF($K203&gt;$J203,"B","E")),"E")),Reglas!$B$2,0)</x:f>
        <x:v>0</x:v>
      </x:c>
      <x:c r="O203" t="n">
        <x:f>IF(AND(ISNUMBER($F203),ISNUMBER($G203),$H203=$L203),Reglas!$B$3,0)</x:f>
        <x:v>0</x:v>
      </x:c>
      <x:c r="P203" t="n">
        <x:f>IF(AND(AND(ISNUMBER($F203),ISNUMBER($G203),$H203=$L203),$I203=$M203),Reglas!$B$4,0)</x:f>
        <x:v>0</x:v>
      </x:c>
      <x:c r="Q203" t="n">
        <x:f>IF(AND(AND(AND(ISNUMBER($F203),ISNUMBER($G203),$H203=$L203),$I203=$M203,NOT(AND($I203="Penales",$F203&lt;&gt;$G203))),$F203=$J203,$G203=$K203),Reglas!$B$5,0)</x:f>
        <x:v>0</x:v>
      </x:c>
      <x:c r="R203" t="n">
        <x:f>IF(AND(AND(AND(ISNUMBER($F203),ISNUMBER($G203),$H203=$L203),$I203=$M203,NOT(AND($I203="Penales",$F203&lt;&gt;$G203))),$F203-$G203=$J203-$K203),Reglas!$B$6,0)</x:f>
        <x:v>0</x:v>
      </x:c>
      <x:c r="S203" t="n">
        <x:f>IF(AND(AND(AND(ISNUMBER($F203),ISNUMBER($G203),$H203=$L203),$I203=$M203,NOT(AND($I203="Penales",$F203&lt;&gt;$G203))),$F203=$J203),Reglas!$B$7,0)</x:f>
        <x:v>0</x:v>
      </x:c>
      <x:c r="T203" t="n">
        <x:f>IF(AND(AND(AND(ISNUMBER($F203),ISNUMBER($G203),$H203=$L203),$I203=$M203,NOT(AND($I203="Penales",$F203&lt;&gt;$G203))),$G203=$K203),Reglas!$B$8,0)</x:f>
        <x:v>0</x:v>
      </x:c>
      <x:c r="U203" t="n">
        <x:f>SUM(N203:T203)</x:f>
        <x:v>0</x:v>
      </x:c>
      <x:c r="V203" t="str">
        <x:f>IF($W203="Sin respuesta","Sin envio",IF($U203&gt;0,"OK","Sin puntos"))</x:f>
        <x:v>Sin envio</x:v>
      </x:c>
      <x:c r="W203" t="str">
        <x:v>Sin respuesta</x:v>
      </x:c>
    </x:row>
    <x:row r="204" ht="15" hidden="0" customHeight="1">
      <x:c r="A204" t="str">
        <x:v>4tos</x:v>
      </x:c>
      <x:c r="B204" t="str">
        <x:v>QF2</x:v>
      </x:c>
      <x:c r="C204" t="str">
        <x:v>Jesús</x:v>
      </x:c>
      <x:c r="D204" t="str">
        <x:v>España</x:v>
      </x:c>
      <x:c r="E204" t="str">
        <x:v>Bélgica</x:v>
      </x:c>
      <x:c r="F204" t="n">
        <x:v>2</x:v>
      </x:c>
      <x:c r="G204" t="n">
        <x:v>1</x:v>
      </x:c>
      <x:c r="H204" t="str">
        <x:v>España</x:v>
      </x:c>
      <x:c r="I204" t="str">
        <x:v>90 minutos</x:v>
      </x:c>
      <x:c r="J204" t="n">
        <x:v>2</x:v>
      </x:c>
      <x:c r="K204" t="n">
        <x:v>1</x:v>
      </x:c>
      <x:c r="L204" t="str">
        <x:v>España</x:v>
      </x:c>
      <x:c r="M204" t="str">
        <x:v>90 minutos</x:v>
      </x:c>
      <x:c r="N204" t="n">
        <x:f>IF(AND(AND(ISNUMBER($F204),ISNUMBER($G204),$H204=$L204),IF($I204="90 minutos",IF($F204&gt;$G204,"A",IF($G204&gt;$F204,"B","E")),"E")=IF($M204="90 minutos",IF($J204&gt;$K204,"A",IF($K204&gt;$J204,"B","E")),"E")),Reglas!$B$2,0)</x:f>
        <x:v>5</x:v>
      </x:c>
      <x:c r="O204" t="n">
        <x:f>IF(AND(ISNUMBER($F204),ISNUMBER($G204),$H204=$L204),Reglas!$B$3,0)</x:f>
        <x:v>3</x:v>
      </x:c>
      <x:c r="P204" t="n">
        <x:f>IF(AND(AND(ISNUMBER($F204),ISNUMBER($G204),$H204=$L204),$I204=$M204),Reglas!$B$4,0)</x:f>
        <x:v>2</x:v>
      </x:c>
      <x:c r="Q204" t="n">
        <x:f>IF(AND(AND(AND(ISNUMBER($F204),ISNUMBER($G204),$H204=$L204),$I204=$M204,NOT(AND($I204="Penales",$F204&lt;&gt;$G204))),$F204=$J204,$G204=$K204),Reglas!$B$5,0)</x:f>
        <x:v>4</x:v>
      </x:c>
      <x:c r="R204" t="n">
        <x:f>IF(AND(AND(AND(ISNUMBER($F204),ISNUMBER($G204),$H204=$L204),$I204=$M204,NOT(AND($I204="Penales",$F204&lt;&gt;$G204))),$F204-$G204=$J204-$K204),Reglas!$B$6,0)</x:f>
        <x:v>2</x:v>
      </x:c>
      <x:c r="S204" t="n">
        <x:f>IF(AND(AND(AND(ISNUMBER($F204),ISNUMBER($G204),$H204=$L204),$I204=$M204,NOT(AND($I204="Penales",$F204&lt;&gt;$G204))),$F204=$J204),Reglas!$B$7,0)</x:f>
        <x:v>1</x:v>
      </x:c>
      <x:c r="T204" t="n">
        <x:f>IF(AND(AND(AND(ISNUMBER($F204),ISNUMBER($G204),$H204=$L204),$I204=$M204,NOT(AND($I204="Penales",$F204&lt;&gt;$G204))),$G204=$K204),Reglas!$B$8,0)</x:f>
        <x:v>1</x:v>
      </x:c>
      <x:c r="U204" t="n">
        <x:f>SUM(N204:T204)</x:f>
        <x:v>18</x:v>
      </x:c>
      <x:c r="V204" t="str">
        <x:f>IF($W204="Sin respuesta","Sin envio",IF($U204&gt;0,"OK","Sin puntos"))</x:f>
        <x:v>OK</x:v>
      </x:c>
      <x:c r="W204" t="str">
        <x:v>Google Forms</x:v>
      </x:c>
    </x:row>
    <x:row r="205" ht="15" hidden="0" customHeight="1">
      <x:c r="A205" t="str">
        <x:v>4tos</x:v>
      </x:c>
      <x:c r="B205" t="str">
        <x:v>QF2</x:v>
      </x:c>
      <x:c r="C205" t="str">
        <x:v>Diego</x:v>
      </x:c>
      <x:c r="D205" t="str">
        <x:v>España</x:v>
      </x:c>
      <x:c r="E205" t="str">
        <x:v>Bélgica</x:v>
      </x:c>
      <x:c r="F205" t="n">
        <x:v>2</x:v>
      </x:c>
      <x:c r="G205" t="n">
        <x:v>1</x:v>
      </x:c>
      <x:c r="H205" t="str">
        <x:v>España</x:v>
      </x:c>
      <x:c r="I205" t="str">
        <x:v>90 minutos</x:v>
      </x:c>
      <x:c r="J205" t="n">
        <x:v>2</x:v>
      </x:c>
      <x:c r="K205" t="n">
        <x:v>1</x:v>
      </x:c>
      <x:c r="L205" t="str">
        <x:v>España</x:v>
      </x:c>
      <x:c r="M205" t="str">
        <x:v>90 minutos</x:v>
      </x:c>
      <x:c r="N205" t="n">
        <x:f>IF(AND(AND(ISNUMBER($F205),ISNUMBER($G205),$H205=$L205),IF($I205="90 minutos",IF($F205&gt;$G205,"A",IF($G205&gt;$F205,"B","E")),"E")=IF($M205="90 minutos",IF($J205&gt;$K205,"A",IF($K205&gt;$J205,"B","E")),"E")),Reglas!$B$2,0)</x:f>
        <x:v>5</x:v>
      </x:c>
      <x:c r="O205" t="n">
        <x:f>IF(AND(ISNUMBER($F205),ISNUMBER($G205),$H205=$L205),Reglas!$B$3,0)</x:f>
        <x:v>3</x:v>
      </x:c>
      <x:c r="P205" t="n">
        <x:f>IF(AND(AND(ISNUMBER($F205),ISNUMBER($G205),$H205=$L205),$I205=$M205),Reglas!$B$4,0)</x:f>
        <x:v>2</x:v>
      </x:c>
      <x:c r="Q205" t="n">
        <x:f>IF(AND(AND(AND(ISNUMBER($F205),ISNUMBER($G205),$H205=$L205),$I205=$M205,NOT(AND($I205="Penales",$F205&lt;&gt;$G205))),$F205=$J205,$G205=$K205),Reglas!$B$5,0)</x:f>
        <x:v>4</x:v>
      </x:c>
      <x:c r="R205" t="n">
        <x:f>IF(AND(AND(AND(ISNUMBER($F205),ISNUMBER($G205),$H205=$L205),$I205=$M205,NOT(AND($I205="Penales",$F205&lt;&gt;$G205))),$F205-$G205=$J205-$K205),Reglas!$B$6,0)</x:f>
        <x:v>2</x:v>
      </x:c>
      <x:c r="S205" t="n">
        <x:f>IF(AND(AND(AND(ISNUMBER($F205),ISNUMBER($G205),$H205=$L205),$I205=$M205,NOT(AND($I205="Penales",$F205&lt;&gt;$G205))),$F205=$J205),Reglas!$B$7,0)</x:f>
        <x:v>1</x:v>
      </x:c>
      <x:c r="T205" t="n">
        <x:f>IF(AND(AND(AND(ISNUMBER($F205),ISNUMBER($G205),$H205=$L205),$I205=$M205,NOT(AND($I205="Penales",$F205&lt;&gt;$G205))),$G205=$K205),Reglas!$B$8,0)</x:f>
        <x:v>1</x:v>
      </x:c>
      <x:c r="U205" t="n">
        <x:f>SUM(N205:T205)</x:f>
        <x:v>18</x:v>
      </x:c>
      <x:c r="V205" t="str">
        <x:f>IF($W205="Sin respuesta","Sin envio",IF($U205&gt;0,"OK","Sin puntos"))</x:f>
        <x:v>OK</x:v>
      </x:c>
      <x:c r="W205" t="str">
        <x:v>Google Forms</x:v>
      </x:c>
    </x:row>
    <x:row r="206" ht="15" hidden="0" customHeight="1">
      <x:c r="A206" t="str">
        <x:v>4tos</x:v>
      </x:c>
      <x:c r="B206" t="str">
        <x:v>QF2</x:v>
      </x:c>
      <x:c r="C206" t="str">
        <x:v>Aldo</x:v>
      </x:c>
      <x:c r="D206" t="str">
        <x:v>España</x:v>
      </x:c>
      <x:c r="E206" t="str">
        <x:v>Bélgica</x:v>
      </x:c>
      <x:c r="F206" t="n">
        <x:v>2</x:v>
      </x:c>
      <x:c r="G206" t="n">
        <x:v>0</x:v>
      </x:c>
      <x:c r="H206" t="str">
        <x:v>España</x:v>
      </x:c>
      <x:c r="I206" t="str">
        <x:v>90 minutos</x:v>
      </x:c>
      <x:c r="J206" t="n">
        <x:v>2</x:v>
      </x:c>
      <x:c r="K206" t="n">
        <x:v>1</x:v>
      </x:c>
      <x:c r="L206" t="str">
        <x:v>España</x:v>
      </x:c>
      <x:c r="M206" t="str">
        <x:v>90 minutos</x:v>
      </x:c>
      <x:c r="N206" t="n">
        <x:f>IF(AND(AND(ISNUMBER($F206),ISNUMBER($G206),$H206=$L206),IF($I206="90 minutos",IF($F206&gt;$G206,"A",IF($G206&gt;$F206,"B","E")),"E")=IF($M206="90 minutos",IF($J206&gt;$K206,"A",IF($K206&gt;$J206,"B","E")),"E")),Reglas!$B$2,0)</x:f>
        <x:v>5</x:v>
      </x:c>
      <x:c r="O206" t="n">
        <x:f>IF(AND(ISNUMBER($F206),ISNUMBER($G206),$H206=$L206),Reglas!$B$3,0)</x:f>
        <x:v>3</x:v>
      </x:c>
      <x:c r="P206" t="n">
        <x:f>IF(AND(AND(ISNUMBER($F206),ISNUMBER($G206),$H206=$L206),$I206=$M206),Reglas!$B$4,0)</x:f>
        <x:v>2</x:v>
      </x:c>
      <x:c r="Q206" t="n">
        <x:f>IF(AND(AND(AND(ISNUMBER($F206),ISNUMBER($G206),$H206=$L206),$I206=$M206,NOT(AND($I206="Penales",$F206&lt;&gt;$G206))),$F206=$J206,$G206=$K206),Reglas!$B$5,0)</x:f>
        <x:v>0</x:v>
      </x:c>
      <x:c r="R206" t="n">
        <x:f>IF(AND(AND(AND(ISNUMBER($F206),ISNUMBER($G206),$H206=$L206),$I206=$M206,NOT(AND($I206="Penales",$F206&lt;&gt;$G206))),$F206-$G206=$J206-$K206),Reglas!$B$6,0)</x:f>
        <x:v>0</x:v>
      </x:c>
      <x:c r="S206" t="n">
        <x:f>IF(AND(AND(AND(ISNUMBER($F206),ISNUMBER($G206),$H206=$L206),$I206=$M206,NOT(AND($I206="Penales",$F206&lt;&gt;$G206))),$F206=$J206),Reglas!$B$7,0)</x:f>
        <x:v>1</x:v>
      </x:c>
      <x:c r="T206" t="n">
        <x:f>IF(AND(AND(AND(ISNUMBER($F206),ISNUMBER($G206),$H206=$L206),$I206=$M206,NOT(AND($I206="Penales",$F206&lt;&gt;$G206))),$G206=$K206),Reglas!$B$8,0)</x:f>
        <x:v>0</x:v>
      </x:c>
      <x:c r="U206" t="n">
        <x:f>SUM(N206:T206)</x:f>
        <x:v>11</x:v>
      </x:c>
      <x:c r="V206" t="str">
        <x:f>IF($W206="Sin respuesta","Sin envio",IF($U206&gt;0,"OK","Sin puntos"))</x:f>
        <x:v>OK</x:v>
      </x:c>
      <x:c r="W206" t="str">
        <x:v>Google Forms</x:v>
      </x:c>
    </x:row>
    <x:row r="207" ht="15" hidden="0" customHeight="1">
      <x:c r="A207" t="str">
        <x:v>4tos</x:v>
      </x:c>
      <x:c r="B207" t="str">
        <x:v>QF2</x:v>
      </x:c>
      <x:c r="C207" t="str">
        <x:v>Javier</x:v>
      </x:c>
      <x:c r="D207" t="str">
        <x:v>España</x:v>
      </x:c>
      <x:c r="E207" t="str">
        <x:v>Bélgica</x:v>
      </x:c>
      <x:c r="F207" t="n">
        <x:v>1</x:v>
      </x:c>
      <x:c r="G207" t="n">
        <x:v>2</x:v>
      </x:c>
      <x:c r="H207" t="str">
        <x:v>Bélgica</x:v>
      </x:c>
      <x:c r="I207" t="str">
        <x:v>90 minutos</x:v>
      </x:c>
      <x:c r="J207" t="n">
        <x:v>2</x:v>
      </x:c>
      <x:c r="K207" t="n">
        <x:v>1</x:v>
      </x:c>
      <x:c r="L207" t="str">
        <x:v>España</x:v>
      </x:c>
      <x:c r="M207" t="str">
        <x:v>90 minutos</x:v>
      </x:c>
      <x:c r="N207" t="n">
        <x:f>IF(AND(AND(ISNUMBER($F207),ISNUMBER($G207),$H207=$L207),IF($I207="90 minutos",IF($F207&gt;$G207,"A",IF($G207&gt;$F207,"B","E")),"E")=IF($M207="90 minutos",IF($J207&gt;$K207,"A",IF($K207&gt;$J207,"B","E")),"E")),Reglas!$B$2,0)</x:f>
        <x:v>0</x:v>
      </x:c>
      <x:c r="O207" t="n">
        <x:f>IF(AND(ISNUMBER($F207),ISNUMBER($G207),$H207=$L207),Reglas!$B$3,0)</x:f>
        <x:v>0</x:v>
      </x:c>
      <x:c r="P207" t="n">
        <x:f>IF(AND(AND(ISNUMBER($F207),ISNUMBER($G207),$H207=$L207),$I207=$M207),Reglas!$B$4,0)</x:f>
        <x:v>0</x:v>
      </x:c>
      <x:c r="Q207" t="n">
        <x:f>IF(AND(AND(AND(ISNUMBER($F207),ISNUMBER($G207),$H207=$L207),$I207=$M207,NOT(AND($I207="Penales",$F207&lt;&gt;$G207))),$F207=$J207,$G207=$K207),Reglas!$B$5,0)</x:f>
        <x:v>0</x:v>
      </x:c>
      <x:c r="R207" t="n">
        <x:f>IF(AND(AND(AND(ISNUMBER($F207),ISNUMBER($G207),$H207=$L207),$I207=$M207,NOT(AND($I207="Penales",$F207&lt;&gt;$G207))),$F207-$G207=$J207-$K207),Reglas!$B$6,0)</x:f>
        <x:v>0</x:v>
      </x:c>
      <x:c r="S207" t="n">
        <x:f>IF(AND(AND(AND(ISNUMBER($F207),ISNUMBER($G207),$H207=$L207),$I207=$M207,NOT(AND($I207="Penales",$F207&lt;&gt;$G207))),$F207=$J207),Reglas!$B$7,0)</x:f>
        <x:v>0</x:v>
      </x:c>
      <x:c r="T207" t="n">
        <x:f>IF(AND(AND(AND(ISNUMBER($F207),ISNUMBER($G207),$H207=$L207),$I207=$M207,NOT(AND($I207="Penales",$F207&lt;&gt;$G207))),$G207=$K207),Reglas!$B$8,0)</x:f>
        <x:v>0</x:v>
      </x:c>
      <x:c r="U207" t="n">
        <x:f>SUM(N207:T207)</x:f>
        <x:v>0</x:v>
      </x:c>
      <x:c r="V207" t="str">
        <x:f>IF($W207="Sin respuesta","Sin envio",IF($U207&gt;0,"OK","Sin puntos"))</x:f>
        <x:v>Sin puntos</x:v>
      </x:c>
      <x:c r="W207" t="str">
        <x:v>Google Forms</x:v>
      </x:c>
    </x:row>
    <x:row r="208" ht="15" hidden="0" customHeight="1">
      <x:c r="A208" t="str">
        <x:v>4tos</x:v>
      </x:c>
      <x:c r="B208" t="str">
        <x:v>QF2</x:v>
      </x:c>
      <x:c r="C208" t="str">
        <x:v>Gino</x:v>
      </x:c>
      <x:c r="D208" t="str">
        <x:v>España</x:v>
      </x:c>
      <x:c r="E208" t="str">
        <x:v>Bélgica</x:v>
      </x:c>
      <x:c r="F208" t="n">
        <x:v>1</x:v>
      </x:c>
      <x:c r="G208" t="n">
        <x:v>2</x:v>
      </x:c>
      <x:c r="H208" t="str">
        <x:v>Bélgica</x:v>
      </x:c>
      <x:c r="I208" t="str">
        <x:v>Suplementario</x:v>
      </x:c>
      <x:c r="J208" t="n">
        <x:v>2</x:v>
      </x:c>
      <x:c r="K208" t="n">
        <x:v>1</x:v>
      </x:c>
      <x:c r="L208" t="str">
        <x:v>España</x:v>
      </x:c>
      <x:c r="M208" t="str">
        <x:v>90 minutos</x:v>
      </x:c>
      <x:c r="N208" t="n">
        <x:f>IF(AND(AND(ISNUMBER($F208),ISNUMBER($G208),$H208=$L208),IF($I208="90 minutos",IF($F208&gt;$G208,"A",IF($G208&gt;$F208,"B","E")),"E")=IF($M208="90 minutos",IF($J208&gt;$K208,"A",IF($K208&gt;$J208,"B","E")),"E")),Reglas!$B$2,0)</x:f>
        <x:v>0</x:v>
      </x:c>
      <x:c r="O208" t="n">
        <x:f>IF(AND(ISNUMBER($F208),ISNUMBER($G208),$H208=$L208),Reglas!$B$3,0)</x:f>
        <x:v>0</x:v>
      </x:c>
      <x:c r="P208" t="n">
        <x:f>IF(AND(AND(ISNUMBER($F208),ISNUMBER($G208),$H208=$L208),$I208=$M208),Reglas!$B$4,0)</x:f>
        <x:v>0</x:v>
      </x:c>
      <x:c r="Q208" t="n">
        <x:f>IF(AND(AND(AND(ISNUMBER($F208),ISNUMBER($G208),$H208=$L208),$I208=$M208,NOT(AND($I208="Penales",$F208&lt;&gt;$G208))),$F208=$J208,$G208=$K208),Reglas!$B$5,0)</x:f>
        <x:v>0</x:v>
      </x:c>
      <x:c r="R208" t="n">
        <x:f>IF(AND(AND(AND(ISNUMBER($F208),ISNUMBER($G208),$H208=$L208),$I208=$M208,NOT(AND($I208="Penales",$F208&lt;&gt;$G208))),$F208-$G208=$J208-$K208),Reglas!$B$6,0)</x:f>
        <x:v>0</x:v>
      </x:c>
      <x:c r="S208" t="n">
        <x:f>IF(AND(AND(AND(ISNUMBER($F208),ISNUMBER($G208),$H208=$L208),$I208=$M208,NOT(AND($I208="Penales",$F208&lt;&gt;$G208))),$F208=$J208),Reglas!$B$7,0)</x:f>
        <x:v>0</x:v>
      </x:c>
      <x:c r="T208" t="n">
        <x:f>IF(AND(AND(AND(ISNUMBER($F208),ISNUMBER($G208),$H208=$L208),$I208=$M208,NOT(AND($I208="Penales",$F208&lt;&gt;$G208))),$G208=$K208),Reglas!$B$8,0)</x:f>
        <x:v>0</x:v>
      </x:c>
      <x:c r="U208" t="n">
        <x:f>SUM(N208:T208)</x:f>
        <x:v>0</x:v>
      </x:c>
      <x:c r="V208" t="str">
        <x:f>IF($W208="Sin respuesta","Sin envio",IF($U208&gt;0,"OK","Sin puntos"))</x:f>
        <x:v>Sin puntos</x:v>
      </x:c>
      <x:c r="W208" t="str">
        <x:v>Google Forms</x:v>
      </x:c>
    </x:row>
    <x:row r="209" ht="15" hidden="0" customHeight="1">
      <x:c r="A209" t="str">
        <x:v>4tos</x:v>
      </x:c>
      <x:c r="B209" t="str">
        <x:v>QF2</x:v>
      </x:c>
      <x:c r="C209" t="str">
        <x:v>Manuel</x:v>
      </x:c>
      <x:c r="D209" t="str">
        <x:v>España</x:v>
      </x:c>
      <x:c r="E209" t="str">
        <x:v>Bélgica</x:v>
      </x:c>
      <x:c r="F209" t="n">
        <x:v>2</x:v>
      </x:c>
      <x:c r="G209" t="n">
        <x:v>0</x:v>
      </x:c>
      <x:c r="H209" t="str">
        <x:v>España</x:v>
      </x:c>
      <x:c r="I209" t="str">
        <x:v>90 minutos</x:v>
      </x:c>
      <x:c r="J209" t="n">
        <x:v>2</x:v>
      </x:c>
      <x:c r="K209" t="n">
        <x:v>1</x:v>
      </x:c>
      <x:c r="L209" t="str">
        <x:v>España</x:v>
      </x:c>
      <x:c r="M209" t="str">
        <x:v>90 minutos</x:v>
      </x:c>
      <x:c r="N209" t="n">
        <x:f>IF(AND(AND(ISNUMBER($F209),ISNUMBER($G209),$H209=$L209),IF($I209="90 minutos",IF($F209&gt;$G209,"A",IF($G209&gt;$F209,"B","E")),"E")=IF($M209="90 minutos",IF($J209&gt;$K209,"A",IF($K209&gt;$J209,"B","E")),"E")),Reglas!$B$2,0)</x:f>
        <x:v>5</x:v>
      </x:c>
      <x:c r="O209" t="n">
        <x:f>IF(AND(ISNUMBER($F209),ISNUMBER($G209),$H209=$L209),Reglas!$B$3,0)</x:f>
        <x:v>3</x:v>
      </x:c>
      <x:c r="P209" t="n">
        <x:f>IF(AND(AND(ISNUMBER($F209),ISNUMBER($G209),$H209=$L209),$I209=$M209),Reglas!$B$4,0)</x:f>
        <x:v>2</x:v>
      </x:c>
      <x:c r="Q209" t="n">
        <x:f>IF(AND(AND(AND(ISNUMBER($F209),ISNUMBER($G209),$H209=$L209),$I209=$M209,NOT(AND($I209="Penales",$F209&lt;&gt;$G209))),$F209=$J209,$G209=$K209),Reglas!$B$5,0)</x:f>
        <x:v>0</x:v>
      </x:c>
      <x:c r="R209" t="n">
        <x:f>IF(AND(AND(AND(ISNUMBER($F209),ISNUMBER($G209),$H209=$L209),$I209=$M209,NOT(AND($I209="Penales",$F209&lt;&gt;$G209))),$F209-$G209=$J209-$K209),Reglas!$B$6,0)</x:f>
        <x:v>0</x:v>
      </x:c>
      <x:c r="S209" t="n">
        <x:f>IF(AND(AND(AND(ISNUMBER($F209),ISNUMBER($G209),$H209=$L209),$I209=$M209,NOT(AND($I209="Penales",$F209&lt;&gt;$G209))),$F209=$J209),Reglas!$B$7,0)</x:f>
        <x:v>1</x:v>
      </x:c>
      <x:c r="T209" t="n">
        <x:f>IF(AND(AND(AND(ISNUMBER($F209),ISNUMBER($G209),$H209=$L209),$I209=$M209,NOT(AND($I209="Penales",$F209&lt;&gt;$G209))),$G209=$K209),Reglas!$B$8,0)</x:f>
        <x:v>0</x:v>
      </x:c>
      <x:c r="U209" t="n">
        <x:f>SUM(N209:T209)</x:f>
        <x:v>11</x:v>
      </x:c>
      <x:c r="V209" t="str">
        <x:f>IF($W209="Sin respuesta","Sin envio",IF($U209&gt;0,"OK","Sin puntos"))</x:f>
        <x:v>OK</x:v>
      </x:c>
      <x:c r="W209" t="str">
        <x:v>Google Forms</x:v>
      </x:c>
    </x:row>
    <x:row r="210" ht="15" hidden="0" customHeight="1">
      <x:c r="A210" t="str">
        <x:v>4tos</x:v>
      </x:c>
      <x:c r="B210" t="str">
        <x:v>QF2</x:v>
      </x:c>
      <x:c r="C210" t="str">
        <x:v>Jorge</x:v>
      </x:c>
      <x:c r="D210" t="str">
        <x:v>España</x:v>
      </x:c>
      <x:c r="E210" t="str">
        <x:v>Bélgica</x:v>
      </x:c>
      <x:c r="F210" t="n">
        <x:v>4</x:v>
      </x:c>
      <x:c r="G210" t="n">
        <x:v>2</x:v>
      </x:c>
      <x:c r="H210" t="str">
        <x:v>España</x:v>
      </x:c>
      <x:c r="I210" t="str">
        <x:v>90 minutos</x:v>
      </x:c>
      <x:c r="J210" t="n">
        <x:v>2</x:v>
      </x:c>
      <x:c r="K210" t="n">
        <x:v>1</x:v>
      </x:c>
      <x:c r="L210" t="str">
        <x:v>España</x:v>
      </x:c>
      <x:c r="M210" t="str">
        <x:v>90 minutos</x:v>
      </x:c>
      <x:c r="N210" t="n">
        <x:f>IF(AND(AND(ISNUMBER($F210),ISNUMBER($G210),$H210=$L210),IF($I210="90 minutos",IF($F210&gt;$G210,"A",IF($G210&gt;$F210,"B","E")),"E")=IF($M210="90 minutos",IF($J210&gt;$K210,"A",IF($K210&gt;$J210,"B","E")),"E")),Reglas!$B$2,0)</x:f>
        <x:v>5</x:v>
      </x:c>
      <x:c r="O210" t="n">
        <x:f>IF(AND(ISNUMBER($F210),ISNUMBER($G210),$H210=$L210),Reglas!$B$3,0)</x:f>
        <x:v>3</x:v>
      </x:c>
      <x:c r="P210" t="n">
        <x:f>IF(AND(AND(ISNUMBER($F210),ISNUMBER($G210),$H210=$L210),$I210=$M210),Reglas!$B$4,0)</x:f>
        <x:v>2</x:v>
      </x:c>
      <x:c r="Q210" t="n">
        <x:f>IF(AND(AND(AND(ISNUMBER($F210),ISNUMBER($G210),$H210=$L210),$I210=$M210,NOT(AND($I210="Penales",$F210&lt;&gt;$G210))),$F210=$J210,$G210=$K210),Reglas!$B$5,0)</x:f>
        <x:v>0</x:v>
      </x:c>
      <x:c r="R210" t="n">
        <x:f>IF(AND(AND(AND(ISNUMBER($F210),ISNUMBER($G210),$H210=$L210),$I210=$M210,NOT(AND($I210="Penales",$F210&lt;&gt;$G210))),$F210-$G210=$J210-$K210),Reglas!$B$6,0)</x:f>
        <x:v>0</x:v>
      </x:c>
      <x:c r="S210" t="n">
        <x:f>IF(AND(AND(AND(ISNUMBER($F210),ISNUMBER($G210),$H210=$L210),$I210=$M210,NOT(AND($I210="Penales",$F210&lt;&gt;$G210))),$F210=$J210),Reglas!$B$7,0)</x:f>
        <x:v>0</x:v>
      </x:c>
      <x:c r="T210" t="n">
        <x:f>IF(AND(AND(AND(ISNUMBER($F210),ISNUMBER($G210),$H210=$L210),$I210=$M210,NOT(AND($I210="Penales",$F210&lt;&gt;$G210))),$G210=$K210),Reglas!$B$8,0)</x:f>
        <x:v>0</x:v>
      </x:c>
      <x:c r="U210" t="n">
        <x:f>SUM(N210:T210)</x:f>
        <x:v>10</x:v>
      </x:c>
      <x:c r="V210" t="str">
        <x:f>IF($W210="Sin respuesta","Sin envio",IF($U210&gt;0,"OK","Sin puntos"))</x:f>
        <x:v>OK</x:v>
      </x:c>
      <x:c r="W210" t="str">
        <x:v>Google Forms</x:v>
      </x:c>
    </x:row>
    <x:row r="211" ht="15" hidden="0" customHeight="1">
      <x:c r="A211" t="str">
        <x:v>4tos</x:v>
      </x:c>
      <x:c r="B211" t="str">
        <x:v>QF2</x:v>
      </x:c>
      <x:c r="C211" t="str">
        <x:v>Daniel</x:v>
      </x:c>
      <x:c r="D211" t="str">
        <x:v>España</x:v>
      </x:c>
      <x:c r="E211" t="str">
        <x:v>Bélgica</x:v>
      </x:c>
      <x:c r="F211" t="n">
        <x:v>2</x:v>
      </x:c>
      <x:c r="G211" t="n">
        <x:v>1</x:v>
      </x:c>
      <x:c r="H211" t="str">
        <x:v>España</x:v>
      </x:c>
      <x:c r="I211" t="str">
        <x:v>90 minutos</x:v>
      </x:c>
      <x:c r="J211" t="n">
        <x:v>2</x:v>
      </x:c>
      <x:c r="K211" t="n">
        <x:v>1</x:v>
      </x:c>
      <x:c r="L211" t="str">
        <x:v>España</x:v>
      </x:c>
      <x:c r="M211" t="str">
        <x:v>90 minutos</x:v>
      </x:c>
      <x:c r="N211" t="n">
        <x:f>IF(AND(AND(ISNUMBER($F211),ISNUMBER($G211),$H211=$L211),IF($I211="90 minutos",IF($F211&gt;$G211,"A",IF($G211&gt;$F211,"B","E")),"E")=IF($M211="90 minutos",IF($J211&gt;$K211,"A",IF($K211&gt;$J211,"B","E")),"E")),Reglas!$B$2,0)</x:f>
        <x:v>5</x:v>
      </x:c>
      <x:c r="O211" t="n">
        <x:f>IF(AND(ISNUMBER($F211),ISNUMBER($G211),$H211=$L211),Reglas!$B$3,0)</x:f>
        <x:v>3</x:v>
      </x:c>
      <x:c r="P211" t="n">
        <x:f>IF(AND(AND(ISNUMBER($F211),ISNUMBER($G211),$H211=$L211),$I211=$M211),Reglas!$B$4,0)</x:f>
        <x:v>2</x:v>
      </x:c>
      <x:c r="Q211" t="n">
        <x:f>IF(AND(AND(AND(ISNUMBER($F211),ISNUMBER($G211),$H211=$L211),$I211=$M211,NOT(AND($I211="Penales",$F211&lt;&gt;$G211))),$F211=$J211,$G211=$K211),Reglas!$B$5,0)</x:f>
        <x:v>4</x:v>
      </x:c>
      <x:c r="R211" t="n">
        <x:f>IF(AND(AND(AND(ISNUMBER($F211),ISNUMBER($G211),$H211=$L211),$I211=$M211,NOT(AND($I211="Penales",$F211&lt;&gt;$G211))),$F211-$G211=$J211-$K211),Reglas!$B$6,0)</x:f>
        <x:v>2</x:v>
      </x:c>
      <x:c r="S211" t="n">
        <x:f>IF(AND(AND(AND(ISNUMBER($F211),ISNUMBER($G211),$H211=$L211),$I211=$M211,NOT(AND($I211="Penales",$F211&lt;&gt;$G211))),$F211=$J211),Reglas!$B$7,0)</x:f>
        <x:v>1</x:v>
      </x:c>
      <x:c r="T211" t="n">
        <x:f>IF(AND(AND(AND(ISNUMBER($F211),ISNUMBER($G211),$H211=$L211),$I211=$M211,NOT(AND($I211="Penales",$F211&lt;&gt;$G211))),$G211=$K211),Reglas!$B$8,0)</x:f>
        <x:v>1</x:v>
      </x:c>
      <x:c r="U211" t="n">
        <x:f>SUM(N211:T211)</x:f>
        <x:v>18</x:v>
      </x:c>
      <x:c r="V211" t="str">
        <x:f>IF($W211="Sin respuesta","Sin envio",IF($U211&gt;0,"OK","Sin puntos"))</x:f>
        <x:v>OK</x:v>
      </x:c>
      <x:c r="W211" t="str">
        <x:v>Google Forms</x:v>
      </x:c>
    </x:row>
    <x:row r="212" ht="15" hidden="0" customHeight="1">
      <x:c r="A212" t="str">
        <x:v>4tos</x:v>
      </x:c>
      <x:c r="B212" t="str">
        <x:v>QF2</x:v>
      </x:c>
      <x:c r="C212" t="str">
        <x:v>Arthur</x:v>
      </x:c>
      <x:c r="D212" t="str">
        <x:v>España</x:v>
      </x:c>
      <x:c r="E212" t="str">
        <x:v>Bélgica</x:v>
      </x:c>
      <x:c r="F212" t="n">
        <x:v>2</x:v>
      </x:c>
      <x:c r="G212" t="n">
        <x:v>1</x:v>
      </x:c>
      <x:c r="H212" t="str">
        <x:v>España</x:v>
      </x:c>
      <x:c r="I212" t="str">
        <x:v>90 minutos</x:v>
      </x:c>
      <x:c r="J212" t="n">
        <x:v>2</x:v>
      </x:c>
      <x:c r="K212" t="n">
        <x:v>1</x:v>
      </x:c>
      <x:c r="L212" t="str">
        <x:v>España</x:v>
      </x:c>
      <x:c r="M212" t="str">
        <x:v>90 minutos</x:v>
      </x:c>
      <x:c r="N212" t="n">
        <x:f>IF(AND(AND(ISNUMBER($F212),ISNUMBER($G212),$H212=$L212),IF($I212="90 minutos",IF($F212&gt;$G212,"A",IF($G212&gt;$F212,"B","E")),"E")=IF($M212="90 minutos",IF($J212&gt;$K212,"A",IF($K212&gt;$J212,"B","E")),"E")),Reglas!$B$2,0)</x:f>
        <x:v>5</x:v>
      </x:c>
      <x:c r="O212" t="n">
        <x:f>IF(AND(ISNUMBER($F212),ISNUMBER($G212),$H212=$L212),Reglas!$B$3,0)</x:f>
        <x:v>3</x:v>
      </x:c>
      <x:c r="P212" t="n">
        <x:f>IF(AND(AND(ISNUMBER($F212),ISNUMBER($G212),$H212=$L212),$I212=$M212),Reglas!$B$4,0)</x:f>
        <x:v>2</x:v>
      </x:c>
      <x:c r="Q212" t="n">
        <x:f>IF(AND(AND(AND(ISNUMBER($F212),ISNUMBER($G212),$H212=$L212),$I212=$M212,NOT(AND($I212="Penales",$F212&lt;&gt;$G212))),$F212=$J212,$G212=$K212),Reglas!$B$5,0)</x:f>
        <x:v>4</x:v>
      </x:c>
      <x:c r="R212" t="n">
        <x:f>IF(AND(AND(AND(ISNUMBER($F212),ISNUMBER($G212),$H212=$L212),$I212=$M212,NOT(AND($I212="Penales",$F212&lt;&gt;$G212))),$F212-$G212=$J212-$K212),Reglas!$B$6,0)</x:f>
        <x:v>2</x:v>
      </x:c>
      <x:c r="S212" t="n">
        <x:f>IF(AND(AND(AND(ISNUMBER($F212),ISNUMBER($G212),$H212=$L212),$I212=$M212,NOT(AND($I212="Penales",$F212&lt;&gt;$G212))),$F212=$J212),Reglas!$B$7,0)</x:f>
        <x:v>1</x:v>
      </x:c>
      <x:c r="T212" t="n">
        <x:f>IF(AND(AND(AND(ISNUMBER($F212),ISNUMBER($G212),$H212=$L212),$I212=$M212,NOT(AND($I212="Penales",$F212&lt;&gt;$G212))),$G212=$K212),Reglas!$B$8,0)</x:f>
        <x:v>1</x:v>
      </x:c>
      <x:c r="U212" t="n">
        <x:f>SUM(N212:T212)</x:f>
        <x:v>18</x:v>
      </x:c>
      <x:c r="V212" t="str">
        <x:f>IF($W212="Sin respuesta","Sin envio",IF($U212&gt;0,"OK","Sin puntos"))</x:f>
        <x:v>OK</x:v>
      </x:c>
      <x:c r="W212" t="str">
        <x:v>Google Forms</x:v>
      </x:c>
    </x:row>
    <x:row r="213" ht="15" hidden="0" customHeight="1">
      <x:c r="A213" t="str">
        <x:v>4tos</x:v>
      </x:c>
      <x:c r="B213" t="str">
        <x:v>QF2</x:v>
      </x:c>
      <x:c r="C213" t="str">
        <x:v>José Luis</x:v>
      </x:c>
      <x:c r="D213" t="str">
        <x:v>España</x:v>
      </x:c>
      <x:c r="E213" t="str">
        <x:v>Bélgica</x:v>
      </x:c>
      <x:c r="F213"/>
      <x:c r="G213"/>
      <x:c r="H213" t="str">
        <x:v>Sin envio</x:v>
      </x:c>
      <x:c r="I213" t="str">
        <x:v>Sin envio</x:v>
      </x:c>
      <x:c r="J213" t="n">
        <x:v>2</x:v>
      </x:c>
      <x:c r="K213" t="n">
        <x:v>1</x:v>
      </x:c>
      <x:c r="L213" t="str">
        <x:v>España</x:v>
      </x:c>
      <x:c r="M213" t="str">
        <x:v>90 minutos</x:v>
      </x:c>
      <x:c r="N213" t="n">
        <x:f>IF(AND(AND(ISNUMBER($F213),ISNUMBER($G213),$H213=$L213),IF($I213="90 minutos",IF($F213&gt;$G213,"A",IF($G213&gt;$F213,"B","E")),"E")=IF($M213="90 minutos",IF($J213&gt;$K213,"A",IF($K213&gt;$J213,"B","E")),"E")),Reglas!$B$2,0)</x:f>
        <x:v>0</x:v>
      </x:c>
      <x:c r="O213" t="n">
        <x:f>IF(AND(ISNUMBER($F213),ISNUMBER($G213),$H213=$L213),Reglas!$B$3,0)</x:f>
        <x:v>0</x:v>
      </x:c>
      <x:c r="P213" t="n">
        <x:f>IF(AND(AND(ISNUMBER($F213),ISNUMBER($G213),$H213=$L213),$I213=$M213),Reglas!$B$4,0)</x:f>
        <x:v>0</x:v>
      </x:c>
      <x:c r="Q213" t="n">
        <x:f>IF(AND(AND(AND(ISNUMBER($F213),ISNUMBER($G213),$H213=$L213),$I213=$M213,NOT(AND($I213="Penales",$F213&lt;&gt;$G213))),$F213=$J213,$G213=$K213),Reglas!$B$5,0)</x:f>
        <x:v>0</x:v>
      </x:c>
      <x:c r="R213" t="n">
        <x:f>IF(AND(AND(AND(ISNUMBER($F213),ISNUMBER($G213),$H213=$L213),$I213=$M213,NOT(AND($I213="Penales",$F213&lt;&gt;$G213))),$F213-$G213=$J213-$K213),Reglas!$B$6,0)</x:f>
        <x:v>0</x:v>
      </x:c>
      <x:c r="S213" t="n">
        <x:f>IF(AND(AND(AND(ISNUMBER($F213),ISNUMBER($G213),$H213=$L213),$I213=$M213,NOT(AND($I213="Penales",$F213&lt;&gt;$G213))),$F213=$J213),Reglas!$B$7,0)</x:f>
        <x:v>0</x:v>
      </x:c>
      <x:c r="T213" t="n">
        <x:f>IF(AND(AND(AND(ISNUMBER($F213),ISNUMBER($G213),$H213=$L213),$I213=$M213,NOT(AND($I213="Penales",$F213&lt;&gt;$G213))),$G213=$K213),Reglas!$B$8,0)</x:f>
        <x:v>0</x:v>
      </x:c>
      <x:c r="U213" t="n">
        <x:f>SUM(N213:T213)</x:f>
        <x:v>0</x:v>
      </x:c>
      <x:c r="V213" t="str">
        <x:f>IF($W213="Sin respuesta","Sin envio",IF($U213&gt;0,"OK","Sin puntos"))</x:f>
        <x:v>Sin envio</x:v>
      </x:c>
      <x:c r="W213" t="str">
        <x:v>Sin respuesta</x:v>
      </x:c>
    </x:row>
    <x:row r="214" ht="15" hidden="0" customHeight="1">
      <x:c r="A214" t="str">
        <x:v>4tos</x:v>
      </x:c>
      <x:c r="B214" t="str">
        <x:v>QF2</x:v>
      </x:c>
      <x:c r="C214" t="str">
        <x:v>Marcelo</x:v>
      </x:c>
      <x:c r="D214" t="str">
        <x:v>España</x:v>
      </x:c>
      <x:c r="E214" t="str">
        <x:v>Bélgica</x:v>
      </x:c>
      <x:c r="F214"/>
      <x:c r="G214"/>
      <x:c r="H214" t="str">
        <x:v>Sin envio</x:v>
      </x:c>
      <x:c r="I214" t="str">
        <x:v>Sin envio</x:v>
      </x:c>
      <x:c r="J214" t="n">
        <x:v>2</x:v>
      </x:c>
      <x:c r="K214" t="n">
        <x:v>1</x:v>
      </x:c>
      <x:c r="L214" t="str">
        <x:v>España</x:v>
      </x:c>
      <x:c r="M214" t="str">
        <x:v>90 minutos</x:v>
      </x:c>
      <x:c r="N214" t="n">
        <x:f>IF(AND(AND(ISNUMBER($F214),ISNUMBER($G214),$H214=$L214),IF($I214="90 minutos",IF($F214&gt;$G214,"A",IF($G214&gt;$F214,"B","E")),"E")=IF($M214="90 minutos",IF($J214&gt;$K214,"A",IF($K214&gt;$J214,"B","E")),"E")),Reglas!$B$2,0)</x:f>
        <x:v>0</x:v>
      </x:c>
      <x:c r="O214" t="n">
        <x:f>IF(AND(ISNUMBER($F214),ISNUMBER($G214),$H214=$L214),Reglas!$B$3,0)</x:f>
        <x:v>0</x:v>
      </x:c>
      <x:c r="P214" t="n">
        <x:f>IF(AND(AND(ISNUMBER($F214),ISNUMBER($G214),$H214=$L214),$I214=$M214),Reglas!$B$4,0)</x:f>
        <x:v>0</x:v>
      </x:c>
      <x:c r="Q214" t="n">
        <x:f>IF(AND(AND(AND(ISNUMBER($F214),ISNUMBER($G214),$H214=$L214),$I214=$M214,NOT(AND($I214="Penales",$F214&lt;&gt;$G214))),$F214=$J214,$G214=$K214),Reglas!$B$5,0)</x:f>
        <x:v>0</x:v>
      </x:c>
      <x:c r="R214" t="n">
        <x:f>IF(AND(AND(AND(ISNUMBER($F214),ISNUMBER($G214),$H214=$L214),$I214=$M214,NOT(AND($I214="Penales",$F214&lt;&gt;$G214))),$F214-$G214=$J214-$K214),Reglas!$B$6,0)</x:f>
        <x:v>0</x:v>
      </x:c>
      <x:c r="S214" t="n">
        <x:f>IF(AND(AND(AND(ISNUMBER($F214),ISNUMBER($G214),$H214=$L214),$I214=$M214,NOT(AND($I214="Penales",$F214&lt;&gt;$G214))),$F214=$J214),Reglas!$B$7,0)</x:f>
        <x:v>0</x:v>
      </x:c>
      <x:c r="T214" t="n">
        <x:f>IF(AND(AND(AND(ISNUMBER($F214),ISNUMBER($G214),$H214=$L214),$I214=$M214,NOT(AND($I214="Penales",$F214&lt;&gt;$G214))),$G214=$K214),Reglas!$B$8,0)</x:f>
        <x:v>0</x:v>
      </x:c>
      <x:c r="U214" t="n">
        <x:f>SUM(N214:T214)</x:f>
        <x:v>0</x:v>
      </x:c>
      <x:c r="V214" t="str">
        <x:f>IF($W214="Sin respuesta","Sin envio",IF($U214&gt;0,"OK","Sin puntos"))</x:f>
        <x:v>Sin envio</x:v>
      </x:c>
      <x:c r="W214" t="str">
        <x:v>Sin respuesta</x:v>
      </x:c>
    </x:row>
    <x:row r="215" ht="15" hidden="0" customHeight="1">
      <x:c r="A215" t="str">
        <x:v>4tos</x:v>
      </x:c>
      <x:c r="B215" t="str">
        <x:v>QF2</x:v>
      </x:c>
      <x:c r="C215" t="str">
        <x:v>Anny</x:v>
      </x:c>
      <x:c r="D215" t="str">
        <x:v>España</x:v>
      </x:c>
      <x:c r="E215" t="str">
        <x:v>Bélgica</x:v>
      </x:c>
      <x:c r="F215" t="n">
        <x:v>1</x:v>
      </x:c>
      <x:c r="G215" t="n">
        <x:v>1</x:v>
      </x:c>
      <x:c r="H215" t="str">
        <x:v>España</x:v>
      </x:c>
      <x:c r="I215" t="str">
        <x:v>Penales</x:v>
      </x:c>
      <x:c r="J215" t="n">
        <x:v>2</x:v>
      </x:c>
      <x:c r="K215" t="n">
        <x:v>1</x:v>
      </x:c>
      <x:c r="L215" t="str">
        <x:v>España</x:v>
      </x:c>
      <x:c r="M215" t="str">
        <x:v>90 minutos</x:v>
      </x:c>
      <x:c r="N215" t="n">
        <x:f>IF(AND(AND(ISNUMBER($F215),ISNUMBER($G215),$H215=$L215),IF($I215="90 minutos",IF($F215&gt;$G215,"A",IF($G215&gt;$F215,"B","E")),"E")=IF($M215="90 minutos",IF($J215&gt;$K215,"A",IF($K215&gt;$J215,"B","E")),"E")),Reglas!$B$2,0)</x:f>
        <x:v>0</x:v>
      </x:c>
      <x:c r="O215" t="n">
        <x:f>IF(AND(ISNUMBER($F215),ISNUMBER($G215),$H215=$L215),Reglas!$B$3,0)</x:f>
        <x:v>3</x:v>
      </x:c>
      <x:c r="P215" t="n">
        <x:f>IF(AND(AND(ISNUMBER($F215),ISNUMBER($G215),$H215=$L215),$I215=$M215),Reglas!$B$4,0)</x:f>
        <x:v>0</x:v>
      </x:c>
      <x:c r="Q215" t="n">
        <x:f>IF(AND(AND(AND(ISNUMBER($F215),ISNUMBER($G215),$H215=$L215),$I215=$M215,NOT(AND($I215="Penales",$F215&lt;&gt;$G215))),$F215=$J215,$G215=$K215),Reglas!$B$5,0)</x:f>
        <x:v>0</x:v>
      </x:c>
      <x:c r="R215" t="n">
        <x:f>IF(AND(AND(AND(ISNUMBER($F215),ISNUMBER($G215),$H215=$L215),$I215=$M215,NOT(AND($I215="Penales",$F215&lt;&gt;$G215))),$F215-$G215=$J215-$K215),Reglas!$B$6,0)</x:f>
        <x:v>0</x:v>
      </x:c>
      <x:c r="S215" t="n">
        <x:f>IF(AND(AND(AND(ISNUMBER($F215),ISNUMBER($G215),$H215=$L215),$I215=$M215,NOT(AND($I215="Penales",$F215&lt;&gt;$G215))),$F215=$J215),Reglas!$B$7,0)</x:f>
        <x:v>0</x:v>
      </x:c>
      <x:c r="T215" t="n">
        <x:f>IF(AND(AND(AND(ISNUMBER($F215),ISNUMBER($G215),$H215=$L215),$I215=$M215,NOT(AND($I215="Penales",$F215&lt;&gt;$G215))),$G215=$K215),Reglas!$B$8,0)</x:f>
        <x:v>0</x:v>
      </x:c>
      <x:c r="U215" t="n">
        <x:f>SUM(N215:T215)</x:f>
        <x:v>3</x:v>
      </x:c>
      <x:c r="V215" t="str">
        <x:f>IF($W215="Sin respuesta","Sin envio",IF($U215&gt;0,"OK","Sin puntos"))</x:f>
        <x:v>OK</x:v>
      </x:c>
      <x:c r="W215" t="str">
        <x:v>Google Forms</x:v>
      </x:c>
    </x:row>
    <x:row r="216" ht="15" hidden="0" customHeight="1">
      <x:c r="A216" t="str">
        <x:v>4tos</x:v>
      </x:c>
      <x:c r="B216" t="str">
        <x:v>QF2</x:v>
      </x:c>
      <x:c r="C216" t="str">
        <x:v>Moisés</x:v>
      </x:c>
      <x:c r="D216" t="str">
        <x:v>España</x:v>
      </x:c>
      <x:c r="E216" t="str">
        <x:v>Bélgica</x:v>
      </x:c>
      <x:c r="F216" t="n">
        <x:v>1</x:v>
      </x:c>
      <x:c r="G216" t="n">
        <x:v>2</x:v>
      </x:c>
      <x:c r="H216" t="str">
        <x:v>Bélgica</x:v>
      </x:c>
      <x:c r="I216" t="str">
        <x:v>90 minutos</x:v>
      </x:c>
      <x:c r="J216" t="n">
        <x:v>2</x:v>
      </x:c>
      <x:c r="K216" t="n">
        <x:v>1</x:v>
      </x:c>
      <x:c r="L216" t="str">
        <x:v>España</x:v>
      </x:c>
      <x:c r="M216" t="str">
        <x:v>90 minutos</x:v>
      </x:c>
      <x:c r="N216" t="n">
        <x:f>IF(AND(AND(ISNUMBER($F216),ISNUMBER($G216),$H216=$L216),IF($I216="90 minutos",IF($F216&gt;$G216,"A",IF($G216&gt;$F216,"B","E")),"E")=IF($M216="90 minutos",IF($J216&gt;$K216,"A",IF($K216&gt;$J216,"B","E")),"E")),Reglas!$B$2,0)</x:f>
        <x:v>0</x:v>
      </x:c>
      <x:c r="O216" t="n">
        <x:f>IF(AND(ISNUMBER($F216),ISNUMBER($G216),$H216=$L216),Reglas!$B$3,0)</x:f>
        <x:v>0</x:v>
      </x:c>
      <x:c r="P216" t="n">
        <x:f>IF(AND(AND(ISNUMBER($F216),ISNUMBER($G216),$H216=$L216),$I216=$M216),Reglas!$B$4,0)</x:f>
        <x:v>0</x:v>
      </x:c>
      <x:c r="Q216" t="n">
        <x:f>IF(AND(AND(AND(ISNUMBER($F216),ISNUMBER($G216),$H216=$L216),$I216=$M216,NOT(AND($I216="Penales",$F216&lt;&gt;$G216))),$F216=$J216,$G216=$K216),Reglas!$B$5,0)</x:f>
        <x:v>0</x:v>
      </x:c>
      <x:c r="R216" t="n">
        <x:f>IF(AND(AND(AND(ISNUMBER($F216),ISNUMBER($G216),$H216=$L216),$I216=$M216,NOT(AND($I216="Penales",$F216&lt;&gt;$G216))),$F216-$G216=$J216-$K216),Reglas!$B$6,0)</x:f>
        <x:v>0</x:v>
      </x:c>
      <x:c r="S216" t="n">
        <x:f>IF(AND(AND(AND(ISNUMBER($F216),ISNUMBER($G216),$H216=$L216),$I216=$M216,NOT(AND($I216="Penales",$F216&lt;&gt;$G216))),$F216=$J216),Reglas!$B$7,0)</x:f>
        <x:v>0</x:v>
      </x:c>
      <x:c r="T216" t="n">
        <x:f>IF(AND(AND(AND(ISNUMBER($F216),ISNUMBER($G216),$H216=$L216),$I216=$M216,NOT(AND($I216="Penales",$F216&lt;&gt;$G216))),$G216=$K216),Reglas!$B$8,0)</x:f>
        <x:v>0</x:v>
      </x:c>
      <x:c r="U216" t="n">
        <x:f>SUM(N216:T216)</x:f>
        <x:v>0</x:v>
      </x:c>
      <x:c r="V216" t="str">
        <x:f>IF($W216="Sin respuesta","Sin envio",IF($U216&gt;0,"OK","Sin puntos"))</x:f>
        <x:v>Sin puntos</x:v>
      </x:c>
      <x:c r="W216" t="str">
        <x:v>Google Forms</x:v>
      </x:c>
    </x:row>
    <x:row r="217" ht="15" hidden="0" customHeight="1">
      <x:c r="A217" t="str">
        <x:v>4tos</x:v>
      </x:c>
      <x:c r="B217" t="str">
        <x:v>QF2</x:v>
      </x:c>
      <x:c r="C217" t="str">
        <x:v>Alex</x:v>
      </x:c>
      <x:c r="D217" t="str">
        <x:v>España</x:v>
      </x:c>
      <x:c r="E217" t="str">
        <x:v>Bélgica</x:v>
      </x:c>
      <x:c r="F217" t="n">
        <x:v>2</x:v>
      </x:c>
      <x:c r="G217" t="n">
        <x:v>1</x:v>
      </x:c>
      <x:c r="H217" t="str">
        <x:v>España</x:v>
      </x:c>
      <x:c r="I217" t="str">
        <x:v>Suplementario</x:v>
      </x:c>
      <x:c r="J217" t="n">
        <x:v>2</x:v>
      </x:c>
      <x:c r="K217" t="n">
        <x:v>1</x:v>
      </x:c>
      <x:c r="L217" t="str">
        <x:v>España</x:v>
      </x:c>
      <x:c r="M217" t="str">
        <x:v>90 minutos</x:v>
      </x:c>
      <x:c r="N217" t="n">
        <x:f>IF(AND(AND(ISNUMBER($F217),ISNUMBER($G217),$H217=$L217),IF($I217="90 minutos",IF($F217&gt;$G217,"A",IF($G217&gt;$F217,"B","E")),"E")=IF($M217="90 minutos",IF($J217&gt;$K217,"A",IF($K217&gt;$J217,"B","E")),"E")),Reglas!$B$2,0)</x:f>
        <x:v>0</x:v>
      </x:c>
      <x:c r="O217" t="n">
        <x:f>IF(AND(ISNUMBER($F217),ISNUMBER($G217),$H217=$L217),Reglas!$B$3,0)</x:f>
        <x:v>3</x:v>
      </x:c>
      <x:c r="P217" t="n">
        <x:f>IF(AND(AND(ISNUMBER($F217),ISNUMBER($G217),$H217=$L217),$I217=$M217),Reglas!$B$4,0)</x:f>
        <x:v>0</x:v>
      </x:c>
      <x:c r="Q217" t="n">
        <x:f>IF(AND(AND(AND(ISNUMBER($F217),ISNUMBER($G217),$H217=$L217),$I217=$M217,NOT(AND($I217="Penales",$F217&lt;&gt;$G217))),$F217=$J217,$G217=$K217),Reglas!$B$5,0)</x:f>
        <x:v>0</x:v>
      </x:c>
      <x:c r="R217" t="n">
        <x:f>IF(AND(AND(AND(ISNUMBER($F217),ISNUMBER($G217),$H217=$L217),$I217=$M217,NOT(AND($I217="Penales",$F217&lt;&gt;$G217))),$F217-$G217=$J217-$K217),Reglas!$B$6,0)</x:f>
        <x:v>0</x:v>
      </x:c>
      <x:c r="S217" t="n">
        <x:f>IF(AND(AND(AND(ISNUMBER($F217),ISNUMBER($G217),$H217=$L217),$I217=$M217,NOT(AND($I217="Penales",$F217&lt;&gt;$G217))),$F217=$J217),Reglas!$B$7,0)</x:f>
        <x:v>0</x:v>
      </x:c>
      <x:c r="T217" t="n">
        <x:f>IF(AND(AND(AND(ISNUMBER($F217),ISNUMBER($G217),$H217=$L217),$I217=$M217,NOT(AND($I217="Penales",$F217&lt;&gt;$G217))),$G217=$K217),Reglas!$B$8,0)</x:f>
        <x:v>0</x:v>
      </x:c>
      <x:c r="U217" t="n">
        <x:f>SUM(N217:T217)</x:f>
        <x:v>3</x:v>
      </x:c>
      <x:c r="V217" t="str">
        <x:f>IF($W217="Sin respuesta","Sin envio",IF($U217&gt;0,"OK","Sin puntos"))</x:f>
        <x:v>OK</x:v>
      </x:c>
      <x:c r="W217" t="str">
        <x:v>Google Forms</x:v>
      </x:c>
    </x:row>
    <x:row r="218" ht="15" hidden="0" customHeight="1">
      <x:c r="A218" t="str">
        <x:v>4tos</x:v>
      </x:c>
      <x:c r="B218" t="str">
        <x:v>QF2</x:v>
      </x:c>
      <x:c r="C218" t="str">
        <x:v>Omar</x:v>
      </x:c>
      <x:c r="D218" t="str">
        <x:v>España</x:v>
      </x:c>
      <x:c r="E218" t="str">
        <x:v>Bélgica</x:v>
      </x:c>
      <x:c r="F218"/>
      <x:c r="G218"/>
      <x:c r="H218" t="str">
        <x:v>Sin envio</x:v>
      </x:c>
      <x:c r="I218" t="str">
        <x:v>Sin envio</x:v>
      </x:c>
      <x:c r="J218" t="n">
        <x:v>2</x:v>
      </x:c>
      <x:c r="K218" t="n">
        <x:v>1</x:v>
      </x:c>
      <x:c r="L218" t="str">
        <x:v>España</x:v>
      </x:c>
      <x:c r="M218" t="str">
        <x:v>90 minutos</x:v>
      </x:c>
      <x:c r="N218" t="n">
        <x:f>IF(AND(AND(ISNUMBER($F218),ISNUMBER($G218),$H218=$L218),IF($I218="90 minutos",IF($F218&gt;$G218,"A",IF($G218&gt;$F218,"B","E")),"E")=IF($M218="90 minutos",IF($J218&gt;$K218,"A",IF($K218&gt;$J218,"B","E")),"E")),Reglas!$B$2,0)</x:f>
        <x:v>0</x:v>
      </x:c>
      <x:c r="O218" t="n">
        <x:f>IF(AND(ISNUMBER($F218),ISNUMBER($G218),$H218=$L218),Reglas!$B$3,0)</x:f>
        <x:v>0</x:v>
      </x:c>
      <x:c r="P218" t="n">
        <x:f>IF(AND(AND(ISNUMBER($F218),ISNUMBER($G218),$H218=$L218),$I218=$M218),Reglas!$B$4,0)</x:f>
        <x:v>0</x:v>
      </x:c>
      <x:c r="Q218" t="n">
        <x:f>IF(AND(AND(AND(ISNUMBER($F218),ISNUMBER($G218),$H218=$L218),$I218=$M218,NOT(AND($I218="Penales",$F218&lt;&gt;$G218))),$F218=$J218,$G218=$K218),Reglas!$B$5,0)</x:f>
        <x:v>0</x:v>
      </x:c>
      <x:c r="R218" t="n">
        <x:f>IF(AND(AND(AND(ISNUMBER($F218),ISNUMBER($G218),$H218=$L218),$I218=$M218,NOT(AND($I218="Penales",$F218&lt;&gt;$G218))),$F218-$G218=$J218-$K218),Reglas!$B$6,0)</x:f>
        <x:v>0</x:v>
      </x:c>
      <x:c r="S218" t="n">
        <x:f>IF(AND(AND(AND(ISNUMBER($F218),ISNUMBER($G218),$H218=$L218),$I218=$M218,NOT(AND($I218="Penales",$F218&lt;&gt;$G218))),$F218=$J218),Reglas!$B$7,0)</x:f>
        <x:v>0</x:v>
      </x:c>
      <x:c r="T218" t="n">
        <x:f>IF(AND(AND(AND(ISNUMBER($F218),ISNUMBER($G218),$H218=$L218),$I218=$M218,NOT(AND($I218="Penales",$F218&lt;&gt;$G218))),$G218=$K218),Reglas!$B$8,0)</x:f>
        <x:v>0</x:v>
      </x:c>
      <x:c r="U218" t="n">
        <x:f>SUM(N218:T218)</x:f>
        <x:v>0</x:v>
      </x:c>
      <x:c r="V218" t="str">
        <x:f>IF($W218="Sin respuesta","Sin envio",IF($U218&gt;0,"OK","Sin puntos"))</x:f>
        <x:v>Sin envio</x:v>
      </x:c>
      <x:c r="W218" t="str">
        <x:v>Sin respuesta</x:v>
      </x:c>
    </x:row>
    <x:row r="219" ht="15" hidden="0" customHeight="1">
      <x:c r="A219" t="str">
        <x:v>4tos</x:v>
      </x:c>
      <x:c r="B219" t="str">
        <x:v>QF2</x:v>
      </x:c>
      <x:c r="C219" t="str">
        <x:v>Fernando</x:v>
      </x:c>
      <x:c r="D219" t="str">
        <x:v>España</x:v>
      </x:c>
      <x:c r="E219" t="str">
        <x:v>Bélgica</x:v>
      </x:c>
      <x:c r="F219" t="n">
        <x:v>1</x:v>
      </x:c>
      <x:c r="G219" t="n">
        <x:v>0</x:v>
      </x:c>
      <x:c r="H219" t="str">
        <x:v>España</x:v>
      </x:c>
      <x:c r="I219" t="str">
        <x:v>90 minutos</x:v>
      </x:c>
      <x:c r="J219" t="n">
        <x:v>2</x:v>
      </x:c>
      <x:c r="K219" t="n">
        <x:v>1</x:v>
      </x:c>
      <x:c r="L219" t="str">
        <x:v>España</x:v>
      </x:c>
      <x:c r="M219" t="str">
        <x:v>90 minutos</x:v>
      </x:c>
      <x:c r="N219" t="n">
        <x:f>IF(AND(AND(ISNUMBER($F219),ISNUMBER($G219),$H219=$L219),IF($I219="90 minutos",IF($F219&gt;$G219,"A",IF($G219&gt;$F219,"B","E")),"E")=IF($M219="90 minutos",IF($J219&gt;$K219,"A",IF($K219&gt;$J219,"B","E")),"E")),Reglas!$B$2,0)</x:f>
        <x:v>5</x:v>
      </x:c>
      <x:c r="O219" t="n">
        <x:f>IF(AND(ISNUMBER($F219),ISNUMBER($G219),$H219=$L219),Reglas!$B$3,0)</x:f>
        <x:v>3</x:v>
      </x:c>
      <x:c r="P219" t="n">
        <x:f>IF(AND(AND(ISNUMBER($F219),ISNUMBER($G219),$H219=$L219),$I219=$M219),Reglas!$B$4,0)</x:f>
        <x:v>2</x:v>
      </x:c>
      <x:c r="Q219" t="n">
        <x:f>IF(AND(AND(AND(ISNUMBER($F219),ISNUMBER($G219),$H219=$L219),$I219=$M219,NOT(AND($I219="Penales",$F219&lt;&gt;$G219))),$F219=$J219,$G219=$K219),Reglas!$B$5,0)</x:f>
        <x:v>0</x:v>
      </x:c>
      <x:c r="R219" t="n">
        <x:f>IF(AND(AND(AND(ISNUMBER($F219),ISNUMBER($G219),$H219=$L219),$I219=$M219,NOT(AND($I219="Penales",$F219&lt;&gt;$G219))),$F219-$G219=$J219-$K219),Reglas!$B$6,0)</x:f>
        <x:v>2</x:v>
      </x:c>
      <x:c r="S219" t="n">
        <x:f>IF(AND(AND(AND(ISNUMBER($F219),ISNUMBER($G219),$H219=$L219),$I219=$M219,NOT(AND($I219="Penales",$F219&lt;&gt;$G219))),$F219=$J219),Reglas!$B$7,0)</x:f>
        <x:v>0</x:v>
      </x:c>
      <x:c r="T219" t="n">
        <x:f>IF(AND(AND(AND(ISNUMBER($F219),ISNUMBER($G219),$H219=$L219),$I219=$M219,NOT(AND($I219="Penales",$F219&lt;&gt;$G219))),$G219=$K219),Reglas!$B$8,0)</x:f>
        <x:v>0</x:v>
      </x:c>
      <x:c r="U219" t="n">
        <x:f>SUM(N219:T219)</x:f>
        <x:v>12</x:v>
      </x:c>
      <x:c r="V219" t="str">
        <x:f>IF($W219="Sin respuesta","Sin envio",IF($U219&gt;0,"OK","Sin puntos"))</x:f>
        <x:v>OK</x:v>
      </x:c>
      <x:c r="W219" t="str">
        <x:v>Google Forms</x:v>
      </x:c>
    </x:row>
    <x:row r="220" ht="15" hidden="0" customHeight="1">
      <x:c r="A220" t="str">
        <x:v>4tos</x:v>
      </x:c>
      <x:c r="B220" t="str">
        <x:v>QF2</x:v>
      </x:c>
      <x:c r="C220" t="str">
        <x:v>Diana</x:v>
      </x:c>
      <x:c r="D220" t="str">
        <x:v>España</x:v>
      </x:c>
      <x:c r="E220" t="str">
        <x:v>Bélgica</x:v>
      </x:c>
      <x:c r="F220"/>
      <x:c r="G220"/>
      <x:c r="H220" t="str">
        <x:v>Sin envio</x:v>
      </x:c>
      <x:c r="I220" t="str">
        <x:v>Sin envio</x:v>
      </x:c>
      <x:c r="J220" t="n">
        <x:v>2</x:v>
      </x:c>
      <x:c r="K220" t="n">
        <x:v>1</x:v>
      </x:c>
      <x:c r="L220" t="str">
        <x:v>España</x:v>
      </x:c>
      <x:c r="M220" t="str">
        <x:v>90 minutos</x:v>
      </x:c>
      <x:c r="N220" t="n">
        <x:f>IF(AND(AND(ISNUMBER($F220),ISNUMBER($G220),$H220=$L220),IF($I220="90 minutos",IF($F220&gt;$G220,"A",IF($G220&gt;$F220,"B","E")),"E")=IF($M220="90 minutos",IF($J220&gt;$K220,"A",IF($K220&gt;$J220,"B","E")),"E")),Reglas!$B$2,0)</x:f>
        <x:v>0</x:v>
      </x:c>
      <x:c r="O220" t="n">
        <x:f>IF(AND(ISNUMBER($F220),ISNUMBER($G220),$H220=$L220),Reglas!$B$3,0)</x:f>
        <x:v>0</x:v>
      </x:c>
      <x:c r="P220" t="n">
        <x:f>IF(AND(AND(ISNUMBER($F220),ISNUMBER($G220),$H220=$L220),$I220=$M220),Reglas!$B$4,0)</x:f>
        <x:v>0</x:v>
      </x:c>
      <x:c r="Q220" t="n">
        <x:f>IF(AND(AND(AND(ISNUMBER($F220),ISNUMBER($G220),$H220=$L220),$I220=$M220,NOT(AND($I220="Penales",$F220&lt;&gt;$G220))),$F220=$J220,$G220=$K220),Reglas!$B$5,0)</x:f>
        <x:v>0</x:v>
      </x:c>
      <x:c r="R220" t="n">
        <x:f>IF(AND(AND(AND(ISNUMBER($F220),ISNUMBER($G220),$H220=$L220),$I220=$M220,NOT(AND($I220="Penales",$F220&lt;&gt;$G220))),$F220-$G220=$J220-$K220),Reglas!$B$6,0)</x:f>
        <x:v>0</x:v>
      </x:c>
      <x:c r="S220" t="n">
        <x:f>IF(AND(AND(AND(ISNUMBER($F220),ISNUMBER($G220),$H220=$L220),$I220=$M220,NOT(AND($I220="Penales",$F220&lt;&gt;$G220))),$F220=$J220),Reglas!$B$7,0)</x:f>
        <x:v>0</x:v>
      </x:c>
      <x:c r="T220" t="n">
        <x:f>IF(AND(AND(AND(ISNUMBER($F220),ISNUMBER($G220),$H220=$L220),$I220=$M220,NOT(AND($I220="Penales",$F220&lt;&gt;$G220))),$G220=$K220),Reglas!$B$8,0)</x:f>
        <x:v>0</x:v>
      </x:c>
      <x:c r="U220" t="n">
        <x:f>SUM(N220:T220)</x:f>
        <x:v>0</x:v>
      </x:c>
      <x:c r="V220" t="str">
        <x:f>IF($W220="Sin respuesta","Sin envio",IF($U220&gt;0,"OK","Sin puntos"))</x:f>
        <x:v>Sin envio</x:v>
      </x:c>
      <x:c r="W220" t="str">
        <x:v>Sin respuesta</x:v>
      </x:c>
    </x:row>
    <x:row r="221" ht="15" hidden="0" customHeight="1">
      <x:c r="A221" t="str">
        <x:v>4tos</x:v>
      </x:c>
      <x:c r="B221" t="str">
        <x:v>QF2</x:v>
      </x:c>
      <x:c r="C221" t="str">
        <x:v>Óscar</x:v>
      </x:c>
      <x:c r="D221" t="str">
        <x:v>España</x:v>
      </x:c>
      <x:c r="E221" t="str">
        <x:v>Bélgica</x:v>
      </x:c>
      <x:c r="F221" t="n">
        <x:v>1</x:v>
      </x:c>
      <x:c r="G221" t="n">
        <x:v>1</x:v>
      </x:c>
      <x:c r="H221" t="str">
        <x:v>España</x:v>
      </x:c>
      <x:c r="I221" t="str">
        <x:v>Penales</x:v>
      </x:c>
      <x:c r="J221" t="n">
        <x:v>2</x:v>
      </x:c>
      <x:c r="K221" t="n">
        <x:v>1</x:v>
      </x:c>
      <x:c r="L221" t="str">
        <x:v>España</x:v>
      </x:c>
      <x:c r="M221" t="str">
        <x:v>90 minutos</x:v>
      </x:c>
      <x:c r="N221" t="n">
        <x:f>IF(AND(AND(ISNUMBER($F221),ISNUMBER($G221),$H221=$L221),IF($I221="90 minutos",IF($F221&gt;$G221,"A",IF($G221&gt;$F221,"B","E")),"E")=IF($M221="90 minutos",IF($J221&gt;$K221,"A",IF($K221&gt;$J221,"B","E")),"E")),Reglas!$B$2,0)</x:f>
        <x:v>0</x:v>
      </x:c>
      <x:c r="O221" t="n">
        <x:f>IF(AND(ISNUMBER($F221),ISNUMBER($G221),$H221=$L221),Reglas!$B$3,0)</x:f>
        <x:v>3</x:v>
      </x:c>
      <x:c r="P221" t="n">
        <x:f>IF(AND(AND(ISNUMBER($F221),ISNUMBER($G221),$H221=$L221),$I221=$M221),Reglas!$B$4,0)</x:f>
        <x:v>0</x:v>
      </x:c>
      <x:c r="Q221" t="n">
        <x:f>IF(AND(AND(AND(ISNUMBER($F221),ISNUMBER($G221),$H221=$L221),$I221=$M221,NOT(AND($I221="Penales",$F221&lt;&gt;$G221))),$F221=$J221,$G221=$K221),Reglas!$B$5,0)</x:f>
        <x:v>0</x:v>
      </x:c>
      <x:c r="R221" t="n">
        <x:f>IF(AND(AND(AND(ISNUMBER($F221),ISNUMBER($G221),$H221=$L221),$I221=$M221,NOT(AND($I221="Penales",$F221&lt;&gt;$G221))),$F221-$G221=$J221-$K221),Reglas!$B$6,0)</x:f>
        <x:v>0</x:v>
      </x:c>
      <x:c r="S221" t="n">
        <x:f>IF(AND(AND(AND(ISNUMBER($F221),ISNUMBER($G221),$H221=$L221),$I221=$M221,NOT(AND($I221="Penales",$F221&lt;&gt;$G221))),$F221=$J221),Reglas!$B$7,0)</x:f>
        <x:v>0</x:v>
      </x:c>
      <x:c r="T221" t="n">
        <x:f>IF(AND(AND(AND(ISNUMBER($F221),ISNUMBER($G221),$H221=$L221),$I221=$M221,NOT(AND($I221="Penales",$F221&lt;&gt;$G221))),$G221=$K221),Reglas!$B$8,0)</x:f>
        <x:v>0</x:v>
      </x:c>
      <x:c r="U221" t="n">
        <x:f>SUM(N221:T221)</x:f>
        <x:v>3</x:v>
      </x:c>
      <x:c r="V221" t="str">
        <x:f>IF($W221="Sin respuesta","Sin envio",IF($U221&gt;0,"OK","Sin puntos"))</x:f>
        <x:v>OK</x:v>
      </x:c>
      <x:c r="W221" t="str">
        <x:v>Google Forms</x:v>
      </x:c>
    </x:row>
    <x:row r="222" ht="15" hidden="0" customHeight="1">
      <x:c r="A222" t="str">
        <x:v>4tos</x:v>
      </x:c>
      <x:c r="B222" t="str">
        <x:v>QF3</x:v>
      </x:c>
      <x:c r="C222" t="str">
        <x:v>Freddy</x:v>
      </x:c>
      <x:c r="D222" t="str">
        <x:v>Noruega</x:v>
      </x:c>
      <x:c r="E222" t="str">
        <x:v>Inglaterra</x:v>
      </x:c>
      <x:c r="F222" t="n">
        <x:v>1</x:v>
      </x:c>
      <x:c r="G222" t="n">
        <x:v>2</x:v>
      </x:c>
      <x:c r="H222" t="str">
        <x:v>Inglaterra</x:v>
      </x:c>
      <x:c r="I222" t="str">
        <x:v>90 minutos</x:v>
      </x:c>
      <x:c r="J222" t="n">
        <x:v>1</x:v>
      </x:c>
      <x:c r="K222" t="n">
        <x:v>2</x:v>
      </x:c>
      <x:c r="L222" t="str">
        <x:v>Inglaterra</x:v>
      </x:c>
      <x:c r="M222" t="str">
        <x:v>Suplementario</x:v>
      </x:c>
      <x:c r="N222" t="n">
        <x:f>IF(AND(AND(ISNUMBER($F222),ISNUMBER($G222),$H222=$L222),IF($I222="90 minutos",IF($F222&gt;$G222,"A",IF($G222&gt;$F222,"B","E")),"E")=IF($M222="90 minutos",IF($J222&gt;$K222,"A",IF($K222&gt;$J222,"B","E")),"E")),Reglas!$B$2,0)</x:f>
        <x:v>0</x:v>
      </x:c>
      <x:c r="O222" t="n">
        <x:f>IF(AND(ISNUMBER($F222),ISNUMBER($G222),$H222=$L222),Reglas!$B$3,0)</x:f>
        <x:v>3</x:v>
      </x:c>
      <x:c r="P222" t="n">
        <x:f>IF(AND(AND(ISNUMBER($F222),ISNUMBER($G222),$H222=$L222),$I222=$M222),Reglas!$B$4,0)</x:f>
        <x:v>0</x:v>
      </x:c>
      <x:c r="Q222" t="n">
        <x:f>IF(AND(AND(AND(ISNUMBER($F222),ISNUMBER($G222),$H222=$L222),$I222=$M222,NOT(AND($I222="Penales",$F222&lt;&gt;$G222))),$F222=$J222,$G222=$K222),Reglas!$B$5,0)</x:f>
        <x:v>0</x:v>
      </x:c>
      <x:c r="R222" t="n">
        <x:f>IF(AND(AND(AND(ISNUMBER($F222),ISNUMBER($G222),$H222=$L222),$I222=$M222,NOT(AND($I222="Penales",$F222&lt;&gt;$G222))),$F222-$G222=$J222-$K222),Reglas!$B$6,0)</x:f>
        <x:v>0</x:v>
      </x:c>
      <x:c r="S222" t="n">
        <x:f>IF(AND(AND(AND(ISNUMBER($F222),ISNUMBER($G222),$H222=$L222),$I222=$M222,NOT(AND($I222="Penales",$F222&lt;&gt;$G222))),$F222=$J222),Reglas!$B$7,0)</x:f>
        <x:v>0</x:v>
      </x:c>
      <x:c r="T222" t="n">
        <x:f>IF(AND(AND(AND(ISNUMBER($F222),ISNUMBER($G222),$H222=$L222),$I222=$M222,NOT(AND($I222="Penales",$F222&lt;&gt;$G222))),$G222=$K222),Reglas!$B$8,0)</x:f>
        <x:v>0</x:v>
      </x:c>
      <x:c r="U222" t="n">
        <x:f>SUM(N222:T222)</x:f>
        <x:v>3</x:v>
      </x:c>
      <x:c r="V222" t="str">
        <x:f>IF($W222="Sin respuesta","Sin envio",IF($U222&gt;0,"OK","Sin puntos"))</x:f>
        <x:v>OK</x:v>
      </x:c>
      <x:c r="W222" t="str">
        <x:v>Google Forms</x:v>
      </x:c>
    </x:row>
    <x:row r="223" ht="15" hidden="0" customHeight="1">
      <x:c r="A223" t="str">
        <x:v>4tos</x:v>
      </x:c>
      <x:c r="B223" t="str">
        <x:v>QF3</x:v>
      </x:c>
      <x:c r="C223" t="str">
        <x:v>Gabriela</x:v>
      </x:c>
      <x:c r="D223" t="str">
        <x:v>Noruega</x:v>
      </x:c>
      <x:c r="E223" t="str">
        <x:v>Inglaterra</x:v>
      </x:c>
      <x:c r="F223" t="n">
        <x:v>2</x:v>
      </x:c>
      <x:c r="G223" t="n">
        <x:v>2</x:v>
      </x:c>
      <x:c r="H223" t="str">
        <x:v>Noruega</x:v>
      </x:c>
      <x:c r="I223" t="str">
        <x:v>Penales</x:v>
      </x:c>
      <x:c r="J223" t="n">
        <x:v>1</x:v>
      </x:c>
      <x:c r="K223" t="n">
        <x:v>2</x:v>
      </x:c>
      <x:c r="L223" t="str">
        <x:v>Inglaterra</x:v>
      </x:c>
      <x:c r="M223" t="str">
        <x:v>Suplementario</x:v>
      </x:c>
      <x:c r="N223" t="n">
        <x:f>IF(AND(AND(ISNUMBER($F223),ISNUMBER($G223),$H223=$L223),IF($I223="90 minutos",IF($F223&gt;$G223,"A",IF($G223&gt;$F223,"B","E")),"E")=IF($M223="90 minutos",IF($J223&gt;$K223,"A",IF($K223&gt;$J223,"B","E")),"E")),Reglas!$B$2,0)</x:f>
        <x:v>0</x:v>
      </x:c>
      <x:c r="O223" t="n">
        <x:f>IF(AND(ISNUMBER($F223),ISNUMBER($G223),$H223=$L223),Reglas!$B$3,0)</x:f>
        <x:v>0</x:v>
      </x:c>
      <x:c r="P223" t="n">
        <x:f>IF(AND(AND(ISNUMBER($F223),ISNUMBER($G223),$H223=$L223),$I223=$M223),Reglas!$B$4,0)</x:f>
        <x:v>0</x:v>
      </x:c>
      <x:c r="Q223" t="n">
        <x:f>IF(AND(AND(AND(ISNUMBER($F223),ISNUMBER($G223),$H223=$L223),$I223=$M223,NOT(AND($I223="Penales",$F223&lt;&gt;$G223))),$F223=$J223,$G223=$K223),Reglas!$B$5,0)</x:f>
        <x:v>0</x:v>
      </x:c>
      <x:c r="R223" t="n">
        <x:f>IF(AND(AND(AND(ISNUMBER($F223),ISNUMBER($G223),$H223=$L223),$I223=$M223,NOT(AND($I223="Penales",$F223&lt;&gt;$G223))),$F223-$G223=$J223-$K223),Reglas!$B$6,0)</x:f>
        <x:v>0</x:v>
      </x:c>
      <x:c r="S223" t="n">
        <x:f>IF(AND(AND(AND(ISNUMBER($F223),ISNUMBER($G223),$H223=$L223),$I223=$M223,NOT(AND($I223="Penales",$F223&lt;&gt;$G223))),$F223=$J223),Reglas!$B$7,0)</x:f>
        <x:v>0</x:v>
      </x:c>
      <x:c r="T223" t="n">
        <x:f>IF(AND(AND(AND(ISNUMBER($F223),ISNUMBER($G223),$H223=$L223),$I223=$M223,NOT(AND($I223="Penales",$F223&lt;&gt;$G223))),$G223=$K223),Reglas!$B$8,0)</x:f>
        <x:v>0</x:v>
      </x:c>
      <x:c r="U223" t="n">
        <x:f>SUM(N223:T223)</x:f>
        <x:v>0</x:v>
      </x:c>
      <x:c r="V223" t="str">
        <x:f>IF($W223="Sin respuesta","Sin envio",IF($U223&gt;0,"OK","Sin puntos"))</x:f>
        <x:v>Sin puntos</x:v>
      </x:c>
      <x:c r="W223" t="str">
        <x:v>Google Forms</x:v>
      </x:c>
    </x:row>
    <x:row r="224" ht="15" hidden="0" customHeight="1">
      <x:c r="A224" t="str">
        <x:v>4tos</x:v>
      </x:c>
      <x:c r="B224" t="str">
        <x:v>QF3</x:v>
      </x:c>
      <x:c r="C224" t="str">
        <x:v>Jean</x:v>
      </x:c>
      <x:c r="D224" t="str">
        <x:v>Noruega</x:v>
      </x:c>
      <x:c r="E224" t="str">
        <x:v>Inglaterra</x:v>
      </x:c>
      <x:c r="F224" t="n">
        <x:v>0</x:v>
      </x:c>
      <x:c r="G224" t="n">
        <x:v>2</x:v>
      </x:c>
      <x:c r="H224" t="str">
        <x:v>Inglaterra</x:v>
      </x:c>
      <x:c r="I224" t="str">
        <x:v>90 minutos</x:v>
      </x:c>
      <x:c r="J224" t="n">
        <x:v>1</x:v>
      </x:c>
      <x:c r="K224" t="n">
        <x:v>2</x:v>
      </x:c>
      <x:c r="L224" t="str">
        <x:v>Inglaterra</x:v>
      </x:c>
      <x:c r="M224" t="str">
        <x:v>Suplementario</x:v>
      </x:c>
      <x:c r="N224" t="n">
        <x:f>IF(AND(AND(ISNUMBER($F224),ISNUMBER($G224),$H224=$L224),IF($I224="90 minutos",IF($F224&gt;$G224,"A",IF($G224&gt;$F224,"B","E")),"E")=IF($M224="90 minutos",IF($J224&gt;$K224,"A",IF($K224&gt;$J224,"B","E")),"E")),Reglas!$B$2,0)</x:f>
        <x:v>0</x:v>
      </x:c>
      <x:c r="O224" t="n">
        <x:f>IF(AND(ISNUMBER($F224),ISNUMBER($G224),$H224=$L224),Reglas!$B$3,0)</x:f>
        <x:v>3</x:v>
      </x:c>
      <x:c r="P224" t="n">
        <x:f>IF(AND(AND(ISNUMBER($F224),ISNUMBER($G224),$H224=$L224),$I224=$M224),Reglas!$B$4,0)</x:f>
        <x:v>0</x:v>
      </x:c>
      <x:c r="Q224" t="n">
        <x:f>IF(AND(AND(AND(ISNUMBER($F224),ISNUMBER($G224),$H224=$L224),$I224=$M224,NOT(AND($I224="Penales",$F224&lt;&gt;$G224))),$F224=$J224,$G224=$K224),Reglas!$B$5,0)</x:f>
        <x:v>0</x:v>
      </x:c>
      <x:c r="R224" t="n">
        <x:f>IF(AND(AND(AND(ISNUMBER($F224),ISNUMBER($G224),$H224=$L224),$I224=$M224,NOT(AND($I224="Penales",$F224&lt;&gt;$G224))),$F224-$G224=$J224-$K224),Reglas!$B$6,0)</x:f>
        <x:v>0</x:v>
      </x:c>
      <x:c r="S224" t="n">
        <x:f>IF(AND(AND(AND(ISNUMBER($F224),ISNUMBER($G224),$H224=$L224),$I224=$M224,NOT(AND($I224="Penales",$F224&lt;&gt;$G224))),$F224=$J224),Reglas!$B$7,0)</x:f>
        <x:v>0</x:v>
      </x:c>
      <x:c r="T224" t="n">
        <x:f>IF(AND(AND(AND(ISNUMBER($F224),ISNUMBER($G224),$H224=$L224),$I224=$M224,NOT(AND($I224="Penales",$F224&lt;&gt;$G224))),$G224=$K224),Reglas!$B$8,0)</x:f>
        <x:v>0</x:v>
      </x:c>
      <x:c r="U224" t="n">
        <x:f>SUM(N224:T224)</x:f>
        <x:v>3</x:v>
      </x:c>
      <x:c r="V224" t="str">
        <x:f>IF($W224="Sin respuesta","Sin envio",IF($U224&gt;0,"OK","Sin puntos"))</x:f>
        <x:v>OK</x:v>
      </x:c>
      <x:c r="W224" t="str">
        <x:v>Google Forms</x:v>
      </x:c>
    </x:row>
    <x:row r="225" ht="15" hidden="0" customHeight="1">
      <x:c r="A225" t="str">
        <x:v>4tos</x:v>
      </x:c>
      <x:c r="B225" t="str">
        <x:v>QF3</x:v>
      </x:c>
      <x:c r="C225" t="str">
        <x:v>Juan</x:v>
      </x:c>
      <x:c r="D225" t="str">
        <x:v>Noruega</x:v>
      </x:c>
      <x:c r="E225" t="str">
        <x:v>Inglaterra</x:v>
      </x:c>
      <x:c r="F225"/>
      <x:c r="G225"/>
      <x:c r="H225" t="str">
        <x:v>Sin envio</x:v>
      </x:c>
      <x:c r="I225" t="str">
        <x:v>Sin envio</x:v>
      </x:c>
      <x:c r="J225" t="n">
        <x:v>1</x:v>
      </x:c>
      <x:c r="K225" t="n">
        <x:v>2</x:v>
      </x:c>
      <x:c r="L225" t="str">
        <x:v>Inglaterra</x:v>
      </x:c>
      <x:c r="M225" t="str">
        <x:v>Suplementario</x:v>
      </x:c>
      <x:c r="N225" t="n">
        <x:f>IF(AND(AND(ISNUMBER($F225),ISNUMBER($G225),$H225=$L225),IF($I225="90 minutos",IF($F225&gt;$G225,"A",IF($G225&gt;$F225,"B","E")),"E")=IF($M225="90 minutos",IF($J225&gt;$K225,"A",IF($K225&gt;$J225,"B","E")),"E")),Reglas!$B$2,0)</x:f>
        <x:v>0</x:v>
      </x:c>
      <x:c r="O225" t="n">
        <x:f>IF(AND(ISNUMBER($F225),ISNUMBER($G225),$H225=$L225),Reglas!$B$3,0)</x:f>
        <x:v>0</x:v>
      </x:c>
      <x:c r="P225" t="n">
        <x:f>IF(AND(AND(ISNUMBER($F225),ISNUMBER($G225),$H225=$L225),$I225=$M225),Reglas!$B$4,0)</x:f>
        <x:v>0</x:v>
      </x:c>
      <x:c r="Q225" t="n">
        <x:f>IF(AND(AND(AND(ISNUMBER($F225),ISNUMBER($G225),$H225=$L225),$I225=$M225,NOT(AND($I225="Penales",$F225&lt;&gt;$G225))),$F225=$J225,$G225=$K225),Reglas!$B$5,0)</x:f>
        <x:v>0</x:v>
      </x:c>
      <x:c r="R225" t="n">
        <x:f>IF(AND(AND(AND(ISNUMBER($F225),ISNUMBER($G225),$H225=$L225),$I225=$M225,NOT(AND($I225="Penales",$F225&lt;&gt;$G225))),$F225-$G225=$J225-$K225),Reglas!$B$6,0)</x:f>
        <x:v>0</x:v>
      </x:c>
      <x:c r="S225" t="n">
        <x:f>IF(AND(AND(AND(ISNUMBER($F225),ISNUMBER($G225),$H225=$L225),$I225=$M225,NOT(AND($I225="Penales",$F225&lt;&gt;$G225))),$F225=$J225),Reglas!$B$7,0)</x:f>
        <x:v>0</x:v>
      </x:c>
      <x:c r="T225" t="n">
        <x:f>IF(AND(AND(AND(ISNUMBER($F225),ISNUMBER($G225),$H225=$L225),$I225=$M225,NOT(AND($I225="Penales",$F225&lt;&gt;$G225))),$G225=$K225),Reglas!$B$8,0)</x:f>
        <x:v>0</x:v>
      </x:c>
      <x:c r="U225" t="n">
        <x:f>SUM(N225:T225)</x:f>
        <x:v>0</x:v>
      </x:c>
      <x:c r="V225" t="str">
        <x:f>IF($W225="Sin respuesta","Sin envio",IF($U225&gt;0,"OK","Sin puntos"))</x:f>
        <x:v>Sin envio</x:v>
      </x:c>
      <x:c r="W225" t="str">
        <x:v>Sin respuesta</x:v>
      </x:c>
    </x:row>
    <x:row r="226" ht="15" hidden="0" customHeight="1">
      <x:c r="A226" t="str">
        <x:v>4tos</x:v>
      </x:c>
      <x:c r="B226" t="str">
        <x:v>QF3</x:v>
      </x:c>
      <x:c r="C226" t="str">
        <x:v>Jesús</x:v>
      </x:c>
      <x:c r="D226" t="str">
        <x:v>Noruega</x:v>
      </x:c>
      <x:c r="E226" t="str">
        <x:v>Inglaterra</x:v>
      </x:c>
      <x:c r="F226" t="n">
        <x:v>2</x:v>
      </x:c>
      <x:c r="G226" t="n">
        <x:v>1</x:v>
      </x:c>
      <x:c r="H226" t="str">
        <x:v>Noruega</x:v>
      </x:c>
      <x:c r="I226" t="str">
        <x:v>90 minutos</x:v>
      </x:c>
      <x:c r="J226" t="n">
        <x:v>1</x:v>
      </x:c>
      <x:c r="K226" t="n">
        <x:v>2</x:v>
      </x:c>
      <x:c r="L226" t="str">
        <x:v>Inglaterra</x:v>
      </x:c>
      <x:c r="M226" t="str">
        <x:v>Suplementario</x:v>
      </x:c>
      <x:c r="N226" t="n">
        <x:f>IF(AND(AND(ISNUMBER($F226),ISNUMBER($G226),$H226=$L226),IF($I226="90 minutos",IF($F226&gt;$G226,"A",IF($G226&gt;$F226,"B","E")),"E")=IF($M226="90 minutos",IF($J226&gt;$K226,"A",IF($K226&gt;$J226,"B","E")),"E")),Reglas!$B$2,0)</x:f>
        <x:v>0</x:v>
      </x:c>
      <x:c r="O226" t="n">
        <x:f>IF(AND(ISNUMBER($F226),ISNUMBER($G226),$H226=$L226),Reglas!$B$3,0)</x:f>
        <x:v>0</x:v>
      </x:c>
      <x:c r="P226" t="n">
        <x:f>IF(AND(AND(ISNUMBER($F226),ISNUMBER($G226),$H226=$L226),$I226=$M226),Reglas!$B$4,0)</x:f>
        <x:v>0</x:v>
      </x:c>
      <x:c r="Q226" t="n">
        <x:f>IF(AND(AND(AND(ISNUMBER($F226),ISNUMBER($G226),$H226=$L226),$I226=$M226,NOT(AND($I226="Penales",$F226&lt;&gt;$G226))),$F226=$J226,$G226=$K226),Reglas!$B$5,0)</x:f>
        <x:v>0</x:v>
      </x:c>
      <x:c r="R226" t="n">
        <x:f>IF(AND(AND(AND(ISNUMBER($F226),ISNUMBER($G226),$H226=$L226),$I226=$M226,NOT(AND($I226="Penales",$F226&lt;&gt;$G226))),$F226-$G226=$J226-$K226),Reglas!$B$6,0)</x:f>
        <x:v>0</x:v>
      </x:c>
      <x:c r="S226" t="n">
        <x:f>IF(AND(AND(AND(ISNUMBER($F226),ISNUMBER($G226),$H226=$L226),$I226=$M226,NOT(AND($I226="Penales",$F226&lt;&gt;$G226))),$F226=$J226),Reglas!$B$7,0)</x:f>
        <x:v>0</x:v>
      </x:c>
      <x:c r="T226" t="n">
        <x:f>IF(AND(AND(AND(ISNUMBER($F226),ISNUMBER($G226),$H226=$L226),$I226=$M226,NOT(AND($I226="Penales",$F226&lt;&gt;$G226))),$G226=$K226),Reglas!$B$8,0)</x:f>
        <x:v>0</x:v>
      </x:c>
      <x:c r="U226" t="n">
        <x:f>SUM(N226:T226)</x:f>
        <x:v>0</x:v>
      </x:c>
      <x:c r="V226" t="str">
        <x:f>IF($W226="Sin respuesta","Sin envio",IF($U226&gt;0,"OK","Sin puntos"))</x:f>
        <x:v>Sin puntos</x:v>
      </x:c>
      <x:c r="W226" t="str">
        <x:v>Google Forms</x:v>
      </x:c>
    </x:row>
    <x:row r="227" ht="15" hidden="0" customHeight="1">
      <x:c r="A227" t="str">
        <x:v>4tos</x:v>
      </x:c>
      <x:c r="B227" t="str">
        <x:v>QF3</x:v>
      </x:c>
      <x:c r="C227" t="str">
        <x:v>Diego</x:v>
      </x:c>
      <x:c r="D227" t="str">
        <x:v>Noruega</x:v>
      </x:c>
      <x:c r="E227" t="str">
        <x:v>Inglaterra</x:v>
      </x:c>
      <x:c r="F227" t="n">
        <x:v>2</x:v>
      </x:c>
      <x:c r="G227" t="n">
        <x:v>1</x:v>
      </x:c>
      <x:c r="H227" t="str">
        <x:v>Noruega</x:v>
      </x:c>
      <x:c r="I227" t="str">
        <x:v>Suplementario</x:v>
      </x:c>
      <x:c r="J227" t="n">
        <x:v>1</x:v>
      </x:c>
      <x:c r="K227" t="n">
        <x:v>2</x:v>
      </x:c>
      <x:c r="L227" t="str">
        <x:v>Inglaterra</x:v>
      </x:c>
      <x:c r="M227" t="str">
        <x:v>Suplementario</x:v>
      </x:c>
      <x:c r="N227" t="n">
        <x:f>IF(AND(AND(ISNUMBER($F227),ISNUMBER($G227),$H227=$L227),IF($I227="90 minutos",IF($F227&gt;$G227,"A",IF($G227&gt;$F227,"B","E")),"E")=IF($M227="90 minutos",IF($J227&gt;$K227,"A",IF($K227&gt;$J227,"B","E")),"E")),Reglas!$B$2,0)</x:f>
        <x:v>0</x:v>
      </x:c>
      <x:c r="O227" t="n">
        <x:f>IF(AND(ISNUMBER($F227),ISNUMBER($G227),$H227=$L227),Reglas!$B$3,0)</x:f>
        <x:v>0</x:v>
      </x:c>
      <x:c r="P227" t="n">
        <x:f>IF(AND(AND(ISNUMBER($F227),ISNUMBER($G227),$H227=$L227),$I227=$M227),Reglas!$B$4,0)</x:f>
        <x:v>0</x:v>
      </x:c>
      <x:c r="Q227" t="n">
        <x:f>IF(AND(AND(AND(ISNUMBER($F227),ISNUMBER($G227),$H227=$L227),$I227=$M227,NOT(AND($I227="Penales",$F227&lt;&gt;$G227))),$F227=$J227,$G227=$K227),Reglas!$B$5,0)</x:f>
        <x:v>0</x:v>
      </x:c>
      <x:c r="R227" t="n">
        <x:f>IF(AND(AND(AND(ISNUMBER($F227),ISNUMBER($G227),$H227=$L227),$I227=$M227,NOT(AND($I227="Penales",$F227&lt;&gt;$G227))),$F227-$G227=$J227-$K227),Reglas!$B$6,0)</x:f>
        <x:v>0</x:v>
      </x:c>
      <x:c r="S227" t="n">
        <x:f>IF(AND(AND(AND(ISNUMBER($F227),ISNUMBER($G227),$H227=$L227),$I227=$M227,NOT(AND($I227="Penales",$F227&lt;&gt;$G227))),$F227=$J227),Reglas!$B$7,0)</x:f>
        <x:v>0</x:v>
      </x:c>
      <x:c r="T227" t="n">
        <x:f>IF(AND(AND(AND(ISNUMBER($F227),ISNUMBER($G227),$H227=$L227),$I227=$M227,NOT(AND($I227="Penales",$F227&lt;&gt;$G227))),$G227=$K227),Reglas!$B$8,0)</x:f>
        <x:v>0</x:v>
      </x:c>
      <x:c r="U227" t="n">
        <x:f>SUM(N227:T227)</x:f>
        <x:v>0</x:v>
      </x:c>
      <x:c r="V227" t="str">
        <x:f>IF($W227="Sin respuesta","Sin envio",IF($U227&gt;0,"OK","Sin puntos"))</x:f>
        <x:v>Sin puntos</x:v>
      </x:c>
      <x:c r="W227" t="str">
        <x:v>Google Forms</x:v>
      </x:c>
    </x:row>
    <x:row r="228" ht="15" hidden="0" customHeight="1">
      <x:c r="A228" t="str">
        <x:v>4tos</x:v>
      </x:c>
      <x:c r="B228" t="str">
        <x:v>QF3</x:v>
      </x:c>
      <x:c r="C228" t="str">
        <x:v>Aldo</x:v>
      </x:c>
      <x:c r="D228" t="str">
        <x:v>Noruega</x:v>
      </x:c>
      <x:c r="E228" t="str">
        <x:v>Inglaterra</x:v>
      </x:c>
      <x:c r="F228" t="n">
        <x:v>1</x:v>
      </x:c>
      <x:c r="G228" t="n">
        <x:v>2</x:v>
      </x:c>
      <x:c r="H228" t="str">
        <x:v>Inglaterra</x:v>
      </x:c>
      <x:c r="I228" t="str">
        <x:v>90 minutos</x:v>
      </x:c>
      <x:c r="J228" t="n">
        <x:v>1</x:v>
      </x:c>
      <x:c r="K228" t="n">
        <x:v>2</x:v>
      </x:c>
      <x:c r="L228" t="str">
        <x:v>Inglaterra</x:v>
      </x:c>
      <x:c r="M228" t="str">
        <x:v>Suplementario</x:v>
      </x:c>
      <x:c r="N228" t="n">
        <x:f>IF(AND(AND(ISNUMBER($F228),ISNUMBER($G228),$H228=$L228),IF($I228="90 minutos",IF($F228&gt;$G228,"A",IF($G228&gt;$F228,"B","E")),"E")=IF($M228="90 minutos",IF($J228&gt;$K228,"A",IF($K228&gt;$J228,"B","E")),"E")),Reglas!$B$2,0)</x:f>
        <x:v>0</x:v>
      </x:c>
      <x:c r="O228" t="n">
        <x:f>IF(AND(ISNUMBER($F228),ISNUMBER($G228),$H228=$L228),Reglas!$B$3,0)</x:f>
        <x:v>3</x:v>
      </x:c>
      <x:c r="P228" t="n">
        <x:f>IF(AND(AND(ISNUMBER($F228),ISNUMBER($G228),$H228=$L228),$I228=$M228),Reglas!$B$4,0)</x:f>
        <x:v>0</x:v>
      </x:c>
      <x:c r="Q228" t="n">
        <x:f>IF(AND(AND(AND(ISNUMBER($F228),ISNUMBER($G228),$H228=$L228),$I228=$M228,NOT(AND($I228="Penales",$F228&lt;&gt;$G228))),$F228=$J228,$G228=$K228),Reglas!$B$5,0)</x:f>
        <x:v>0</x:v>
      </x:c>
      <x:c r="R228" t="n">
        <x:f>IF(AND(AND(AND(ISNUMBER($F228),ISNUMBER($G228),$H228=$L228),$I228=$M228,NOT(AND($I228="Penales",$F228&lt;&gt;$G228))),$F228-$G228=$J228-$K228),Reglas!$B$6,0)</x:f>
        <x:v>0</x:v>
      </x:c>
      <x:c r="S228" t="n">
        <x:f>IF(AND(AND(AND(ISNUMBER($F228),ISNUMBER($G228),$H228=$L228),$I228=$M228,NOT(AND($I228="Penales",$F228&lt;&gt;$G228))),$F228=$J228),Reglas!$B$7,0)</x:f>
        <x:v>0</x:v>
      </x:c>
      <x:c r="T228" t="n">
        <x:f>IF(AND(AND(AND(ISNUMBER($F228),ISNUMBER($G228),$H228=$L228),$I228=$M228,NOT(AND($I228="Penales",$F228&lt;&gt;$G228))),$G228=$K228),Reglas!$B$8,0)</x:f>
        <x:v>0</x:v>
      </x:c>
      <x:c r="U228" t="n">
        <x:f>SUM(N228:T228)</x:f>
        <x:v>3</x:v>
      </x:c>
      <x:c r="V228" t="str">
        <x:f>IF($W228="Sin respuesta","Sin envio",IF($U228&gt;0,"OK","Sin puntos"))</x:f>
        <x:v>OK</x:v>
      </x:c>
      <x:c r="W228" t="str">
        <x:v>Google Forms</x:v>
      </x:c>
    </x:row>
    <x:row r="229" ht="15" hidden="0" customHeight="1">
      <x:c r="A229" t="str">
        <x:v>4tos</x:v>
      </x:c>
      <x:c r="B229" t="str">
        <x:v>QF3</x:v>
      </x:c>
      <x:c r="C229" t="str">
        <x:v>Javier</x:v>
      </x:c>
      <x:c r="D229" t="str">
        <x:v>Noruega</x:v>
      </x:c>
      <x:c r="E229" t="str">
        <x:v>Inglaterra</x:v>
      </x:c>
      <x:c r="F229" t="n">
        <x:v>2</x:v>
      </x:c>
      <x:c r="G229" t="n">
        <x:v>1</x:v>
      </x:c>
      <x:c r="H229" t="str">
        <x:v>Noruega</x:v>
      </x:c>
      <x:c r="I229" t="str">
        <x:v>Suplementario</x:v>
      </x:c>
      <x:c r="J229" t="n">
        <x:v>1</x:v>
      </x:c>
      <x:c r="K229" t="n">
        <x:v>2</x:v>
      </x:c>
      <x:c r="L229" t="str">
        <x:v>Inglaterra</x:v>
      </x:c>
      <x:c r="M229" t="str">
        <x:v>Suplementario</x:v>
      </x:c>
      <x:c r="N229" t="n">
        <x:f>IF(AND(AND(ISNUMBER($F229),ISNUMBER($G229),$H229=$L229),IF($I229="90 minutos",IF($F229&gt;$G229,"A",IF($G229&gt;$F229,"B","E")),"E")=IF($M229="90 minutos",IF($J229&gt;$K229,"A",IF($K229&gt;$J229,"B","E")),"E")),Reglas!$B$2,0)</x:f>
        <x:v>0</x:v>
      </x:c>
      <x:c r="O229" t="n">
        <x:f>IF(AND(ISNUMBER($F229),ISNUMBER($G229),$H229=$L229),Reglas!$B$3,0)</x:f>
        <x:v>0</x:v>
      </x:c>
      <x:c r="P229" t="n">
        <x:f>IF(AND(AND(ISNUMBER($F229),ISNUMBER($G229),$H229=$L229),$I229=$M229),Reglas!$B$4,0)</x:f>
        <x:v>0</x:v>
      </x:c>
      <x:c r="Q229" t="n">
        <x:f>IF(AND(AND(AND(ISNUMBER($F229),ISNUMBER($G229),$H229=$L229),$I229=$M229,NOT(AND($I229="Penales",$F229&lt;&gt;$G229))),$F229=$J229,$G229=$K229),Reglas!$B$5,0)</x:f>
        <x:v>0</x:v>
      </x:c>
      <x:c r="R229" t="n">
        <x:f>IF(AND(AND(AND(ISNUMBER($F229),ISNUMBER($G229),$H229=$L229),$I229=$M229,NOT(AND($I229="Penales",$F229&lt;&gt;$G229))),$F229-$G229=$J229-$K229),Reglas!$B$6,0)</x:f>
        <x:v>0</x:v>
      </x:c>
      <x:c r="S229" t="n">
        <x:f>IF(AND(AND(AND(ISNUMBER($F229),ISNUMBER($G229),$H229=$L229),$I229=$M229,NOT(AND($I229="Penales",$F229&lt;&gt;$G229))),$F229=$J229),Reglas!$B$7,0)</x:f>
        <x:v>0</x:v>
      </x:c>
      <x:c r="T229" t="n">
        <x:f>IF(AND(AND(AND(ISNUMBER($F229),ISNUMBER($G229),$H229=$L229),$I229=$M229,NOT(AND($I229="Penales",$F229&lt;&gt;$G229))),$G229=$K229),Reglas!$B$8,0)</x:f>
        <x:v>0</x:v>
      </x:c>
      <x:c r="U229" t="n">
        <x:f>SUM(N229:T229)</x:f>
        <x:v>0</x:v>
      </x:c>
      <x:c r="V229" t="str">
        <x:f>IF($W229="Sin respuesta","Sin envio",IF($U229&gt;0,"OK","Sin puntos"))</x:f>
        <x:v>Sin puntos</x:v>
      </x:c>
      <x:c r="W229" t="str">
        <x:v>Google Forms</x:v>
      </x:c>
    </x:row>
    <x:row r="230" ht="15" hidden="0" customHeight="1">
      <x:c r="A230" t="str">
        <x:v>4tos</x:v>
      </x:c>
      <x:c r="B230" t="str">
        <x:v>QF3</x:v>
      </x:c>
      <x:c r="C230" t="str">
        <x:v>Gino</x:v>
      </x:c>
      <x:c r="D230" t="str">
        <x:v>Noruega</x:v>
      </x:c>
      <x:c r="E230" t="str">
        <x:v>Inglaterra</x:v>
      </x:c>
      <x:c r="F230" t="n">
        <x:v>1</x:v>
      </x:c>
      <x:c r="G230" t="n">
        <x:v>2</x:v>
      </x:c>
      <x:c r="H230" t="str">
        <x:v>Noruega</x:v>
      </x:c>
      <x:c r="I230" t="str">
        <x:v>Suplementario</x:v>
      </x:c>
      <x:c r="J230" t="n">
        <x:v>1</x:v>
      </x:c>
      <x:c r="K230" t="n">
        <x:v>2</x:v>
      </x:c>
      <x:c r="L230" t="str">
        <x:v>Inglaterra</x:v>
      </x:c>
      <x:c r="M230" t="str">
        <x:v>Suplementario</x:v>
      </x:c>
      <x:c r="N230" t="n">
        <x:f>IF(AND(AND(ISNUMBER($F230),ISNUMBER($G230),$H230=$L230),IF($I230="90 minutos",IF($F230&gt;$G230,"A",IF($G230&gt;$F230,"B","E")),"E")=IF($M230="90 minutos",IF($J230&gt;$K230,"A",IF($K230&gt;$J230,"B","E")),"E")),Reglas!$B$2,0)</x:f>
        <x:v>0</x:v>
      </x:c>
      <x:c r="O230" t="n">
        <x:f>IF(AND(ISNUMBER($F230),ISNUMBER($G230),$H230=$L230),Reglas!$B$3,0)</x:f>
        <x:v>0</x:v>
      </x:c>
      <x:c r="P230" t="n">
        <x:f>IF(AND(AND(ISNUMBER($F230),ISNUMBER($G230),$H230=$L230),$I230=$M230),Reglas!$B$4,0)</x:f>
        <x:v>0</x:v>
      </x:c>
      <x:c r="Q230" t="n">
        <x:f>IF(AND(AND(AND(ISNUMBER($F230),ISNUMBER($G230),$H230=$L230),$I230=$M230,NOT(AND($I230="Penales",$F230&lt;&gt;$G230))),$F230=$J230,$G230=$K230),Reglas!$B$5,0)</x:f>
        <x:v>0</x:v>
      </x:c>
      <x:c r="R230" t="n">
        <x:f>IF(AND(AND(AND(ISNUMBER($F230),ISNUMBER($G230),$H230=$L230),$I230=$M230,NOT(AND($I230="Penales",$F230&lt;&gt;$G230))),$F230-$G230=$J230-$K230),Reglas!$B$6,0)</x:f>
        <x:v>0</x:v>
      </x:c>
      <x:c r="S230" t="n">
        <x:f>IF(AND(AND(AND(ISNUMBER($F230),ISNUMBER($G230),$H230=$L230),$I230=$M230,NOT(AND($I230="Penales",$F230&lt;&gt;$G230))),$F230=$J230),Reglas!$B$7,0)</x:f>
        <x:v>0</x:v>
      </x:c>
      <x:c r="T230" t="n">
        <x:f>IF(AND(AND(AND(ISNUMBER($F230),ISNUMBER($G230),$H230=$L230),$I230=$M230,NOT(AND($I230="Penales",$F230&lt;&gt;$G230))),$G230=$K230),Reglas!$B$8,0)</x:f>
        <x:v>0</x:v>
      </x:c>
      <x:c r="U230" t="n">
        <x:f>SUM(N230:T230)</x:f>
        <x:v>0</x:v>
      </x:c>
      <x:c r="V230" t="str">
        <x:f>IF($W230="Sin respuesta","Sin envio",IF($U230&gt;0,"OK","Sin puntos"))</x:f>
        <x:v>Sin puntos</x:v>
      </x:c>
      <x:c r="W230" t="str">
        <x:v>Google Forms</x:v>
      </x:c>
    </x:row>
    <x:row r="231" ht="15" hidden="0" customHeight="1">
      <x:c r="A231" t="str">
        <x:v>4tos</x:v>
      </x:c>
      <x:c r="B231" t="str">
        <x:v>QF3</x:v>
      </x:c>
      <x:c r="C231" t="str">
        <x:v>Manuel</x:v>
      </x:c>
      <x:c r="D231" t="str">
        <x:v>Noruega</x:v>
      </x:c>
      <x:c r="E231" t="str">
        <x:v>Inglaterra</x:v>
      </x:c>
      <x:c r="F231" t="n">
        <x:v>3</x:v>
      </x:c>
      <x:c r="G231" t="n">
        <x:v>2</x:v>
      </x:c>
      <x:c r="H231" t="str">
        <x:v>Noruega</x:v>
      </x:c>
      <x:c r="I231" t="str">
        <x:v>Suplementario</x:v>
      </x:c>
      <x:c r="J231" t="n">
        <x:v>1</x:v>
      </x:c>
      <x:c r="K231" t="n">
        <x:v>2</x:v>
      </x:c>
      <x:c r="L231" t="str">
        <x:v>Inglaterra</x:v>
      </x:c>
      <x:c r="M231" t="str">
        <x:v>Suplementario</x:v>
      </x:c>
      <x:c r="N231" t="n">
        <x:f>IF(AND(AND(ISNUMBER($F231),ISNUMBER($G231),$H231=$L231),IF($I231="90 minutos",IF($F231&gt;$G231,"A",IF($G231&gt;$F231,"B","E")),"E")=IF($M231="90 minutos",IF($J231&gt;$K231,"A",IF($K231&gt;$J231,"B","E")),"E")),Reglas!$B$2,0)</x:f>
        <x:v>0</x:v>
      </x:c>
      <x:c r="O231" t="n">
        <x:f>IF(AND(ISNUMBER($F231),ISNUMBER($G231),$H231=$L231),Reglas!$B$3,0)</x:f>
        <x:v>0</x:v>
      </x:c>
      <x:c r="P231" t="n">
        <x:f>IF(AND(AND(ISNUMBER($F231),ISNUMBER($G231),$H231=$L231),$I231=$M231),Reglas!$B$4,0)</x:f>
        <x:v>0</x:v>
      </x:c>
      <x:c r="Q231" t="n">
        <x:f>IF(AND(AND(AND(ISNUMBER($F231),ISNUMBER($G231),$H231=$L231),$I231=$M231,NOT(AND($I231="Penales",$F231&lt;&gt;$G231))),$F231=$J231,$G231=$K231),Reglas!$B$5,0)</x:f>
        <x:v>0</x:v>
      </x:c>
      <x:c r="R231" t="n">
        <x:f>IF(AND(AND(AND(ISNUMBER($F231),ISNUMBER($G231),$H231=$L231),$I231=$M231,NOT(AND($I231="Penales",$F231&lt;&gt;$G231))),$F231-$G231=$J231-$K231),Reglas!$B$6,0)</x:f>
        <x:v>0</x:v>
      </x:c>
      <x:c r="S231" t="n">
        <x:f>IF(AND(AND(AND(ISNUMBER($F231),ISNUMBER($G231),$H231=$L231),$I231=$M231,NOT(AND($I231="Penales",$F231&lt;&gt;$G231))),$F231=$J231),Reglas!$B$7,0)</x:f>
        <x:v>0</x:v>
      </x:c>
      <x:c r="T231" t="n">
        <x:f>IF(AND(AND(AND(ISNUMBER($F231),ISNUMBER($G231),$H231=$L231),$I231=$M231,NOT(AND($I231="Penales",$F231&lt;&gt;$G231))),$G231=$K231),Reglas!$B$8,0)</x:f>
        <x:v>0</x:v>
      </x:c>
      <x:c r="U231" t="n">
        <x:f>SUM(N231:T231)</x:f>
        <x:v>0</x:v>
      </x:c>
      <x:c r="V231" t="str">
        <x:f>IF($W231="Sin respuesta","Sin envio",IF($U231&gt;0,"OK","Sin puntos"))</x:f>
        <x:v>Sin puntos</x:v>
      </x:c>
      <x:c r="W231" t="str">
        <x:v>Google Forms</x:v>
      </x:c>
    </x:row>
    <x:row r="232" ht="15" hidden="0" customHeight="1">
      <x:c r="A232" t="str">
        <x:v>4tos</x:v>
      </x:c>
      <x:c r="B232" t="str">
        <x:v>QF3</x:v>
      </x:c>
      <x:c r="C232" t="str">
        <x:v>Jorge</x:v>
      </x:c>
      <x:c r="D232" t="str">
        <x:v>Noruega</x:v>
      </x:c>
      <x:c r="E232" t="str">
        <x:v>Inglaterra</x:v>
      </x:c>
      <x:c r="F232" t="n">
        <x:v>1</x:v>
      </x:c>
      <x:c r="G232" t="n">
        <x:v>2</x:v>
      </x:c>
      <x:c r="H232" t="str">
        <x:v>Noruega</x:v>
      </x:c>
      <x:c r="I232" t="str">
        <x:v>90 minutos</x:v>
      </x:c>
      <x:c r="J232" t="n">
        <x:v>1</x:v>
      </x:c>
      <x:c r="K232" t="n">
        <x:v>2</x:v>
      </x:c>
      <x:c r="L232" t="str">
        <x:v>Inglaterra</x:v>
      </x:c>
      <x:c r="M232" t="str">
        <x:v>Suplementario</x:v>
      </x:c>
      <x:c r="N232" t="n">
        <x:f>IF(AND(AND(ISNUMBER($F232),ISNUMBER($G232),$H232=$L232),IF($I232="90 minutos",IF($F232&gt;$G232,"A",IF($G232&gt;$F232,"B","E")),"E")=IF($M232="90 minutos",IF($J232&gt;$K232,"A",IF($K232&gt;$J232,"B","E")),"E")),Reglas!$B$2,0)</x:f>
        <x:v>0</x:v>
      </x:c>
      <x:c r="O232" t="n">
        <x:f>IF(AND(ISNUMBER($F232),ISNUMBER($G232),$H232=$L232),Reglas!$B$3,0)</x:f>
        <x:v>0</x:v>
      </x:c>
      <x:c r="P232" t="n">
        <x:f>IF(AND(AND(ISNUMBER($F232),ISNUMBER($G232),$H232=$L232),$I232=$M232),Reglas!$B$4,0)</x:f>
        <x:v>0</x:v>
      </x:c>
      <x:c r="Q232" t="n">
        <x:f>IF(AND(AND(AND(ISNUMBER($F232),ISNUMBER($G232),$H232=$L232),$I232=$M232,NOT(AND($I232="Penales",$F232&lt;&gt;$G232))),$F232=$J232,$G232=$K232),Reglas!$B$5,0)</x:f>
        <x:v>0</x:v>
      </x:c>
      <x:c r="R232" t="n">
        <x:f>IF(AND(AND(AND(ISNUMBER($F232),ISNUMBER($G232),$H232=$L232),$I232=$M232,NOT(AND($I232="Penales",$F232&lt;&gt;$G232))),$F232-$G232=$J232-$K232),Reglas!$B$6,0)</x:f>
        <x:v>0</x:v>
      </x:c>
      <x:c r="S232" t="n">
        <x:f>IF(AND(AND(AND(ISNUMBER($F232),ISNUMBER($G232),$H232=$L232),$I232=$M232,NOT(AND($I232="Penales",$F232&lt;&gt;$G232))),$F232=$J232),Reglas!$B$7,0)</x:f>
        <x:v>0</x:v>
      </x:c>
      <x:c r="T232" t="n">
        <x:f>IF(AND(AND(AND(ISNUMBER($F232),ISNUMBER($G232),$H232=$L232),$I232=$M232,NOT(AND($I232="Penales",$F232&lt;&gt;$G232))),$G232=$K232),Reglas!$B$8,0)</x:f>
        <x:v>0</x:v>
      </x:c>
      <x:c r="U232" t="n">
        <x:f>SUM(N232:T232)</x:f>
        <x:v>0</x:v>
      </x:c>
      <x:c r="V232" t="str">
        <x:f>IF($W232="Sin respuesta","Sin envio",IF($U232&gt;0,"OK","Sin puntos"))</x:f>
        <x:v>Sin puntos</x:v>
      </x:c>
      <x:c r="W232" t="str">
        <x:v>Google Forms</x:v>
      </x:c>
    </x:row>
    <x:row r="233" ht="15" hidden="0" customHeight="1">
      <x:c r="A233" t="str">
        <x:v>4tos</x:v>
      </x:c>
      <x:c r="B233" t="str">
        <x:v>QF3</x:v>
      </x:c>
      <x:c r="C233" t="str">
        <x:v>Daniel</x:v>
      </x:c>
      <x:c r="D233" t="str">
        <x:v>Noruega</x:v>
      </x:c>
      <x:c r="E233" t="str">
        <x:v>Inglaterra</x:v>
      </x:c>
      <x:c r="F233" t="n">
        <x:v>2</x:v>
      </x:c>
      <x:c r="G233" t="n">
        <x:v>2</x:v>
      </x:c>
      <x:c r="H233" t="str">
        <x:v>Noruega</x:v>
      </x:c>
      <x:c r="I233" t="str">
        <x:v>Penales</x:v>
      </x:c>
      <x:c r="J233" t="n">
        <x:v>1</x:v>
      </x:c>
      <x:c r="K233" t="n">
        <x:v>2</x:v>
      </x:c>
      <x:c r="L233" t="str">
        <x:v>Inglaterra</x:v>
      </x:c>
      <x:c r="M233" t="str">
        <x:v>Suplementario</x:v>
      </x:c>
      <x:c r="N233" t="n">
        <x:f>IF(AND(AND(ISNUMBER($F233),ISNUMBER($G233),$H233=$L233),IF($I233="90 minutos",IF($F233&gt;$G233,"A",IF($G233&gt;$F233,"B","E")),"E")=IF($M233="90 minutos",IF($J233&gt;$K233,"A",IF($K233&gt;$J233,"B","E")),"E")),Reglas!$B$2,0)</x:f>
        <x:v>0</x:v>
      </x:c>
      <x:c r="O233" t="n">
        <x:f>IF(AND(ISNUMBER($F233),ISNUMBER($G233),$H233=$L233),Reglas!$B$3,0)</x:f>
        <x:v>0</x:v>
      </x:c>
      <x:c r="P233" t="n">
        <x:f>IF(AND(AND(ISNUMBER($F233),ISNUMBER($G233),$H233=$L233),$I233=$M233),Reglas!$B$4,0)</x:f>
        <x:v>0</x:v>
      </x:c>
      <x:c r="Q233" t="n">
        <x:f>IF(AND(AND(AND(ISNUMBER($F233),ISNUMBER($G233),$H233=$L233),$I233=$M233,NOT(AND($I233="Penales",$F233&lt;&gt;$G233))),$F233=$J233,$G233=$K233),Reglas!$B$5,0)</x:f>
        <x:v>0</x:v>
      </x:c>
      <x:c r="R233" t="n">
        <x:f>IF(AND(AND(AND(ISNUMBER($F233),ISNUMBER($G233),$H233=$L233),$I233=$M233,NOT(AND($I233="Penales",$F233&lt;&gt;$G233))),$F233-$G233=$J233-$K233),Reglas!$B$6,0)</x:f>
        <x:v>0</x:v>
      </x:c>
      <x:c r="S233" t="n">
        <x:f>IF(AND(AND(AND(ISNUMBER($F233),ISNUMBER($G233),$H233=$L233),$I233=$M233,NOT(AND($I233="Penales",$F233&lt;&gt;$G233))),$F233=$J233),Reglas!$B$7,0)</x:f>
        <x:v>0</x:v>
      </x:c>
      <x:c r="T233" t="n">
        <x:f>IF(AND(AND(AND(ISNUMBER($F233),ISNUMBER($G233),$H233=$L233),$I233=$M233,NOT(AND($I233="Penales",$F233&lt;&gt;$G233))),$G233=$K233),Reglas!$B$8,0)</x:f>
        <x:v>0</x:v>
      </x:c>
      <x:c r="U233" t="n">
        <x:f>SUM(N233:T233)</x:f>
        <x:v>0</x:v>
      </x:c>
      <x:c r="V233" t="str">
        <x:f>IF($W233="Sin respuesta","Sin envio",IF($U233&gt;0,"OK","Sin puntos"))</x:f>
        <x:v>Sin puntos</x:v>
      </x:c>
      <x:c r="W233" t="str">
        <x:v>Google Forms</x:v>
      </x:c>
    </x:row>
    <x:row r="234" ht="15" hidden="0" customHeight="1">
      <x:c r="A234" t="str">
        <x:v>4tos</x:v>
      </x:c>
      <x:c r="B234" t="str">
        <x:v>QF3</x:v>
      </x:c>
      <x:c r="C234" t="str">
        <x:v>Arthur</x:v>
      </x:c>
      <x:c r="D234" t="str">
        <x:v>Noruega</x:v>
      </x:c>
      <x:c r="E234" t="str">
        <x:v>Inglaterra</x:v>
      </x:c>
      <x:c r="F234" t="n">
        <x:v>2</x:v>
      </x:c>
      <x:c r="G234" t="n">
        <x:v>1</x:v>
      </x:c>
      <x:c r="H234" t="str">
        <x:v>Noruega</x:v>
      </x:c>
      <x:c r="I234" t="str">
        <x:v>Suplementario</x:v>
      </x:c>
      <x:c r="J234" t="n">
        <x:v>1</x:v>
      </x:c>
      <x:c r="K234" t="n">
        <x:v>2</x:v>
      </x:c>
      <x:c r="L234" t="str">
        <x:v>Inglaterra</x:v>
      </x:c>
      <x:c r="M234" t="str">
        <x:v>Suplementario</x:v>
      </x:c>
      <x:c r="N234" t="n">
        <x:f>IF(AND(AND(ISNUMBER($F234),ISNUMBER($G234),$H234=$L234),IF($I234="90 minutos",IF($F234&gt;$G234,"A",IF($G234&gt;$F234,"B","E")),"E")=IF($M234="90 minutos",IF($J234&gt;$K234,"A",IF($K234&gt;$J234,"B","E")),"E")),Reglas!$B$2,0)</x:f>
        <x:v>0</x:v>
      </x:c>
      <x:c r="O234" t="n">
        <x:f>IF(AND(ISNUMBER($F234),ISNUMBER($G234),$H234=$L234),Reglas!$B$3,0)</x:f>
        <x:v>0</x:v>
      </x:c>
      <x:c r="P234" t="n">
        <x:f>IF(AND(AND(ISNUMBER($F234),ISNUMBER($G234),$H234=$L234),$I234=$M234),Reglas!$B$4,0)</x:f>
        <x:v>0</x:v>
      </x:c>
      <x:c r="Q234" t="n">
        <x:f>IF(AND(AND(AND(ISNUMBER($F234),ISNUMBER($G234),$H234=$L234),$I234=$M234,NOT(AND($I234="Penales",$F234&lt;&gt;$G234))),$F234=$J234,$G234=$K234),Reglas!$B$5,0)</x:f>
        <x:v>0</x:v>
      </x:c>
      <x:c r="R234" t="n">
        <x:f>IF(AND(AND(AND(ISNUMBER($F234),ISNUMBER($G234),$H234=$L234),$I234=$M234,NOT(AND($I234="Penales",$F234&lt;&gt;$G234))),$F234-$G234=$J234-$K234),Reglas!$B$6,0)</x:f>
        <x:v>0</x:v>
      </x:c>
      <x:c r="S234" t="n">
        <x:f>IF(AND(AND(AND(ISNUMBER($F234),ISNUMBER($G234),$H234=$L234),$I234=$M234,NOT(AND($I234="Penales",$F234&lt;&gt;$G234))),$F234=$J234),Reglas!$B$7,0)</x:f>
        <x:v>0</x:v>
      </x:c>
      <x:c r="T234" t="n">
        <x:f>IF(AND(AND(AND(ISNUMBER($F234),ISNUMBER($G234),$H234=$L234),$I234=$M234,NOT(AND($I234="Penales",$F234&lt;&gt;$G234))),$G234=$K234),Reglas!$B$8,0)</x:f>
        <x:v>0</x:v>
      </x:c>
      <x:c r="U234" t="n">
        <x:f>SUM(N234:T234)</x:f>
        <x:v>0</x:v>
      </x:c>
      <x:c r="V234" t="str">
        <x:f>IF($W234="Sin respuesta","Sin envio",IF($U234&gt;0,"OK","Sin puntos"))</x:f>
        <x:v>Sin puntos</x:v>
      </x:c>
      <x:c r="W234" t="str">
        <x:v>Google Forms</x:v>
      </x:c>
    </x:row>
    <x:row r="235" ht="15" hidden="0" customHeight="1">
      <x:c r="A235" t="str">
        <x:v>4tos</x:v>
      </x:c>
      <x:c r="B235" t="str">
        <x:v>QF3</x:v>
      </x:c>
      <x:c r="C235" t="str">
        <x:v>José Luis</x:v>
      </x:c>
      <x:c r="D235" t="str">
        <x:v>Noruega</x:v>
      </x:c>
      <x:c r="E235" t="str">
        <x:v>Inglaterra</x:v>
      </x:c>
      <x:c r="F235"/>
      <x:c r="G235"/>
      <x:c r="H235" t="str">
        <x:v>Sin envio</x:v>
      </x:c>
      <x:c r="I235" t="str">
        <x:v>Sin envio</x:v>
      </x:c>
      <x:c r="J235" t="n">
        <x:v>1</x:v>
      </x:c>
      <x:c r="K235" t="n">
        <x:v>2</x:v>
      </x:c>
      <x:c r="L235" t="str">
        <x:v>Inglaterra</x:v>
      </x:c>
      <x:c r="M235" t="str">
        <x:v>Suplementario</x:v>
      </x:c>
      <x:c r="N235" t="n">
        <x:f>IF(AND(AND(ISNUMBER($F235),ISNUMBER($G235),$H235=$L235),IF($I235="90 minutos",IF($F235&gt;$G235,"A",IF($G235&gt;$F235,"B","E")),"E")=IF($M235="90 minutos",IF($J235&gt;$K235,"A",IF($K235&gt;$J235,"B","E")),"E")),Reglas!$B$2,0)</x:f>
        <x:v>0</x:v>
      </x:c>
      <x:c r="O235" t="n">
        <x:f>IF(AND(ISNUMBER($F235),ISNUMBER($G235),$H235=$L235),Reglas!$B$3,0)</x:f>
        <x:v>0</x:v>
      </x:c>
      <x:c r="P235" t="n">
        <x:f>IF(AND(AND(ISNUMBER($F235),ISNUMBER($G235),$H235=$L235),$I235=$M235),Reglas!$B$4,0)</x:f>
        <x:v>0</x:v>
      </x:c>
      <x:c r="Q235" t="n">
        <x:f>IF(AND(AND(AND(ISNUMBER($F235),ISNUMBER($G235),$H235=$L235),$I235=$M235,NOT(AND($I235="Penales",$F235&lt;&gt;$G235))),$F235=$J235,$G235=$K235),Reglas!$B$5,0)</x:f>
        <x:v>0</x:v>
      </x:c>
      <x:c r="R235" t="n">
        <x:f>IF(AND(AND(AND(ISNUMBER($F235),ISNUMBER($G235),$H235=$L235),$I235=$M235,NOT(AND($I235="Penales",$F235&lt;&gt;$G235))),$F235-$G235=$J235-$K235),Reglas!$B$6,0)</x:f>
        <x:v>0</x:v>
      </x:c>
      <x:c r="S235" t="n">
        <x:f>IF(AND(AND(AND(ISNUMBER($F235),ISNUMBER($G235),$H235=$L235),$I235=$M235,NOT(AND($I235="Penales",$F235&lt;&gt;$G235))),$F235=$J235),Reglas!$B$7,0)</x:f>
        <x:v>0</x:v>
      </x:c>
      <x:c r="T235" t="n">
        <x:f>IF(AND(AND(AND(ISNUMBER($F235),ISNUMBER($G235),$H235=$L235),$I235=$M235,NOT(AND($I235="Penales",$F235&lt;&gt;$G235))),$G235=$K235),Reglas!$B$8,0)</x:f>
        <x:v>0</x:v>
      </x:c>
      <x:c r="U235" t="n">
        <x:f>SUM(N235:T235)</x:f>
        <x:v>0</x:v>
      </x:c>
      <x:c r="V235" t="str">
        <x:f>IF($W235="Sin respuesta","Sin envio",IF($U235&gt;0,"OK","Sin puntos"))</x:f>
        <x:v>Sin envio</x:v>
      </x:c>
      <x:c r="W235" t="str">
        <x:v>Sin respuesta</x:v>
      </x:c>
    </x:row>
    <x:row r="236" ht="15" hidden="0" customHeight="1">
      <x:c r="A236" t="str">
        <x:v>4tos</x:v>
      </x:c>
      <x:c r="B236" t="str">
        <x:v>QF3</x:v>
      </x:c>
      <x:c r="C236" t="str">
        <x:v>Marcelo</x:v>
      </x:c>
      <x:c r="D236" t="str">
        <x:v>Noruega</x:v>
      </x:c>
      <x:c r="E236" t="str">
        <x:v>Inglaterra</x:v>
      </x:c>
      <x:c r="F236"/>
      <x:c r="G236"/>
      <x:c r="H236" t="str">
        <x:v>Sin envio</x:v>
      </x:c>
      <x:c r="I236" t="str">
        <x:v>Sin envio</x:v>
      </x:c>
      <x:c r="J236" t="n">
        <x:v>1</x:v>
      </x:c>
      <x:c r="K236" t="n">
        <x:v>2</x:v>
      </x:c>
      <x:c r="L236" t="str">
        <x:v>Inglaterra</x:v>
      </x:c>
      <x:c r="M236" t="str">
        <x:v>Suplementario</x:v>
      </x:c>
      <x:c r="N236" t="n">
        <x:f>IF(AND(AND(ISNUMBER($F236),ISNUMBER($G236),$H236=$L236),IF($I236="90 minutos",IF($F236&gt;$G236,"A",IF($G236&gt;$F236,"B","E")),"E")=IF($M236="90 minutos",IF($J236&gt;$K236,"A",IF($K236&gt;$J236,"B","E")),"E")),Reglas!$B$2,0)</x:f>
        <x:v>0</x:v>
      </x:c>
      <x:c r="O236" t="n">
        <x:f>IF(AND(ISNUMBER($F236),ISNUMBER($G236),$H236=$L236),Reglas!$B$3,0)</x:f>
        <x:v>0</x:v>
      </x:c>
      <x:c r="P236" t="n">
        <x:f>IF(AND(AND(ISNUMBER($F236),ISNUMBER($G236),$H236=$L236),$I236=$M236),Reglas!$B$4,0)</x:f>
        <x:v>0</x:v>
      </x:c>
      <x:c r="Q236" t="n">
        <x:f>IF(AND(AND(AND(ISNUMBER($F236),ISNUMBER($G236),$H236=$L236),$I236=$M236,NOT(AND($I236="Penales",$F236&lt;&gt;$G236))),$F236=$J236,$G236=$K236),Reglas!$B$5,0)</x:f>
        <x:v>0</x:v>
      </x:c>
      <x:c r="R236" t="n">
        <x:f>IF(AND(AND(AND(ISNUMBER($F236),ISNUMBER($G236),$H236=$L236),$I236=$M236,NOT(AND($I236="Penales",$F236&lt;&gt;$G236))),$F236-$G236=$J236-$K236),Reglas!$B$6,0)</x:f>
        <x:v>0</x:v>
      </x:c>
      <x:c r="S236" t="n">
        <x:f>IF(AND(AND(AND(ISNUMBER($F236),ISNUMBER($G236),$H236=$L236),$I236=$M236,NOT(AND($I236="Penales",$F236&lt;&gt;$G236))),$F236=$J236),Reglas!$B$7,0)</x:f>
        <x:v>0</x:v>
      </x:c>
      <x:c r="T236" t="n">
        <x:f>IF(AND(AND(AND(ISNUMBER($F236),ISNUMBER($G236),$H236=$L236),$I236=$M236,NOT(AND($I236="Penales",$F236&lt;&gt;$G236))),$G236=$K236),Reglas!$B$8,0)</x:f>
        <x:v>0</x:v>
      </x:c>
      <x:c r="U236" t="n">
        <x:f>SUM(N236:T236)</x:f>
        <x:v>0</x:v>
      </x:c>
      <x:c r="V236" t="str">
        <x:f>IF($W236="Sin respuesta","Sin envio",IF($U236&gt;0,"OK","Sin puntos"))</x:f>
        <x:v>Sin envio</x:v>
      </x:c>
      <x:c r="W236" t="str">
        <x:v>Sin respuesta</x:v>
      </x:c>
    </x:row>
    <x:row r="237" ht="15" hidden="0" customHeight="1">
      <x:c r="A237" t="str">
        <x:v>4tos</x:v>
      </x:c>
      <x:c r="B237" t="str">
        <x:v>QF3</x:v>
      </x:c>
      <x:c r="C237" t="str">
        <x:v>Anny</x:v>
      </x:c>
      <x:c r="D237" t="str">
        <x:v>Noruega</x:v>
      </x:c>
      <x:c r="E237" t="str">
        <x:v>Inglaterra</x:v>
      </x:c>
      <x:c r="F237" t="n">
        <x:v>1</x:v>
      </x:c>
      <x:c r="G237" t="n">
        <x:v>1</x:v>
      </x:c>
      <x:c r="H237" t="str">
        <x:v>Noruega</x:v>
      </x:c>
      <x:c r="I237" t="str">
        <x:v>Suplementario</x:v>
      </x:c>
      <x:c r="J237" t="n">
        <x:v>1</x:v>
      </x:c>
      <x:c r="K237" t="n">
        <x:v>2</x:v>
      </x:c>
      <x:c r="L237" t="str">
        <x:v>Inglaterra</x:v>
      </x:c>
      <x:c r="M237" t="str">
        <x:v>Suplementario</x:v>
      </x:c>
      <x:c r="N237" t="n">
        <x:f>IF(AND(AND(ISNUMBER($F237),ISNUMBER($G237),$H237=$L237),IF($I237="90 minutos",IF($F237&gt;$G237,"A",IF($G237&gt;$F237,"B","E")),"E")=IF($M237="90 minutos",IF($J237&gt;$K237,"A",IF($K237&gt;$J237,"B","E")),"E")),Reglas!$B$2,0)</x:f>
        <x:v>0</x:v>
      </x:c>
      <x:c r="O237" t="n">
        <x:f>IF(AND(ISNUMBER($F237),ISNUMBER($G237),$H237=$L237),Reglas!$B$3,0)</x:f>
        <x:v>0</x:v>
      </x:c>
      <x:c r="P237" t="n">
        <x:f>IF(AND(AND(ISNUMBER($F237),ISNUMBER($G237),$H237=$L237),$I237=$M237),Reglas!$B$4,0)</x:f>
        <x:v>0</x:v>
      </x:c>
      <x:c r="Q237" t="n">
        <x:f>IF(AND(AND(AND(ISNUMBER($F237),ISNUMBER($G237),$H237=$L237),$I237=$M237,NOT(AND($I237="Penales",$F237&lt;&gt;$G237))),$F237=$J237,$G237=$K237),Reglas!$B$5,0)</x:f>
        <x:v>0</x:v>
      </x:c>
      <x:c r="R237" t="n">
        <x:f>IF(AND(AND(AND(ISNUMBER($F237),ISNUMBER($G237),$H237=$L237),$I237=$M237,NOT(AND($I237="Penales",$F237&lt;&gt;$G237))),$F237-$G237=$J237-$K237),Reglas!$B$6,0)</x:f>
        <x:v>0</x:v>
      </x:c>
      <x:c r="S237" t="n">
        <x:f>IF(AND(AND(AND(ISNUMBER($F237),ISNUMBER($G237),$H237=$L237),$I237=$M237,NOT(AND($I237="Penales",$F237&lt;&gt;$G237))),$F237=$J237),Reglas!$B$7,0)</x:f>
        <x:v>0</x:v>
      </x:c>
      <x:c r="T237" t="n">
        <x:f>IF(AND(AND(AND(ISNUMBER($F237),ISNUMBER($G237),$H237=$L237),$I237=$M237,NOT(AND($I237="Penales",$F237&lt;&gt;$G237))),$G237=$K237),Reglas!$B$8,0)</x:f>
        <x:v>0</x:v>
      </x:c>
      <x:c r="U237" t="n">
        <x:f>SUM(N237:T237)</x:f>
        <x:v>0</x:v>
      </x:c>
      <x:c r="V237" t="str">
        <x:f>IF($W237="Sin respuesta","Sin envio",IF($U237&gt;0,"OK","Sin puntos"))</x:f>
        <x:v>Sin puntos</x:v>
      </x:c>
      <x:c r="W237" t="str">
        <x:v>Google Forms</x:v>
      </x:c>
    </x:row>
    <x:row r="238" ht="15" hidden="0" customHeight="1">
      <x:c r="A238" t="str">
        <x:v>4tos</x:v>
      </x:c>
      <x:c r="B238" t="str">
        <x:v>QF3</x:v>
      </x:c>
      <x:c r="C238" t="str">
        <x:v>Moisés</x:v>
      </x:c>
      <x:c r="D238" t="str">
        <x:v>Noruega</x:v>
      </x:c>
      <x:c r="E238" t="str">
        <x:v>Inglaterra</x:v>
      </x:c>
      <x:c r="F238" t="n">
        <x:v>3</x:v>
      </x:c>
      <x:c r="G238" t="n">
        <x:v>2</x:v>
      </x:c>
      <x:c r="H238" t="str">
        <x:v>Noruega</x:v>
      </x:c>
      <x:c r="I238" t="str">
        <x:v>90 minutos</x:v>
      </x:c>
      <x:c r="J238" t="n">
        <x:v>1</x:v>
      </x:c>
      <x:c r="K238" t="n">
        <x:v>2</x:v>
      </x:c>
      <x:c r="L238" t="str">
        <x:v>Inglaterra</x:v>
      </x:c>
      <x:c r="M238" t="str">
        <x:v>Suplementario</x:v>
      </x:c>
      <x:c r="N238" t="n">
        <x:f>IF(AND(AND(ISNUMBER($F238),ISNUMBER($G238),$H238=$L238),IF($I238="90 minutos",IF($F238&gt;$G238,"A",IF($G238&gt;$F238,"B","E")),"E")=IF($M238="90 minutos",IF($J238&gt;$K238,"A",IF($K238&gt;$J238,"B","E")),"E")),Reglas!$B$2,0)</x:f>
        <x:v>0</x:v>
      </x:c>
      <x:c r="O238" t="n">
        <x:f>IF(AND(ISNUMBER($F238),ISNUMBER($G238),$H238=$L238),Reglas!$B$3,0)</x:f>
        <x:v>0</x:v>
      </x:c>
      <x:c r="P238" t="n">
        <x:f>IF(AND(AND(ISNUMBER($F238),ISNUMBER($G238),$H238=$L238),$I238=$M238),Reglas!$B$4,0)</x:f>
        <x:v>0</x:v>
      </x:c>
      <x:c r="Q238" t="n">
        <x:f>IF(AND(AND(AND(ISNUMBER($F238),ISNUMBER($G238),$H238=$L238),$I238=$M238,NOT(AND($I238="Penales",$F238&lt;&gt;$G238))),$F238=$J238,$G238=$K238),Reglas!$B$5,0)</x:f>
        <x:v>0</x:v>
      </x:c>
      <x:c r="R238" t="n">
        <x:f>IF(AND(AND(AND(ISNUMBER($F238),ISNUMBER($G238),$H238=$L238),$I238=$M238,NOT(AND($I238="Penales",$F238&lt;&gt;$G238))),$F238-$G238=$J238-$K238),Reglas!$B$6,0)</x:f>
        <x:v>0</x:v>
      </x:c>
      <x:c r="S238" t="n">
        <x:f>IF(AND(AND(AND(ISNUMBER($F238),ISNUMBER($G238),$H238=$L238),$I238=$M238,NOT(AND($I238="Penales",$F238&lt;&gt;$G238))),$F238=$J238),Reglas!$B$7,0)</x:f>
        <x:v>0</x:v>
      </x:c>
      <x:c r="T238" t="n">
        <x:f>IF(AND(AND(AND(ISNUMBER($F238),ISNUMBER($G238),$H238=$L238),$I238=$M238,NOT(AND($I238="Penales",$F238&lt;&gt;$G238))),$G238=$K238),Reglas!$B$8,0)</x:f>
        <x:v>0</x:v>
      </x:c>
      <x:c r="U238" t="n">
        <x:f>SUM(N238:T238)</x:f>
        <x:v>0</x:v>
      </x:c>
      <x:c r="V238" t="str">
        <x:f>IF($W238="Sin respuesta","Sin envio",IF($U238&gt;0,"OK","Sin puntos"))</x:f>
        <x:v>Sin puntos</x:v>
      </x:c>
      <x:c r="W238" t="str">
        <x:v>Google Forms</x:v>
      </x:c>
    </x:row>
    <x:row r="239" ht="15" hidden="0" customHeight="1">
      <x:c r="A239" t="str">
        <x:v>4tos</x:v>
      </x:c>
      <x:c r="B239" t="str">
        <x:v>QF3</x:v>
      </x:c>
      <x:c r="C239" t="str">
        <x:v>Alex</x:v>
      </x:c>
      <x:c r="D239" t="str">
        <x:v>Noruega</x:v>
      </x:c>
      <x:c r="E239" t="str">
        <x:v>Inglaterra</x:v>
      </x:c>
      <x:c r="F239" t="n">
        <x:v>2</x:v>
      </x:c>
      <x:c r="G239" t="n">
        <x:v>2</x:v>
      </x:c>
      <x:c r="H239" t="str">
        <x:v>Inglaterra</x:v>
      </x:c>
      <x:c r="I239" t="str">
        <x:v>Suplementario</x:v>
      </x:c>
      <x:c r="J239" t="n">
        <x:v>1</x:v>
      </x:c>
      <x:c r="K239" t="n">
        <x:v>2</x:v>
      </x:c>
      <x:c r="L239" t="str">
        <x:v>Inglaterra</x:v>
      </x:c>
      <x:c r="M239" t="str">
        <x:v>Suplementario</x:v>
      </x:c>
      <x:c r="N239" t="n">
        <x:f>IF(AND(AND(ISNUMBER($F239),ISNUMBER($G239),$H239=$L239),IF($I239="90 minutos",IF($F239&gt;$G239,"A",IF($G239&gt;$F239,"B","E")),"E")=IF($M239="90 minutos",IF($J239&gt;$K239,"A",IF($K239&gt;$J239,"B","E")),"E")),Reglas!$B$2,0)</x:f>
        <x:v>5</x:v>
      </x:c>
      <x:c r="O239" t="n">
        <x:f>IF(AND(ISNUMBER($F239),ISNUMBER($G239),$H239=$L239),Reglas!$B$3,0)</x:f>
        <x:v>3</x:v>
      </x:c>
      <x:c r="P239" t="n">
        <x:f>IF(AND(AND(ISNUMBER($F239),ISNUMBER($G239),$H239=$L239),$I239=$M239),Reglas!$B$4,0)</x:f>
        <x:v>2</x:v>
      </x:c>
      <x:c r="Q239" t="n">
        <x:f>IF(AND(AND(AND(ISNUMBER($F239),ISNUMBER($G239),$H239=$L239),$I239=$M239,NOT(AND($I239="Penales",$F239&lt;&gt;$G239))),$F239=$J239,$G239=$K239),Reglas!$B$5,0)</x:f>
        <x:v>0</x:v>
      </x:c>
      <x:c r="R239" t="n">
        <x:f>IF(AND(AND(AND(ISNUMBER($F239),ISNUMBER($G239),$H239=$L239),$I239=$M239,NOT(AND($I239="Penales",$F239&lt;&gt;$G239))),$F239-$G239=$J239-$K239),Reglas!$B$6,0)</x:f>
        <x:v>0</x:v>
      </x:c>
      <x:c r="S239" t="n">
        <x:f>IF(AND(AND(AND(ISNUMBER($F239),ISNUMBER($G239),$H239=$L239),$I239=$M239,NOT(AND($I239="Penales",$F239&lt;&gt;$G239))),$F239=$J239),Reglas!$B$7,0)</x:f>
        <x:v>0</x:v>
      </x:c>
      <x:c r="T239" t="n">
        <x:f>IF(AND(AND(AND(ISNUMBER($F239),ISNUMBER($G239),$H239=$L239),$I239=$M239,NOT(AND($I239="Penales",$F239&lt;&gt;$G239))),$G239=$K239),Reglas!$B$8,0)</x:f>
        <x:v>1</x:v>
      </x:c>
      <x:c r="U239" t="n">
        <x:f>SUM(N239:T239)</x:f>
        <x:v>11</x:v>
      </x:c>
      <x:c r="V239" t="str">
        <x:f>IF($W239="Sin respuesta","Sin envio",IF($U239&gt;0,"OK","Sin puntos"))</x:f>
        <x:v>OK</x:v>
      </x:c>
      <x:c r="W239" t="str">
        <x:v>Google Forms</x:v>
      </x:c>
    </x:row>
    <x:row r="240" ht="15" hidden="0" customHeight="1">
      <x:c r="A240" t="str">
        <x:v>4tos</x:v>
      </x:c>
      <x:c r="B240" t="str">
        <x:v>QF3</x:v>
      </x:c>
      <x:c r="C240" t="str">
        <x:v>Omar</x:v>
      </x:c>
      <x:c r="D240" t="str">
        <x:v>Noruega</x:v>
      </x:c>
      <x:c r="E240" t="str">
        <x:v>Inglaterra</x:v>
      </x:c>
      <x:c r="F240"/>
      <x:c r="G240"/>
      <x:c r="H240" t="str">
        <x:v>Sin envio</x:v>
      </x:c>
      <x:c r="I240" t="str">
        <x:v>Sin envio</x:v>
      </x:c>
      <x:c r="J240" t="n">
        <x:v>1</x:v>
      </x:c>
      <x:c r="K240" t="n">
        <x:v>2</x:v>
      </x:c>
      <x:c r="L240" t="str">
        <x:v>Inglaterra</x:v>
      </x:c>
      <x:c r="M240" t="str">
        <x:v>Suplementario</x:v>
      </x:c>
      <x:c r="N240" t="n">
        <x:f>IF(AND(AND(ISNUMBER($F240),ISNUMBER($G240),$H240=$L240),IF($I240="90 minutos",IF($F240&gt;$G240,"A",IF($G240&gt;$F240,"B","E")),"E")=IF($M240="90 minutos",IF($J240&gt;$K240,"A",IF($K240&gt;$J240,"B","E")),"E")),Reglas!$B$2,0)</x:f>
        <x:v>0</x:v>
      </x:c>
      <x:c r="O240" t="n">
        <x:f>IF(AND(ISNUMBER($F240),ISNUMBER($G240),$H240=$L240),Reglas!$B$3,0)</x:f>
        <x:v>0</x:v>
      </x:c>
      <x:c r="P240" t="n">
        <x:f>IF(AND(AND(ISNUMBER($F240),ISNUMBER($G240),$H240=$L240),$I240=$M240),Reglas!$B$4,0)</x:f>
        <x:v>0</x:v>
      </x:c>
      <x:c r="Q240" t="n">
        <x:f>IF(AND(AND(AND(ISNUMBER($F240),ISNUMBER($G240),$H240=$L240),$I240=$M240,NOT(AND($I240="Penales",$F240&lt;&gt;$G240))),$F240=$J240,$G240=$K240),Reglas!$B$5,0)</x:f>
        <x:v>0</x:v>
      </x:c>
      <x:c r="R240" t="n">
        <x:f>IF(AND(AND(AND(ISNUMBER($F240),ISNUMBER($G240),$H240=$L240),$I240=$M240,NOT(AND($I240="Penales",$F240&lt;&gt;$G240))),$F240-$G240=$J240-$K240),Reglas!$B$6,0)</x:f>
        <x:v>0</x:v>
      </x:c>
      <x:c r="S240" t="n">
        <x:f>IF(AND(AND(AND(ISNUMBER($F240),ISNUMBER($G240),$H240=$L240),$I240=$M240,NOT(AND($I240="Penales",$F240&lt;&gt;$G240))),$F240=$J240),Reglas!$B$7,0)</x:f>
        <x:v>0</x:v>
      </x:c>
      <x:c r="T240" t="n">
        <x:f>IF(AND(AND(AND(ISNUMBER($F240),ISNUMBER($G240),$H240=$L240),$I240=$M240,NOT(AND($I240="Penales",$F240&lt;&gt;$G240))),$G240=$K240),Reglas!$B$8,0)</x:f>
        <x:v>0</x:v>
      </x:c>
      <x:c r="U240" t="n">
        <x:f>SUM(N240:T240)</x:f>
        <x:v>0</x:v>
      </x:c>
      <x:c r="V240" t="str">
        <x:f>IF($W240="Sin respuesta","Sin envio",IF($U240&gt;0,"OK","Sin puntos"))</x:f>
        <x:v>Sin envio</x:v>
      </x:c>
      <x:c r="W240" t="str">
        <x:v>Sin respuesta</x:v>
      </x:c>
    </x:row>
    <x:row r="241" ht="15" hidden="0" customHeight="1">
      <x:c r="A241" t="str">
        <x:v>4tos</x:v>
      </x:c>
      <x:c r="B241" t="str">
        <x:v>QF3</x:v>
      </x:c>
      <x:c r="C241" t="str">
        <x:v>Fernando</x:v>
      </x:c>
      <x:c r="D241" t="str">
        <x:v>Noruega</x:v>
      </x:c>
      <x:c r="E241" t="str">
        <x:v>Inglaterra</x:v>
      </x:c>
      <x:c r="F241" t="n">
        <x:v>3</x:v>
      </x:c>
      <x:c r="G241" t="n">
        <x:v>2</x:v>
      </x:c>
      <x:c r="H241" t="str">
        <x:v>Noruega</x:v>
      </x:c>
      <x:c r="I241" t="str">
        <x:v>90 minutos</x:v>
      </x:c>
      <x:c r="J241" t="n">
        <x:v>1</x:v>
      </x:c>
      <x:c r="K241" t="n">
        <x:v>2</x:v>
      </x:c>
      <x:c r="L241" t="str">
        <x:v>Inglaterra</x:v>
      </x:c>
      <x:c r="M241" t="str">
        <x:v>Suplementario</x:v>
      </x:c>
      <x:c r="N241" t="n">
        <x:f>IF(AND(AND(ISNUMBER($F241),ISNUMBER($G241),$H241=$L241),IF($I241="90 minutos",IF($F241&gt;$G241,"A",IF($G241&gt;$F241,"B","E")),"E")=IF($M241="90 minutos",IF($J241&gt;$K241,"A",IF($K241&gt;$J241,"B","E")),"E")),Reglas!$B$2,0)</x:f>
        <x:v>0</x:v>
      </x:c>
      <x:c r="O241" t="n">
        <x:f>IF(AND(ISNUMBER($F241),ISNUMBER($G241),$H241=$L241),Reglas!$B$3,0)</x:f>
        <x:v>0</x:v>
      </x:c>
      <x:c r="P241" t="n">
        <x:f>IF(AND(AND(ISNUMBER($F241),ISNUMBER($G241),$H241=$L241),$I241=$M241),Reglas!$B$4,0)</x:f>
        <x:v>0</x:v>
      </x:c>
      <x:c r="Q241" t="n">
        <x:f>IF(AND(AND(AND(ISNUMBER($F241),ISNUMBER($G241),$H241=$L241),$I241=$M241,NOT(AND($I241="Penales",$F241&lt;&gt;$G241))),$F241=$J241,$G241=$K241),Reglas!$B$5,0)</x:f>
        <x:v>0</x:v>
      </x:c>
      <x:c r="R241" t="n">
        <x:f>IF(AND(AND(AND(ISNUMBER($F241),ISNUMBER($G241),$H241=$L241),$I241=$M241,NOT(AND($I241="Penales",$F241&lt;&gt;$G241))),$F241-$G241=$J241-$K241),Reglas!$B$6,0)</x:f>
        <x:v>0</x:v>
      </x:c>
      <x:c r="S241" t="n">
        <x:f>IF(AND(AND(AND(ISNUMBER($F241),ISNUMBER($G241),$H241=$L241),$I241=$M241,NOT(AND($I241="Penales",$F241&lt;&gt;$G241))),$F241=$J241),Reglas!$B$7,0)</x:f>
        <x:v>0</x:v>
      </x:c>
      <x:c r="T241" t="n">
        <x:f>IF(AND(AND(AND(ISNUMBER($F241),ISNUMBER($G241),$H241=$L241),$I241=$M241,NOT(AND($I241="Penales",$F241&lt;&gt;$G241))),$G241=$K241),Reglas!$B$8,0)</x:f>
        <x:v>0</x:v>
      </x:c>
      <x:c r="U241" t="n">
        <x:f>SUM(N241:T241)</x:f>
        <x:v>0</x:v>
      </x:c>
      <x:c r="V241" t="str">
        <x:f>IF($W241="Sin respuesta","Sin envio",IF($U241&gt;0,"OK","Sin puntos"))</x:f>
        <x:v>Sin puntos</x:v>
      </x:c>
      <x:c r="W241" t="str">
        <x:v>Google Forms</x:v>
      </x:c>
    </x:row>
    <x:row r="242" ht="15" hidden="0" customHeight="1">
      <x:c r="A242" t="str">
        <x:v>4tos</x:v>
      </x:c>
      <x:c r="B242" t="str">
        <x:v>QF3</x:v>
      </x:c>
      <x:c r="C242" t="str">
        <x:v>Diana</x:v>
      </x:c>
      <x:c r="D242" t="str">
        <x:v>Noruega</x:v>
      </x:c>
      <x:c r="E242" t="str">
        <x:v>Inglaterra</x:v>
      </x:c>
      <x:c r="F242"/>
      <x:c r="G242"/>
      <x:c r="H242" t="str">
        <x:v>Sin envio</x:v>
      </x:c>
      <x:c r="I242" t="str">
        <x:v>Sin envio</x:v>
      </x:c>
      <x:c r="J242" t="n">
        <x:v>1</x:v>
      </x:c>
      <x:c r="K242" t="n">
        <x:v>2</x:v>
      </x:c>
      <x:c r="L242" t="str">
        <x:v>Inglaterra</x:v>
      </x:c>
      <x:c r="M242" t="str">
        <x:v>Suplementario</x:v>
      </x:c>
      <x:c r="N242" t="n">
        <x:f>IF(AND(AND(ISNUMBER($F242),ISNUMBER($G242),$H242=$L242),IF($I242="90 minutos",IF($F242&gt;$G242,"A",IF($G242&gt;$F242,"B","E")),"E")=IF($M242="90 minutos",IF($J242&gt;$K242,"A",IF($K242&gt;$J242,"B","E")),"E")),Reglas!$B$2,0)</x:f>
        <x:v>0</x:v>
      </x:c>
      <x:c r="O242" t="n">
        <x:f>IF(AND(ISNUMBER($F242),ISNUMBER($G242),$H242=$L242),Reglas!$B$3,0)</x:f>
        <x:v>0</x:v>
      </x:c>
      <x:c r="P242" t="n">
        <x:f>IF(AND(AND(ISNUMBER($F242),ISNUMBER($G242),$H242=$L242),$I242=$M242),Reglas!$B$4,0)</x:f>
        <x:v>0</x:v>
      </x:c>
      <x:c r="Q242" t="n">
        <x:f>IF(AND(AND(AND(ISNUMBER($F242),ISNUMBER($G242),$H242=$L242),$I242=$M242,NOT(AND($I242="Penales",$F242&lt;&gt;$G242))),$F242=$J242,$G242=$K242),Reglas!$B$5,0)</x:f>
        <x:v>0</x:v>
      </x:c>
      <x:c r="R242" t="n">
        <x:f>IF(AND(AND(AND(ISNUMBER($F242),ISNUMBER($G242),$H242=$L242),$I242=$M242,NOT(AND($I242="Penales",$F242&lt;&gt;$G242))),$F242-$G242=$J242-$K242),Reglas!$B$6,0)</x:f>
        <x:v>0</x:v>
      </x:c>
      <x:c r="S242" t="n">
        <x:f>IF(AND(AND(AND(ISNUMBER($F242),ISNUMBER($G242),$H242=$L242),$I242=$M242,NOT(AND($I242="Penales",$F242&lt;&gt;$G242))),$F242=$J242),Reglas!$B$7,0)</x:f>
        <x:v>0</x:v>
      </x:c>
      <x:c r="T242" t="n">
        <x:f>IF(AND(AND(AND(ISNUMBER($F242),ISNUMBER($G242),$H242=$L242),$I242=$M242,NOT(AND($I242="Penales",$F242&lt;&gt;$G242))),$G242=$K242),Reglas!$B$8,0)</x:f>
        <x:v>0</x:v>
      </x:c>
      <x:c r="U242" t="n">
        <x:f>SUM(N242:T242)</x:f>
        <x:v>0</x:v>
      </x:c>
      <x:c r="V242" t="str">
        <x:f>IF($W242="Sin respuesta","Sin envio",IF($U242&gt;0,"OK","Sin puntos"))</x:f>
        <x:v>Sin envio</x:v>
      </x:c>
      <x:c r="W242" t="str">
        <x:v>Sin respuesta</x:v>
      </x:c>
    </x:row>
    <x:row r="243" ht="15" hidden="0" customHeight="1">
      <x:c r="A243" t="str">
        <x:v>4tos</x:v>
      </x:c>
      <x:c r="B243" t="str">
        <x:v>QF3</x:v>
      </x:c>
      <x:c r="C243" t="str">
        <x:v>Óscar</x:v>
      </x:c>
      <x:c r="D243" t="str">
        <x:v>Noruega</x:v>
      </x:c>
      <x:c r="E243" t="str">
        <x:v>Inglaterra</x:v>
      </x:c>
      <x:c r="F243" t="n">
        <x:v>2</x:v>
      </x:c>
      <x:c r="G243" t="n">
        <x:v>3</x:v>
      </x:c>
      <x:c r="H243" t="str">
        <x:v>Inglaterra</x:v>
      </x:c>
      <x:c r="I243" t="str">
        <x:v>Suplementario</x:v>
      </x:c>
      <x:c r="J243" t="n">
        <x:v>1</x:v>
      </x:c>
      <x:c r="K243" t="n">
        <x:v>2</x:v>
      </x:c>
      <x:c r="L243" t="str">
        <x:v>Inglaterra</x:v>
      </x:c>
      <x:c r="M243" t="str">
        <x:v>Suplementario</x:v>
      </x:c>
      <x:c r="N243" t="n">
        <x:f>IF(AND(AND(ISNUMBER($F243),ISNUMBER($G243),$H243=$L243),IF($I243="90 minutos",IF($F243&gt;$G243,"A",IF($G243&gt;$F243,"B","E")),"E")=IF($M243="90 minutos",IF($J243&gt;$K243,"A",IF($K243&gt;$J243,"B","E")),"E")),Reglas!$B$2,0)</x:f>
        <x:v>5</x:v>
      </x:c>
      <x:c r="O243" t="n">
        <x:f>IF(AND(ISNUMBER($F243),ISNUMBER($G243),$H243=$L243),Reglas!$B$3,0)</x:f>
        <x:v>3</x:v>
      </x:c>
      <x:c r="P243" t="n">
        <x:f>IF(AND(AND(ISNUMBER($F243),ISNUMBER($G243),$H243=$L243),$I243=$M243),Reglas!$B$4,0)</x:f>
        <x:v>2</x:v>
      </x:c>
      <x:c r="Q243" t="n">
        <x:f>IF(AND(AND(AND(ISNUMBER($F243),ISNUMBER($G243),$H243=$L243),$I243=$M243,NOT(AND($I243="Penales",$F243&lt;&gt;$G243))),$F243=$J243,$G243=$K243),Reglas!$B$5,0)</x:f>
        <x:v>0</x:v>
      </x:c>
      <x:c r="R243" t="n">
        <x:f>IF(AND(AND(AND(ISNUMBER($F243),ISNUMBER($G243),$H243=$L243),$I243=$M243,NOT(AND($I243="Penales",$F243&lt;&gt;$G243))),$F243-$G243=$J243-$K243),Reglas!$B$6,0)</x:f>
        <x:v>2</x:v>
      </x:c>
      <x:c r="S243" t="n">
        <x:f>IF(AND(AND(AND(ISNUMBER($F243),ISNUMBER($G243),$H243=$L243),$I243=$M243,NOT(AND($I243="Penales",$F243&lt;&gt;$G243))),$F243=$J243),Reglas!$B$7,0)</x:f>
        <x:v>0</x:v>
      </x:c>
      <x:c r="T243" t="n">
        <x:f>IF(AND(AND(AND(ISNUMBER($F243),ISNUMBER($G243),$H243=$L243),$I243=$M243,NOT(AND($I243="Penales",$F243&lt;&gt;$G243))),$G243=$K243),Reglas!$B$8,0)</x:f>
        <x:v>0</x:v>
      </x:c>
      <x:c r="U243" t="n">
        <x:f>SUM(N243:T243)</x:f>
        <x:v>12</x:v>
      </x:c>
      <x:c r="V243" t="str">
        <x:f>IF($W243="Sin respuesta","Sin envio",IF($U243&gt;0,"OK","Sin puntos"))</x:f>
        <x:v>OK</x:v>
      </x:c>
      <x:c r="W243" t="str">
        <x:v>Google Forms</x:v>
      </x:c>
    </x:row>
    <x:row r="244" ht="15" hidden="0" customHeight="1">
      <x:c r="A244" t="str">
        <x:v>4tos</x:v>
      </x:c>
      <x:c r="B244" t="str">
        <x:v>QF4</x:v>
      </x:c>
      <x:c r="C244" t="str">
        <x:v>Freddy</x:v>
      </x:c>
      <x:c r="D244" t="str">
        <x:v>Argentina</x:v>
      </x:c>
      <x:c r="E244" t="str">
        <x:v>Suiza</x:v>
      </x:c>
      <x:c r="F244" t="n">
        <x:v>1</x:v>
      </x:c>
      <x:c r="G244" t="n">
        <x:v>0</x:v>
      </x:c>
      <x:c r="H244" t="str">
        <x:v>Argentina</x:v>
      </x:c>
      <x:c r="I244" t="str">
        <x:v>90 minutos</x:v>
      </x:c>
      <x:c r="J244" t="n">
        <x:v>3</x:v>
      </x:c>
      <x:c r="K244" t="n">
        <x:v>1</x:v>
      </x:c>
      <x:c r="L244" t="str">
        <x:v>Argentina</x:v>
      </x:c>
      <x:c r="M244" t="str">
        <x:v>Suplementario</x:v>
      </x:c>
      <x:c r="N244" t="n">
        <x:f>IF(AND(AND(ISNUMBER($F244),ISNUMBER($G244),$H244=$L244),IF($I244="90 minutos",IF($F244&gt;$G244,"A",IF($G244&gt;$F244,"B","E")),"E")=IF($M244="90 minutos",IF($J244&gt;$K244,"A",IF($K244&gt;$J244,"B","E")),"E")),Reglas!$B$2,0)</x:f>
        <x:v>0</x:v>
      </x:c>
      <x:c r="O244" t="n">
        <x:f>IF(AND(ISNUMBER($F244),ISNUMBER($G244),$H244=$L244),Reglas!$B$3,0)</x:f>
        <x:v>3</x:v>
      </x:c>
      <x:c r="P244" t="n">
        <x:f>IF(AND(AND(ISNUMBER($F244),ISNUMBER($G244),$H244=$L244),$I244=$M244),Reglas!$B$4,0)</x:f>
        <x:v>0</x:v>
      </x:c>
      <x:c r="Q244" t="n">
        <x:f>IF(AND(AND(AND(ISNUMBER($F244),ISNUMBER($G244),$H244=$L244),$I244=$M244,NOT(AND($I244="Penales",$F244&lt;&gt;$G244))),$F244=$J244,$G244=$K244),Reglas!$B$5,0)</x:f>
        <x:v>0</x:v>
      </x:c>
      <x:c r="R244" t="n">
        <x:f>IF(AND(AND(AND(ISNUMBER($F244),ISNUMBER($G244),$H244=$L244),$I244=$M244,NOT(AND($I244="Penales",$F244&lt;&gt;$G244))),$F244-$G244=$J244-$K244),Reglas!$B$6,0)</x:f>
        <x:v>0</x:v>
      </x:c>
      <x:c r="S244" t="n">
        <x:f>IF(AND(AND(AND(ISNUMBER($F244),ISNUMBER($G244),$H244=$L244),$I244=$M244,NOT(AND($I244="Penales",$F244&lt;&gt;$G244))),$F244=$J244),Reglas!$B$7,0)</x:f>
        <x:v>0</x:v>
      </x:c>
      <x:c r="T244" t="n">
        <x:f>IF(AND(AND(AND(ISNUMBER($F244),ISNUMBER($G244),$H244=$L244),$I244=$M244,NOT(AND($I244="Penales",$F244&lt;&gt;$G244))),$G244=$K244),Reglas!$B$8,0)</x:f>
        <x:v>0</x:v>
      </x:c>
      <x:c r="U244" t="n">
        <x:f>SUM(N244:T244)</x:f>
        <x:v>3</x:v>
      </x:c>
      <x:c r="V244" t="str">
        <x:f>IF($W244="Sin respuesta","Sin envio",IF($U244&gt;0,"OK","Sin puntos"))</x:f>
        <x:v>OK</x:v>
      </x:c>
      <x:c r="W244" t="str">
        <x:v>Google Forms</x:v>
      </x:c>
    </x:row>
    <x:row r="245" ht="15" hidden="0" customHeight="1">
      <x:c r="A245" t="str">
        <x:v>4tos</x:v>
      </x:c>
      <x:c r="B245" t="str">
        <x:v>QF4</x:v>
      </x:c>
      <x:c r="C245" t="str">
        <x:v>Gabriela</x:v>
      </x:c>
      <x:c r="D245" t="str">
        <x:v>Argentina</x:v>
      </x:c>
      <x:c r="E245" t="str">
        <x:v>Suiza</x:v>
      </x:c>
      <x:c r="F245" t="n">
        <x:v>2</x:v>
      </x:c>
      <x:c r="G245" t="n">
        <x:v>2</x:v>
      </x:c>
      <x:c r="H245" t="str">
        <x:v>Suiza</x:v>
      </x:c>
      <x:c r="I245" t="str">
        <x:v>Penales</x:v>
      </x:c>
      <x:c r="J245" t="n">
        <x:v>3</x:v>
      </x:c>
      <x:c r="K245" t="n">
        <x:v>1</x:v>
      </x:c>
      <x:c r="L245" t="str">
        <x:v>Argentina</x:v>
      </x:c>
      <x:c r="M245" t="str">
        <x:v>Suplementario</x:v>
      </x:c>
      <x:c r="N245" t="n">
        <x:f>IF(AND(AND(ISNUMBER($F245),ISNUMBER($G245),$H245=$L245),IF($I245="90 minutos",IF($F245&gt;$G245,"A",IF($G245&gt;$F245,"B","E")),"E")=IF($M245="90 minutos",IF($J245&gt;$K245,"A",IF($K245&gt;$J245,"B","E")),"E")),Reglas!$B$2,0)</x:f>
        <x:v>0</x:v>
      </x:c>
      <x:c r="O245" t="n">
        <x:f>IF(AND(ISNUMBER($F245),ISNUMBER($G245),$H245=$L245),Reglas!$B$3,0)</x:f>
        <x:v>0</x:v>
      </x:c>
      <x:c r="P245" t="n">
        <x:f>IF(AND(AND(ISNUMBER($F245),ISNUMBER($G245),$H245=$L245),$I245=$M245),Reglas!$B$4,0)</x:f>
        <x:v>0</x:v>
      </x:c>
      <x:c r="Q245" t="n">
        <x:f>IF(AND(AND(AND(ISNUMBER($F245),ISNUMBER($G245),$H245=$L245),$I245=$M245,NOT(AND($I245="Penales",$F245&lt;&gt;$G245))),$F245=$J245,$G245=$K245),Reglas!$B$5,0)</x:f>
        <x:v>0</x:v>
      </x:c>
      <x:c r="R245" t="n">
        <x:f>IF(AND(AND(AND(ISNUMBER($F245),ISNUMBER($G245),$H245=$L245),$I245=$M245,NOT(AND($I245="Penales",$F245&lt;&gt;$G245))),$F245-$G245=$J245-$K245),Reglas!$B$6,0)</x:f>
        <x:v>0</x:v>
      </x:c>
      <x:c r="S245" t="n">
        <x:f>IF(AND(AND(AND(ISNUMBER($F245),ISNUMBER($G245),$H245=$L245),$I245=$M245,NOT(AND($I245="Penales",$F245&lt;&gt;$G245))),$F245=$J245),Reglas!$B$7,0)</x:f>
        <x:v>0</x:v>
      </x:c>
      <x:c r="T245" t="n">
        <x:f>IF(AND(AND(AND(ISNUMBER($F245),ISNUMBER($G245),$H245=$L245),$I245=$M245,NOT(AND($I245="Penales",$F245&lt;&gt;$G245))),$G245=$K245),Reglas!$B$8,0)</x:f>
        <x:v>0</x:v>
      </x:c>
      <x:c r="U245" t="n">
        <x:f>SUM(N245:T245)</x:f>
        <x:v>0</x:v>
      </x:c>
      <x:c r="V245" t="str">
        <x:f>IF($W245="Sin respuesta","Sin envio",IF($U245&gt;0,"OK","Sin puntos"))</x:f>
        <x:v>Sin puntos</x:v>
      </x:c>
      <x:c r="W245" t="str">
        <x:v>Google Forms</x:v>
      </x:c>
    </x:row>
    <x:row r="246" ht="15" hidden="0" customHeight="1">
      <x:c r="A246" t="str">
        <x:v>4tos</x:v>
      </x:c>
      <x:c r="B246" t="str">
        <x:v>QF4</x:v>
      </x:c>
      <x:c r="C246" t="str">
        <x:v>Jean</x:v>
      </x:c>
      <x:c r="D246" t="str">
        <x:v>Argentina</x:v>
      </x:c>
      <x:c r="E246" t="str">
        <x:v>Suiza</x:v>
      </x:c>
      <x:c r="F246" t="n">
        <x:v>2</x:v>
      </x:c>
      <x:c r="G246" t="n">
        <x:v>0</x:v>
      </x:c>
      <x:c r="H246" t="str">
        <x:v>Argentina</x:v>
      </x:c>
      <x:c r="I246" t="str">
        <x:v>90 minutos</x:v>
      </x:c>
      <x:c r="J246" t="n">
        <x:v>3</x:v>
      </x:c>
      <x:c r="K246" t="n">
        <x:v>1</x:v>
      </x:c>
      <x:c r="L246" t="str">
        <x:v>Argentina</x:v>
      </x:c>
      <x:c r="M246" t="str">
        <x:v>Suplementario</x:v>
      </x:c>
      <x:c r="N246" t="n">
        <x:f>IF(AND(AND(ISNUMBER($F246),ISNUMBER($G246),$H246=$L246),IF($I246="90 minutos",IF($F246&gt;$G246,"A",IF($G246&gt;$F246,"B","E")),"E")=IF($M246="90 minutos",IF($J246&gt;$K246,"A",IF($K246&gt;$J246,"B","E")),"E")),Reglas!$B$2,0)</x:f>
        <x:v>0</x:v>
      </x:c>
      <x:c r="O246" t="n">
        <x:f>IF(AND(ISNUMBER($F246),ISNUMBER($G246),$H246=$L246),Reglas!$B$3,0)</x:f>
        <x:v>3</x:v>
      </x:c>
      <x:c r="P246" t="n">
        <x:f>IF(AND(AND(ISNUMBER($F246),ISNUMBER($G246),$H246=$L246),$I246=$M246),Reglas!$B$4,0)</x:f>
        <x:v>0</x:v>
      </x:c>
      <x:c r="Q246" t="n">
        <x:f>IF(AND(AND(AND(ISNUMBER($F246),ISNUMBER($G246),$H246=$L246),$I246=$M246,NOT(AND($I246="Penales",$F246&lt;&gt;$G246))),$F246=$J246,$G246=$K246),Reglas!$B$5,0)</x:f>
        <x:v>0</x:v>
      </x:c>
      <x:c r="R246" t="n">
        <x:f>IF(AND(AND(AND(ISNUMBER($F246),ISNUMBER($G246),$H246=$L246),$I246=$M246,NOT(AND($I246="Penales",$F246&lt;&gt;$G246))),$F246-$G246=$J246-$K246),Reglas!$B$6,0)</x:f>
        <x:v>0</x:v>
      </x:c>
      <x:c r="S246" t="n">
        <x:f>IF(AND(AND(AND(ISNUMBER($F246),ISNUMBER($G246),$H246=$L246),$I246=$M246,NOT(AND($I246="Penales",$F246&lt;&gt;$G246))),$F246=$J246),Reglas!$B$7,0)</x:f>
        <x:v>0</x:v>
      </x:c>
      <x:c r="T246" t="n">
        <x:f>IF(AND(AND(AND(ISNUMBER($F246),ISNUMBER($G246),$H246=$L246),$I246=$M246,NOT(AND($I246="Penales",$F246&lt;&gt;$G246))),$G246=$K246),Reglas!$B$8,0)</x:f>
        <x:v>0</x:v>
      </x:c>
      <x:c r="U246" t="n">
        <x:f>SUM(N246:T246)</x:f>
        <x:v>3</x:v>
      </x:c>
      <x:c r="V246" t="str">
        <x:f>IF($W246="Sin respuesta","Sin envio",IF($U246&gt;0,"OK","Sin puntos"))</x:f>
        <x:v>OK</x:v>
      </x:c>
      <x:c r="W246" t="str">
        <x:v>Google Forms</x:v>
      </x:c>
    </x:row>
    <x:row r="247" ht="15" hidden="0" customHeight="1">
      <x:c r="A247" t="str">
        <x:v>4tos</x:v>
      </x:c>
      <x:c r="B247" t="str">
        <x:v>QF4</x:v>
      </x:c>
      <x:c r="C247" t="str">
        <x:v>Juan</x:v>
      </x:c>
      <x:c r="D247" t="str">
        <x:v>Argentina</x:v>
      </x:c>
      <x:c r="E247" t="str">
        <x:v>Suiza</x:v>
      </x:c>
      <x:c r="F247"/>
      <x:c r="G247"/>
      <x:c r="H247" t="str">
        <x:v>Sin envio</x:v>
      </x:c>
      <x:c r="I247" t="str">
        <x:v>Sin envio</x:v>
      </x:c>
      <x:c r="J247" t="n">
        <x:v>3</x:v>
      </x:c>
      <x:c r="K247" t="n">
        <x:v>1</x:v>
      </x:c>
      <x:c r="L247" t="str">
        <x:v>Argentina</x:v>
      </x:c>
      <x:c r="M247" t="str">
        <x:v>Suplementario</x:v>
      </x:c>
      <x:c r="N247" t="n">
        <x:f>IF(AND(AND(ISNUMBER($F247),ISNUMBER($G247),$H247=$L247),IF($I247="90 minutos",IF($F247&gt;$G247,"A",IF($G247&gt;$F247,"B","E")),"E")=IF($M247="90 minutos",IF($J247&gt;$K247,"A",IF($K247&gt;$J247,"B","E")),"E")),Reglas!$B$2,0)</x:f>
        <x:v>0</x:v>
      </x:c>
      <x:c r="O247" t="n">
        <x:f>IF(AND(ISNUMBER($F247),ISNUMBER($G247),$H247=$L247),Reglas!$B$3,0)</x:f>
        <x:v>0</x:v>
      </x:c>
      <x:c r="P247" t="n">
        <x:f>IF(AND(AND(ISNUMBER($F247),ISNUMBER($G247),$H247=$L247),$I247=$M247),Reglas!$B$4,0)</x:f>
        <x:v>0</x:v>
      </x:c>
      <x:c r="Q247" t="n">
        <x:f>IF(AND(AND(AND(ISNUMBER($F247),ISNUMBER($G247),$H247=$L247),$I247=$M247,NOT(AND($I247="Penales",$F247&lt;&gt;$G247))),$F247=$J247,$G247=$K247),Reglas!$B$5,0)</x:f>
        <x:v>0</x:v>
      </x:c>
      <x:c r="R247" t="n">
        <x:f>IF(AND(AND(AND(ISNUMBER($F247),ISNUMBER($G247),$H247=$L247),$I247=$M247,NOT(AND($I247="Penales",$F247&lt;&gt;$G247))),$F247-$G247=$J247-$K247),Reglas!$B$6,0)</x:f>
        <x:v>0</x:v>
      </x:c>
      <x:c r="S247" t="n">
        <x:f>IF(AND(AND(AND(ISNUMBER($F247),ISNUMBER($G247),$H247=$L247),$I247=$M247,NOT(AND($I247="Penales",$F247&lt;&gt;$G247))),$F247=$J247),Reglas!$B$7,0)</x:f>
        <x:v>0</x:v>
      </x:c>
      <x:c r="T247" t="n">
        <x:f>IF(AND(AND(AND(ISNUMBER($F247),ISNUMBER($G247),$H247=$L247),$I247=$M247,NOT(AND($I247="Penales",$F247&lt;&gt;$G247))),$G247=$K247),Reglas!$B$8,0)</x:f>
        <x:v>0</x:v>
      </x:c>
      <x:c r="U247" t="n">
        <x:f>SUM(N247:T247)</x:f>
        <x:v>0</x:v>
      </x:c>
      <x:c r="V247" t="str">
        <x:f>IF($W247="Sin respuesta","Sin envio",IF($U247&gt;0,"OK","Sin puntos"))</x:f>
        <x:v>Sin envio</x:v>
      </x:c>
      <x:c r="W247" t="str">
        <x:v>Sin respuesta</x:v>
      </x:c>
    </x:row>
    <x:row r="248" ht="15" hidden="0" customHeight="1">
      <x:c r="A248" t="str">
        <x:v>4tos</x:v>
      </x:c>
      <x:c r="B248" t="str">
        <x:v>QF4</x:v>
      </x:c>
      <x:c r="C248" t="str">
        <x:v>Jesús</x:v>
      </x:c>
      <x:c r="D248" t="str">
        <x:v>Argentina</x:v>
      </x:c>
      <x:c r="E248" t="str">
        <x:v>Suiza</x:v>
      </x:c>
      <x:c r="F248" t="n">
        <x:v>2</x:v>
      </x:c>
      <x:c r="G248" t="n">
        <x:v>1</x:v>
      </x:c>
      <x:c r="H248" t="str">
        <x:v>Argentina</x:v>
      </x:c>
      <x:c r="I248" t="str">
        <x:v>90 minutos</x:v>
      </x:c>
      <x:c r="J248" t="n">
        <x:v>3</x:v>
      </x:c>
      <x:c r="K248" t="n">
        <x:v>1</x:v>
      </x:c>
      <x:c r="L248" t="str">
        <x:v>Argentina</x:v>
      </x:c>
      <x:c r="M248" t="str">
        <x:v>Suplementario</x:v>
      </x:c>
      <x:c r="N248" t="n">
        <x:f>IF(AND(AND(ISNUMBER($F248),ISNUMBER($G248),$H248=$L248),IF($I248="90 minutos",IF($F248&gt;$G248,"A",IF($G248&gt;$F248,"B","E")),"E")=IF($M248="90 minutos",IF($J248&gt;$K248,"A",IF($K248&gt;$J248,"B","E")),"E")),Reglas!$B$2,0)</x:f>
        <x:v>0</x:v>
      </x:c>
      <x:c r="O248" t="n">
        <x:f>IF(AND(ISNUMBER($F248),ISNUMBER($G248),$H248=$L248),Reglas!$B$3,0)</x:f>
        <x:v>3</x:v>
      </x:c>
      <x:c r="P248" t="n">
        <x:f>IF(AND(AND(ISNUMBER($F248),ISNUMBER($G248),$H248=$L248),$I248=$M248),Reglas!$B$4,0)</x:f>
        <x:v>0</x:v>
      </x:c>
      <x:c r="Q248" t="n">
        <x:f>IF(AND(AND(AND(ISNUMBER($F248),ISNUMBER($G248),$H248=$L248),$I248=$M248,NOT(AND($I248="Penales",$F248&lt;&gt;$G248))),$F248=$J248,$G248=$K248),Reglas!$B$5,0)</x:f>
        <x:v>0</x:v>
      </x:c>
      <x:c r="R248" t="n">
        <x:f>IF(AND(AND(AND(ISNUMBER($F248),ISNUMBER($G248),$H248=$L248),$I248=$M248,NOT(AND($I248="Penales",$F248&lt;&gt;$G248))),$F248-$G248=$J248-$K248),Reglas!$B$6,0)</x:f>
        <x:v>0</x:v>
      </x:c>
      <x:c r="S248" t="n">
        <x:f>IF(AND(AND(AND(ISNUMBER($F248),ISNUMBER($G248),$H248=$L248),$I248=$M248,NOT(AND($I248="Penales",$F248&lt;&gt;$G248))),$F248=$J248),Reglas!$B$7,0)</x:f>
        <x:v>0</x:v>
      </x:c>
      <x:c r="T248" t="n">
        <x:f>IF(AND(AND(AND(ISNUMBER($F248),ISNUMBER($G248),$H248=$L248),$I248=$M248,NOT(AND($I248="Penales",$F248&lt;&gt;$G248))),$G248=$K248),Reglas!$B$8,0)</x:f>
        <x:v>0</x:v>
      </x:c>
      <x:c r="U248" t="n">
        <x:f>SUM(N248:T248)</x:f>
        <x:v>3</x:v>
      </x:c>
      <x:c r="V248" t="str">
        <x:f>IF($W248="Sin respuesta","Sin envio",IF($U248&gt;0,"OK","Sin puntos"))</x:f>
        <x:v>OK</x:v>
      </x:c>
      <x:c r="W248" t="str">
        <x:v>Google Forms</x:v>
      </x:c>
    </x:row>
    <x:row r="249" ht="15" hidden="0" customHeight="1">
      <x:c r="A249" t="str">
        <x:v>4tos</x:v>
      </x:c>
      <x:c r="B249" t="str">
        <x:v>QF4</x:v>
      </x:c>
      <x:c r="C249" t="str">
        <x:v>Diego</x:v>
      </x:c>
      <x:c r="D249" t="str">
        <x:v>Argentina</x:v>
      </x:c>
      <x:c r="E249" t="str">
        <x:v>Suiza</x:v>
      </x:c>
      <x:c r="F249" t="n">
        <x:v>2</x:v>
      </x:c>
      <x:c r="G249" t="n">
        <x:v>0</x:v>
      </x:c>
      <x:c r="H249" t="str">
        <x:v>Argentina</x:v>
      </x:c>
      <x:c r="I249" t="str">
        <x:v>90 minutos</x:v>
      </x:c>
      <x:c r="J249" t="n">
        <x:v>3</x:v>
      </x:c>
      <x:c r="K249" t="n">
        <x:v>1</x:v>
      </x:c>
      <x:c r="L249" t="str">
        <x:v>Argentina</x:v>
      </x:c>
      <x:c r="M249" t="str">
        <x:v>Suplementario</x:v>
      </x:c>
      <x:c r="N249" t="n">
        <x:f>IF(AND(AND(ISNUMBER($F249),ISNUMBER($G249),$H249=$L249),IF($I249="90 minutos",IF($F249&gt;$G249,"A",IF($G249&gt;$F249,"B","E")),"E")=IF($M249="90 minutos",IF($J249&gt;$K249,"A",IF($K249&gt;$J249,"B","E")),"E")),Reglas!$B$2,0)</x:f>
        <x:v>0</x:v>
      </x:c>
      <x:c r="O249" t="n">
        <x:f>IF(AND(ISNUMBER($F249),ISNUMBER($G249),$H249=$L249),Reglas!$B$3,0)</x:f>
        <x:v>3</x:v>
      </x:c>
      <x:c r="P249" t="n">
        <x:f>IF(AND(AND(ISNUMBER($F249),ISNUMBER($G249),$H249=$L249),$I249=$M249),Reglas!$B$4,0)</x:f>
        <x:v>0</x:v>
      </x:c>
      <x:c r="Q249" t="n">
        <x:f>IF(AND(AND(AND(ISNUMBER($F249),ISNUMBER($G249),$H249=$L249),$I249=$M249,NOT(AND($I249="Penales",$F249&lt;&gt;$G249))),$F249=$J249,$G249=$K249),Reglas!$B$5,0)</x:f>
        <x:v>0</x:v>
      </x:c>
      <x:c r="R249" t="n">
        <x:f>IF(AND(AND(AND(ISNUMBER($F249),ISNUMBER($G249),$H249=$L249),$I249=$M249,NOT(AND($I249="Penales",$F249&lt;&gt;$G249))),$F249-$G249=$J249-$K249),Reglas!$B$6,0)</x:f>
        <x:v>0</x:v>
      </x:c>
      <x:c r="S249" t="n">
        <x:f>IF(AND(AND(AND(ISNUMBER($F249),ISNUMBER($G249),$H249=$L249),$I249=$M249,NOT(AND($I249="Penales",$F249&lt;&gt;$G249))),$F249=$J249),Reglas!$B$7,0)</x:f>
        <x:v>0</x:v>
      </x:c>
      <x:c r="T249" t="n">
        <x:f>IF(AND(AND(AND(ISNUMBER($F249),ISNUMBER($G249),$H249=$L249),$I249=$M249,NOT(AND($I249="Penales",$F249&lt;&gt;$G249))),$G249=$K249),Reglas!$B$8,0)</x:f>
        <x:v>0</x:v>
      </x:c>
      <x:c r="U249" t="n">
        <x:f>SUM(N249:T249)</x:f>
        <x:v>3</x:v>
      </x:c>
      <x:c r="V249" t="str">
        <x:f>IF($W249="Sin respuesta","Sin envio",IF($U249&gt;0,"OK","Sin puntos"))</x:f>
        <x:v>OK</x:v>
      </x:c>
      <x:c r="W249" t="str">
        <x:v>Google Forms</x:v>
      </x:c>
    </x:row>
    <x:row r="250" ht="15" hidden="0" customHeight="1">
      <x:c r="A250" t="str">
        <x:v>4tos</x:v>
      </x:c>
      <x:c r="B250" t="str">
        <x:v>QF4</x:v>
      </x:c>
      <x:c r="C250" t="str">
        <x:v>Aldo</x:v>
      </x:c>
      <x:c r="D250" t="str">
        <x:v>Argentina</x:v>
      </x:c>
      <x:c r="E250" t="str">
        <x:v>Suiza</x:v>
      </x:c>
      <x:c r="F250" t="n">
        <x:v>2</x:v>
      </x:c>
      <x:c r="G250" t="n">
        <x:v>1</x:v>
      </x:c>
      <x:c r="H250" t="str">
        <x:v>Argentina</x:v>
      </x:c>
      <x:c r="I250" t="str">
        <x:v>90 minutos</x:v>
      </x:c>
      <x:c r="J250" t="n">
        <x:v>3</x:v>
      </x:c>
      <x:c r="K250" t="n">
        <x:v>1</x:v>
      </x:c>
      <x:c r="L250" t="str">
        <x:v>Argentina</x:v>
      </x:c>
      <x:c r="M250" t="str">
        <x:v>Suplementario</x:v>
      </x:c>
      <x:c r="N250" t="n">
        <x:f>IF(AND(AND(ISNUMBER($F250),ISNUMBER($G250),$H250=$L250),IF($I250="90 minutos",IF($F250&gt;$G250,"A",IF($G250&gt;$F250,"B","E")),"E")=IF($M250="90 minutos",IF($J250&gt;$K250,"A",IF($K250&gt;$J250,"B","E")),"E")),Reglas!$B$2,0)</x:f>
        <x:v>0</x:v>
      </x:c>
      <x:c r="O250" t="n">
        <x:f>IF(AND(ISNUMBER($F250),ISNUMBER($G250),$H250=$L250),Reglas!$B$3,0)</x:f>
        <x:v>3</x:v>
      </x:c>
      <x:c r="P250" t="n">
        <x:f>IF(AND(AND(ISNUMBER($F250),ISNUMBER($G250),$H250=$L250),$I250=$M250),Reglas!$B$4,0)</x:f>
        <x:v>0</x:v>
      </x:c>
      <x:c r="Q250" t="n">
        <x:f>IF(AND(AND(AND(ISNUMBER($F250),ISNUMBER($G250),$H250=$L250),$I250=$M250,NOT(AND($I250="Penales",$F250&lt;&gt;$G250))),$F250=$J250,$G250=$K250),Reglas!$B$5,0)</x:f>
        <x:v>0</x:v>
      </x:c>
      <x:c r="R250" t="n">
        <x:f>IF(AND(AND(AND(ISNUMBER($F250),ISNUMBER($G250),$H250=$L250),$I250=$M250,NOT(AND($I250="Penales",$F250&lt;&gt;$G250))),$F250-$G250=$J250-$K250),Reglas!$B$6,0)</x:f>
        <x:v>0</x:v>
      </x:c>
      <x:c r="S250" t="n">
        <x:f>IF(AND(AND(AND(ISNUMBER($F250),ISNUMBER($G250),$H250=$L250),$I250=$M250,NOT(AND($I250="Penales",$F250&lt;&gt;$G250))),$F250=$J250),Reglas!$B$7,0)</x:f>
        <x:v>0</x:v>
      </x:c>
      <x:c r="T250" t="n">
        <x:f>IF(AND(AND(AND(ISNUMBER($F250),ISNUMBER($G250),$H250=$L250),$I250=$M250,NOT(AND($I250="Penales",$F250&lt;&gt;$G250))),$G250=$K250),Reglas!$B$8,0)</x:f>
        <x:v>0</x:v>
      </x:c>
      <x:c r="U250" t="n">
        <x:f>SUM(N250:T250)</x:f>
        <x:v>3</x:v>
      </x:c>
      <x:c r="V250" t="str">
        <x:f>IF($W250="Sin respuesta","Sin envio",IF($U250&gt;0,"OK","Sin puntos"))</x:f>
        <x:v>OK</x:v>
      </x:c>
      <x:c r="W250" t="str">
        <x:v>Google Forms</x:v>
      </x:c>
    </x:row>
    <x:row r="251" ht="15" hidden="0" customHeight="1">
      <x:c r="A251" t="str">
        <x:v>4tos</x:v>
      </x:c>
      <x:c r="B251" t="str">
        <x:v>QF4</x:v>
      </x:c>
      <x:c r="C251" t="str">
        <x:v>Javier</x:v>
      </x:c>
      <x:c r="D251" t="str">
        <x:v>Argentina</x:v>
      </x:c>
      <x:c r="E251" t="str">
        <x:v>Suiza</x:v>
      </x:c>
      <x:c r="F251" t="n">
        <x:v>3</x:v>
      </x:c>
      <x:c r="G251" t="n">
        <x:v>0</x:v>
      </x:c>
      <x:c r="H251" t="str">
        <x:v>Argentina</x:v>
      </x:c>
      <x:c r="I251" t="str">
        <x:v>90 minutos</x:v>
      </x:c>
      <x:c r="J251" t="n">
        <x:v>3</x:v>
      </x:c>
      <x:c r="K251" t="n">
        <x:v>1</x:v>
      </x:c>
      <x:c r="L251" t="str">
        <x:v>Argentina</x:v>
      </x:c>
      <x:c r="M251" t="str">
        <x:v>Suplementario</x:v>
      </x:c>
      <x:c r="N251" t="n">
        <x:f>IF(AND(AND(ISNUMBER($F251),ISNUMBER($G251),$H251=$L251),IF($I251="90 minutos",IF($F251&gt;$G251,"A",IF($G251&gt;$F251,"B","E")),"E")=IF($M251="90 minutos",IF($J251&gt;$K251,"A",IF($K251&gt;$J251,"B","E")),"E")),Reglas!$B$2,0)</x:f>
        <x:v>0</x:v>
      </x:c>
      <x:c r="O251" t="n">
        <x:f>IF(AND(ISNUMBER($F251),ISNUMBER($G251),$H251=$L251),Reglas!$B$3,0)</x:f>
        <x:v>3</x:v>
      </x:c>
      <x:c r="P251" t="n">
        <x:f>IF(AND(AND(ISNUMBER($F251),ISNUMBER($G251),$H251=$L251),$I251=$M251),Reglas!$B$4,0)</x:f>
        <x:v>0</x:v>
      </x:c>
      <x:c r="Q251" t="n">
        <x:f>IF(AND(AND(AND(ISNUMBER($F251),ISNUMBER($G251),$H251=$L251),$I251=$M251,NOT(AND($I251="Penales",$F251&lt;&gt;$G251))),$F251=$J251,$G251=$K251),Reglas!$B$5,0)</x:f>
        <x:v>0</x:v>
      </x:c>
      <x:c r="R251" t="n">
        <x:f>IF(AND(AND(AND(ISNUMBER($F251),ISNUMBER($G251),$H251=$L251),$I251=$M251,NOT(AND($I251="Penales",$F251&lt;&gt;$G251))),$F251-$G251=$J251-$K251),Reglas!$B$6,0)</x:f>
        <x:v>0</x:v>
      </x:c>
      <x:c r="S251" t="n">
        <x:f>IF(AND(AND(AND(ISNUMBER($F251),ISNUMBER($G251),$H251=$L251),$I251=$M251,NOT(AND($I251="Penales",$F251&lt;&gt;$G251))),$F251=$J251),Reglas!$B$7,0)</x:f>
        <x:v>0</x:v>
      </x:c>
      <x:c r="T251" t="n">
        <x:f>IF(AND(AND(AND(ISNUMBER($F251),ISNUMBER($G251),$H251=$L251),$I251=$M251,NOT(AND($I251="Penales",$F251&lt;&gt;$G251))),$G251=$K251),Reglas!$B$8,0)</x:f>
        <x:v>0</x:v>
      </x:c>
      <x:c r="U251" t="n">
        <x:f>SUM(N251:T251)</x:f>
        <x:v>3</x:v>
      </x:c>
      <x:c r="V251" t="str">
        <x:f>IF($W251="Sin respuesta","Sin envio",IF($U251&gt;0,"OK","Sin puntos"))</x:f>
        <x:v>OK</x:v>
      </x:c>
      <x:c r="W251" t="str">
        <x:v>Google Forms</x:v>
      </x:c>
    </x:row>
    <x:row r="252" ht="15" hidden="0" customHeight="1">
      <x:c r="A252" t="str">
        <x:v>4tos</x:v>
      </x:c>
      <x:c r="B252" t="str">
        <x:v>QF4</x:v>
      </x:c>
      <x:c r="C252" t="str">
        <x:v>Gino</x:v>
      </x:c>
      <x:c r="D252" t="str">
        <x:v>Argentina</x:v>
      </x:c>
      <x:c r="E252" t="str">
        <x:v>Suiza</x:v>
      </x:c>
      <x:c r="F252" t="n">
        <x:v>2</x:v>
      </x:c>
      <x:c r="G252" t="n">
        <x:v>0</x:v>
      </x:c>
      <x:c r="H252" t="str">
        <x:v>Argentina</x:v>
      </x:c>
      <x:c r="I252" t="str">
        <x:v>90 minutos</x:v>
      </x:c>
      <x:c r="J252" t="n">
        <x:v>3</x:v>
      </x:c>
      <x:c r="K252" t="n">
        <x:v>1</x:v>
      </x:c>
      <x:c r="L252" t="str">
        <x:v>Argentina</x:v>
      </x:c>
      <x:c r="M252" t="str">
        <x:v>Suplementario</x:v>
      </x:c>
      <x:c r="N252" t="n">
        <x:f>IF(AND(AND(ISNUMBER($F252),ISNUMBER($G252),$H252=$L252),IF($I252="90 minutos",IF($F252&gt;$G252,"A",IF($G252&gt;$F252,"B","E")),"E")=IF($M252="90 minutos",IF($J252&gt;$K252,"A",IF($K252&gt;$J252,"B","E")),"E")),Reglas!$B$2,0)</x:f>
        <x:v>0</x:v>
      </x:c>
      <x:c r="O252" t="n">
        <x:f>IF(AND(ISNUMBER($F252),ISNUMBER($G252),$H252=$L252),Reglas!$B$3,0)</x:f>
        <x:v>3</x:v>
      </x:c>
      <x:c r="P252" t="n">
        <x:f>IF(AND(AND(ISNUMBER($F252),ISNUMBER($G252),$H252=$L252),$I252=$M252),Reglas!$B$4,0)</x:f>
        <x:v>0</x:v>
      </x:c>
      <x:c r="Q252" t="n">
        <x:f>IF(AND(AND(AND(ISNUMBER($F252),ISNUMBER($G252),$H252=$L252),$I252=$M252,NOT(AND($I252="Penales",$F252&lt;&gt;$G252))),$F252=$J252,$G252=$K252),Reglas!$B$5,0)</x:f>
        <x:v>0</x:v>
      </x:c>
      <x:c r="R252" t="n">
        <x:f>IF(AND(AND(AND(ISNUMBER($F252),ISNUMBER($G252),$H252=$L252),$I252=$M252,NOT(AND($I252="Penales",$F252&lt;&gt;$G252))),$F252-$G252=$J252-$K252),Reglas!$B$6,0)</x:f>
        <x:v>0</x:v>
      </x:c>
      <x:c r="S252" t="n">
        <x:f>IF(AND(AND(AND(ISNUMBER($F252),ISNUMBER($G252),$H252=$L252),$I252=$M252,NOT(AND($I252="Penales",$F252&lt;&gt;$G252))),$F252=$J252),Reglas!$B$7,0)</x:f>
        <x:v>0</x:v>
      </x:c>
      <x:c r="T252" t="n">
        <x:f>IF(AND(AND(AND(ISNUMBER($F252),ISNUMBER($G252),$H252=$L252),$I252=$M252,NOT(AND($I252="Penales",$F252&lt;&gt;$G252))),$G252=$K252),Reglas!$B$8,0)</x:f>
        <x:v>0</x:v>
      </x:c>
      <x:c r="U252" t="n">
        <x:f>SUM(N252:T252)</x:f>
        <x:v>3</x:v>
      </x:c>
      <x:c r="V252" t="str">
        <x:f>IF($W252="Sin respuesta","Sin envio",IF($U252&gt;0,"OK","Sin puntos"))</x:f>
        <x:v>OK</x:v>
      </x:c>
      <x:c r="W252" t="str">
        <x:v>Google Forms</x:v>
      </x:c>
    </x:row>
    <x:row r="253" ht="15" hidden="0" customHeight="1">
      <x:c r="A253" t="str">
        <x:v>4tos</x:v>
      </x:c>
      <x:c r="B253" t="str">
        <x:v>QF4</x:v>
      </x:c>
      <x:c r="C253" t="str">
        <x:v>Manuel</x:v>
      </x:c>
      <x:c r="D253" t="str">
        <x:v>Argentina</x:v>
      </x:c>
      <x:c r="E253" t="str">
        <x:v>Suiza</x:v>
      </x:c>
      <x:c r="F253" t="n">
        <x:v>1</x:v>
      </x:c>
      <x:c r="G253" t="n">
        <x:v>2</x:v>
      </x:c>
      <x:c r="H253" t="str">
        <x:v>Suiza</x:v>
      </x:c>
      <x:c r="I253" t="str">
        <x:v>90 minutos</x:v>
      </x:c>
      <x:c r="J253" t="n">
        <x:v>3</x:v>
      </x:c>
      <x:c r="K253" t="n">
        <x:v>1</x:v>
      </x:c>
      <x:c r="L253" t="str">
        <x:v>Argentina</x:v>
      </x:c>
      <x:c r="M253" t="str">
        <x:v>Suplementario</x:v>
      </x:c>
      <x:c r="N253" t="n">
        <x:f>IF(AND(AND(ISNUMBER($F253),ISNUMBER($G253),$H253=$L253),IF($I253="90 minutos",IF($F253&gt;$G253,"A",IF($G253&gt;$F253,"B","E")),"E")=IF($M253="90 minutos",IF($J253&gt;$K253,"A",IF($K253&gt;$J253,"B","E")),"E")),Reglas!$B$2,0)</x:f>
        <x:v>0</x:v>
      </x:c>
      <x:c r="O253" t="n">
        <x:f>IF(AND(ISNUMBER($F253),ISNUMBER($G253),$H253=$L253),Reglas!$B$3,0)</x:f>
        <x:v>0</x:v>
      </x:c>
      <x:c r="P253" t="n">
        <x:f>IF(AND(AND(ISNUMBER($F253),ISNUMBER($G253),$H253=$L253),$I253=$M253),Reglas!$B$4,0)</x:f>
        <x:v>0</x:v>
      </x:c>
      <x:c r="Q253" t="n">
        <x:f>IF(AND(AND(AND(ISNUMBER($F253),ISNUMBER($G253),$H253=$L253),$I253=$M253,NOT(AND($I253="Penales",$F253&lt;&gt;$G253))),$F253=$J253,$G253=$K253),Reglas!$B$5,0)</x:f>
        <x:v>0</x:v>
      </x:c>
      <x:c r="R253" t="n">
        <x:f>IF(AND(AND(AND(ISNUMBER($F253),ISNUMBER($G253),$H253=$L253),$I253=$M253,NOT(AND($I253="Penales",$F253&lt;&gt;$G253))),$F253-$G253=$J253-$K253),Reglas!$B$6,0)</x:f>
        <x:v>0</x:v>
      </x:c>
      <x:c r="S253" t="n">
        <x:f>IF(AND(AND(AND(ISNUMBER($F253),ISNUMBER($G253),$H253=$L253),$I253=$M253,NOT(AND($I253="Penales",$F253&lt;&gt;$G253))),$F253=$J253),Reglas!$B$7,0)</x:f>
        <x:v>0</x:v>
      </x:c>
      <x:c r="T253" t="n">
        <x:f>IF(AND(AND(AND(ISNUMBER($F253),ISNUMBER($G253),$H253=$L253),$I253=$M253,NOT(AND($I253="Penales",$F253&lt;&gt;$G253))),$G253=$K253),Reglas!$B$8,0)</x:f>
        <x:v>0</x:v>
      </x:c>
      <x:c r="U253" t="n">
        <x:f>SUM(N253:T253)</x:f>
        <x:v>0</x:v>
      </x:c>
      <x:c r="V253" t="str">
        <x:f>IF($W253="Sin respuesta","Sin envio",IF($U253&gt;0,"OK","Sin puntos"))</x:f>
        <x:v>Sin puntos</x:v>
      </x:c>
      <x:c r="W253" t="str">
        <x:v>Google Forms</x:v>
      </x:c>
    </x:row>
    <x:row r="254" ht="15" hidden="0" customHeight="1">
      <x:c r="A254" t="str">
        <x:v>4tos</x:v>
      </x:c>
      <x:c r="B254" t="str">
        <x:v>QF4</x:v>
      </x:c>
      <x:c r="C254" t="str">
        <x:v>Jorge</x:v>
      </x:c>
      <x:c r="D254" t="str">
        <x:v>Argentina</x:v>
      </x:c>
      <x:c r="E254" t="str">
        <x:v>Suiza</x:v>
      </x:c>
      <x:c r="F254" t="n">
        <x:v>3</x:v>
      </x:c>
      <x:c r="G254" t="n">
        <x:v>1</x:v>
      </x:c>
      <x:c r="H254" t="str">
        <x:v>Argentina</x:v>
      </x:c>
      <x:c r="I254" t="str">
        <x:v>90 minutos</x:v>
      </x:c>
      <x:c r="J254" t="n">
        <x:v>3</x:v>
      </x:c>
      <x:c r="K254" t="n">
        <x:v>1</x:v>
      </x:c>
      <x:c r="L254" t="str">
        <x:v>Argentina</x:v>
      </x:c>
      <x:c r="M254" t="str">
        <x:v>Suplementario</x:v>
      </x:c>
      <x:c r="N254" t="n">
        <x:f>IF(AND(AND(ISNUMBER($F254),ISNUMBER($G254),$H254=$L254),IF($I254="90 minutos",IF($F254&gt;$G254,"A",IF($G254&gt;$F254,"B","E")),"E")=IF($M254="90 minutos",IF($J254&gt;$K254,"A",IF($K254&gt;$J254,"B","E")),"E")),Reglas!$B$2,0)</x:f>
        <x:v>0</x:v>
      </x:c>
      <x:c r="O254" t="n">
        <x:f>IF(AND(ISNUMBER($F254),ISNUMBER($G254),$H254=$L254),Reglas!$B$3,0)</x:f>
        <x:v>3</x:v>
      </x:c>
      <x:c r="P254" t="n">
        <x:f>IF(AND(AND(ISNUMBER($F254),ISNUMBER($G254),$H254=$L254),$I254=$M254),Reglas!$B$4,0)</x:f>
        <x:v>0</x:v>
      </x:c>
      <x:c r="Q254" t="n">
        <x:f>IF(AND(AND(AND(ISNUMBER($F254),ISNUMBER($G254),$H254=$L254),$I254=$M254,NOT(AND($I254="Penales",$F254&lt;&gt;$G254))),$F254=$J254,$G254=$K254),Reglas!$B$5,0)</x:f>
        <x:v>0</x:v>
      </x:c>
      <x:c r="R254" t="n">
        <x:f>IF(AND(AND(AND(ISNUMBER($F254),ISNUMBER($G254),$H254=$L254),$I254=$M254,NOT(AND($I254="Penales",$F254&lt;&gt;$G254))),$F254-$G254=$J254-$K254),Reglas!$B$6,0)</x:f>
        <x:v>0</x:v>
      </x:c>
      <x:c r="S254" t="n">
        <x:f>IF(AND(AND(AND(ISNUMBER($F254),ISNUMBER($G254),$H254=$L254),$I254=$M254,NOT(AND($I254="Penales",$F254&lt;&gt;$G254))),$F254=$J254),Reglas!$B$7,0)</x:f>
        <x:v>0</x:v>
      </x:c>
      <x:c r="T254" t="n">
        <x:f>IF(AND(AND(AND(ISNUMBER($F254),ISNUMBER($G254),$H254=$L254),$I254=$M254,NOT(AND($I254="Penales",$F254&lt;&gt;$G254))),$G254=$K254),Reglas!$B$8,0)</x:f>
        <x:v>0</x:v>
      </x:c>
      <x:c r="U254" t="n">
        <x:f>SUM(N254:T254)</x:f>
        <x:v>3</x:v>
      </x:c>
      <x:c r="V254" t="str">
        <x:f>IF($W254="Sin respuesta","Sin envio",IF($U254&gt;0,"OK","Sin puntos"))</x:f>
        <x:v>OK</x:v>
      </x:c>
      <x:c r="W254" t="str">
        <x:v>Google Forms</x:v>
      </x:c>
    </x:row>
    <x:row r="255" ht="15" hidden="0" customHeight="1">
      <x:c r="A255" t="str">
        <x:v>4tos</x:v>
      </x:c>
      <x:c r="B255" t="str">
        <x:v>QF4</x:v>
      </x:c>
      <x:c r="C255" t="str">
        <x:v>Daniel</x:v>
      </x:c>
      <x:c r="D255" t="str">
        <x:v>Argentina</x:v>
      </x:c>
      <x:c r="E255" t="str">
        <x:v>Suiza</x:v>
      </x:c>
      <x:c r="F255" t="n">
        <x:v>2</x:v>
      </x:c>
      <x:c r="G255" t="n">
        <x:v>2</x:v>
      </x:c>
      <x:c r="H255" t="str">
        <x:v>Argentina</x:v>
      </x:c>
      <x:c r="I255" t="str">
        <x:v>Penales</x:v>
      </x:c>
      <x:c r="J255" t="n">
        <x:v>3</x:v>
      </x:c>
      <x:c r="K255" t="n">
        <x:v>1</x:v>
      </x:c>
      <x:c r="L255" t="str">
        <x:v>Argentina</x:v>
      </x:c>
      <x:c r="M255" t="str">
        <x:v>Suplementario</x:v>
      </x:c>
      <x:c r="N255" t="n">
        <x:f>IF(AND(AND(ISNUMBER($F255),ISNUMBER($G255),$H255=$L255),IF($I255="90 minutos",IF($F255&gt;$G255,"A",IF($G255&gt;$F255,"B","E")),"E")=IF($M255="90 minutos",IF($J255&gt;$K255,"A",IF($K255&gt;$J255,"B","E")),"E")),Reglas!$B$2,0)</x:f>
        <x:v>5</x:v>
      </x:c>
      <x:c r="O255" t="n">
        <x:f>IF(AND(ISNUMBER($F255),ISNUMBER($G255),$H255=$L255),Reglas!$B$3,0)</x:f>
        <x:v>3</x:v>
      </x:c>
      <x:c r="P255" t="n">
        <x:f>IF(AND(AND(ISNUMBER($F255),ISNUMBER($G255),$H255=$L255),$I255=$M255),Reglas!$B$4,0)</x:f>
        <x:v>0</x:v>
      </x:c>
      <x:c r="Q255" t="n">
        <x:f>IF(AND(AND(AND(ISNUMBER($F255),ISNUMBER($G255),$H255=$L255),$I255=$M255,NOT(AND($I255="Penales",$F255&lt;&gt;$G255))),$F255=$J255,$G255=$K255),Reglas!$B$5,0)</x:f>
        <x:v>0</x:v>
      </x:c>
      <x:c r="R255" t="n">
        <x:f>IF(AND(AND(AND(ISNUMBER($F255),ISNUMBER($G255),$H255=$L255),$I255=$M255,NOT(AND($I255="Penales",$F255&lt;&gt;$G255))),$F255-$G255=$J255-$K255),Reglas!$B$6,0)</x:f>
        <x:v>0</x:v>
      </x:c>
      <x:c r="S255" t="n">
        <x:f>IF(AND(AND(AND(ISNUMBER($F255),ISNUMBER($G255),$H255=$L255),$I255=$M255,NOT(AND($I255="Penales",$F255&lt;&gt;$G255))),$F255=$J255),Reglas!$B$7,0)</x:f>
        <x:v>0</x:v>
      </x:c>
      <x:c r="T255" t="n">
        <x:f>IF(AND(AND(AND(ISNUMBER($F255),ISNUMBER($G255),$H255=$L255),$I255=$M255,NOT(AND($I255="Penales",$F255&lt;&gt;$G255))),$G255=$K255),Reglas!$B$8,0)</x:f>
        <x:v>0</x:v>
      </x:c>
      <x:c r="U255" t="n">
        <x:f>SUM(N255:T255)</x:f>
        <x:v>8</x:v>
      </x:c>
      <x:c r="V255" t="str">
        <x:f>IF($W255="Sin respuesta","Sin envio",IF($U255&gt;0,"OK","Sin puntos"))</x:f>
        <x:v>OK</x:v>
      </x:c>
      <x:c r="W255" t="str">
        <x:v>Google Forms</x:v>
      </x:c>
    </x:row>
    <x:row r="256" ht="15" hidden="0" customHeight="1">
      <x:c r="A256" t="str">
        <x:v>4tos</x:v>
      </x:c>
      <x:c r="B256" t="str">
        <x:v>QF4</x:v>
      </x:c>
      <x:c r="C256" t="str">
        <x:v>Arthur</x:v>
      </x:c>
      <x:c r="D256" t="str">
        <x:v>Argentina</x:v>
      </x:c>
      <x:c r="E256" t="str">
        <x:v>Suiza</x:v>
      </x:c>
      <x:c r="F256" t="n">
        <x:v>2</x:v>
      </x:c>
      <x:c r="G256" t="n">
        <x:v>0</x:v>
      </x:c>
      <x:c r="H256" t="str">
        <x:v>Argentina</x:v>
      </x:c>
      <x:c r="I256" t="str">
        <x:v>90 minutos</x:v>
      </x:c>
      <x:c r="J256" t="n">
        <x:v>3</x:v>
      </x:c>
      <x:c r="K256" t="n">
        <x:v>1</x:v>
      </x:c>
      <x:c r="L256" t="str">
        <x:v>Argentina</x:v>
      </x:c>
      <x:c r="M256" t="str">
        <x:v>Suplementario</x:v>
      </x:c>
      <x:c r="N256" t="n">
        <x:f>IF(AND(AND(ISNUMBER($F256),ISNUMBER($G256),$H256=$L256),IF($I256="90 minutos",IF($F256&gt;$G256,"A",IF($G256&gt;$F256,"B","E")),"E")=IF($M256="90 minutos",IF($J256&gt;$K256,"A",IF($K256&gt;$J256,"B","E")),"E")),Reglas!$B$2,0)</x:f>
        <x:v>0</x:v>
      </x:c>
      <x:c r="O256" t="n">
        <x:f>IF(AND(ISNUMBER($F256),ISNUMBER($G256),$H256=$L256),Reglas!$B$3,0)</x:f>
        <x:v>3</x:v>
      </x:c>
      <x:c r="P256" t="n">
        <x:f>IF(AND(AND(ISNUMBER($F256),ISNUMBER($G256),$H256=$L256),$I256=$M256),Reglas!$B$4,0)</x:f>
        <x:v>0</x:v>
      </x:c>
      <x:c r="Q256" t="n">
        <x:f>IF(AND(AND(AND(ISNUMBER($F256),ISNUMBER($G256),$H256=$L256),$I256=$M256,NOT(AND($I256="Penales",$F256&lt;&gt;$G256))),$F256=$J256,$G256=$K256),Reglas!$B$5,0)</x:f>
        <x:v>0</x:v>
      </x:c>
      <x:c r="R256" t="n">
        <x:f>IF(AND(AND(AND(ISNUMBER($F256),ISNUMBER($G256),$H256=$L256),$I256=$M256,NOT(AND($I256="Penales",$F256&lt;&gt;$G256))),$F256-$G256=$J256-$K256),Reglas!$B$6,0)</x:f>
        <x:v>0</x:v>
      </x:c>
      <x:c r="S256" t="n">
        <x:f>IF(AND(AND(AND(ISNUMBER($F256),ISNUMBER($G256),$H256=$L256),$I256=$M256,NOT(AND($I256="Penales",$F256&lt;&gt;$G256))),$F256=$J256),Reglas!$B$7,0)</x:f>
        <x:v>0</x:v>
      </x:c>
      <x:c r="T256" t="n">
        <x:f>IF(AND(AND(AND(ISNUMBER($F256),ISNUMBER($G256),$H256=$L256),$I256=$M256,NOT(AND($I256="Penales",$F256&lt;&gt;$G256))),$G256=$K256),Reglas!$B$8,0)</x:f>
        <x:v>0</x:v>
      </x:c>
      <x:c r="U256" t="n">
        <x:f>SUM(N256:T256)</x:f>
        <x:v>3</x:v>
      </x:c>
      <x:c r="V256" t="str">
        <x:f>IF($W256="Sin respuesta","Sin envio",IF($U256&gt;0,"OK","Sin puntos"))</x:f>
        <x:v>OK</x:v>
      </x:c>
      <x:c r="W256" t="str">
        <x:v>Google Forms</x:v>
      </x:c>
    </x:row>
    <x:row r="257" ht="15" hidden="0" customHeight="1">
      <x:c r="A257" t="str">
        <x:v>4tos</x:v>
      </x:c>
      <x:c r="B257" t="str">
        <x:v>QF4</x:v>
      </x:c>
      <x:c r="C257" t="str">
        <x:v>José Luis</x:v>
      </x:c>
      <x:c r="D257" t="str">
        <x:v>Argentina</x:v>
      </x:c>
      <x:c r="E257" t="str">
        <x:v>Suiza</x:v>
      </x:c>
      <x:c r="F257"/>
      <x:c r="G257"/>
      <x:c r="H257" t="str">
        <x:v>Sin envio</x:v>
      </x:c>
      <x:c r="I257" t="str">
        <x:v>Sin envio</x:v>
      </x:c>
      <x:c r="J257" t="n">
        <x:v>3</x:v>
      </x:c>
      <x:c r="K257" t="n">
        <x:v>1</x:v>
      </x:c>
      <x:c r="L257" t="str">
        <x:v>Argentina</x:v>
      </x:c>
      <x:c r="M257" t="str">
        <x:v>Suplementario</x:v>
      </x:c>
      <x:c r="N257" t="n">
        <x:f>IF(AND(AND(ISNUMBER($F257),ISNUMBER($G257),$H257=$L257),IF($I257="90 minutos",IF($F257&gt;$G257,"A",IF($G257&gt;$F257,"B","E")),"E")=IF($M257="90 minutos",IF($J257&gt;$K257,"A",IF($K257&gt;$J257,"B","E")),"E")),Reglas!$B$2,0)</x:f>
        <x:v>0</x:v>
      </x:c>
      <x:c r="O257" t="n">
        <x:f>IF(AND(ISNUMBER($F257),ISNUMBER($G257),$H257=$L257),Reglas!$B$3,0)</x:f>
        <x:v>0</x:v>
      </x:c>
      <x:c r="P257" t="n">
        <x:f>IF(AND(AND(ISNUMBER($F257),ISNUMBER($G257),$H257=$L257),$I257=$M257),Reglas!$B$4,0)</x:f>
        <x:v>0</x:v>
      </x:c>
      <x:c r="Q257" t="n">
        <x:f>IF(AND(AND(AND(ISNUMBER($F257),ISNUMBER($G257),$H257=$L257),$I257=$M257,NOT(AND($I257="Penales",$F257&lt;&gt;$G257))),$F257=$J257,$G257=$K257),Reglas!$B$5,0)</x:f>
        <x:v>0</x:v>
      </x:c>
      <x:c r="R257" t="n">
        <x:f>IF(AND(AND(AND(ISNUMBER($F257),ISNUMBER($G257),$H257=$L257),$I257=$M257,NOT(AND($I257="Penales",$F257&lt;&gt;$G257))),$F257-$G257=$J257-$K257),Reglas!$B$6,0)</x:f>
        <x:v>0</x:v>
      </x:c>
      <x:c r="S257" t="n">
        <x:f>IF(AND(AND(AND(ISNUMBER($F257),ISNUMBER($G257),$H257=$L257),$I257=$M257,NOT(AND($I257="Penales",$F257&lt;&gt;$G257))),$F257=$J257),Reglas!$B$7,0)</x:f>
        <x:v>0</x:v>
      </x:c>
      <x:c r="T257" t="n">
        <x:f>IF(AND(AND(AND(ISNUMBER($F257),ISNUMBER($G257),$H257=$L257),$I257=$M257,NOT(AND($I257="Penales",$F257&lt;&gt;$G257))),$G257=$K257),Reglas!$B$8,0)</x:f>
        <x:v>0</x:v>
      </x:c>
      <x:c r="U257" t="n">
        <x:f>SUM(N257:T257)</x:f>
        <x:v>0</x:v>
      </x:c>
      <x:c r="V257" t="str">
        <x:f>IF($W257="Sin respuesta","Sin envio",IF($U257&gt;0,"OK","Sin puntos"))</x:f>
        <x:v>Sin envio</x:v>
      </x:c>
      <x:c r="W257" t="str">
        <x:v>Sin respuesta</x:v>
      </x:c>
    </x:row>
    <x:row r="258" ht="15" hidden="0" customHeight="1">
      <x:c r="A258" t="str">
        <x:v>4tos</x:v>
      </x:c>
      <x:c r="B258" t="str">
        <x:v>QF4</x:v>
      </x:c>
      <x:c r="C258" t="str">
        <x:v>Marcelo</x:v>
      </x:c>
      <x:c r="D258" t="str">
        <x:v>Argentina</x:v>
      </x:c>
      <x:c r="E258" t="str">
        <x:v>Suiza</x:v>
      </x:c>
      <x:c r="F258"/>
      <x:c r="G258"/>
      <x:c r="H258" t="str">
        <x:v>Sin envio</x:v>
      </x:c>
      <x:c r="I258" t="str">
        <x:v>Sin envio</x:v>
      </x:c>
      <x:c r="J258" t="n">
        <x:v>3</x:v>
      </x:c>
      <x:c r="K258" t="n">
        <x:v>1</x:v>
      </x:c>
      <x:c r="L258" t="str">
        <x:v>Argentina</x:v>
      </x:c>
      <x:c r="M258" t="str">
        <x:v>Suplementario</x:v>
      </x:c>
      <x:c r="N258" t="n">
        <x:f>IF(AND(AND(ISNUMBER($F258),ISNUMBER($G258),$H258=$L258),IF($I258="90 minutos",IF($F258&gt;$G258,"A",IF($G258&gt;$F258,"B","E")),"E")=IF($M258="90 minutos",IF($J258&gt;$K258,"A",IF($K258&gt;$J258,"B","E")),"E")),Reglas!$B$2,0)</x:f>
        <x:v>0</x:v>
      </x:c>
      <x:c r="O258" t="n">
        <x:f>IF(AND(ISNUMBER($F258),ISNUMBER($G258),$H258=$L258),Reglas!$B$3,0)</x:f>
        <x:v>0</x:v>
      </x:c>
      <x:c r="P258" t="n">
        <x:f>IF(AND(AND(ISNUMBER($F258),ISNUMBER($G258),$H258=$L258),$I258=$M258),Reglas!$B$4,0)</x:f>
        <x:v>0</x:v>
      </x:c>
      <x:c r="Q258" t="n">
        <x:f>IF(AND(AND(AND(ISNUMBER($F258),ISNUMBER($G258),$H258=$L258),$I258=$M258,NOT(AND($I258="Penales",$F258&lt;&gt;$G258))),$F258=$J258,$G258=$K258),Reglas!$B$5,0)</x:f>
        <x:v>0</x:v>
      </x:c>
      <x:c r="R258" t="n">
        <x:f>IF(AND(AND(AND(ISNUMBER($F258),ISNUMBER($G258),$H258=$L258),$I258=$M258,NOT(AND($I258="Penales",$F258&lt;&gt;$G258))),$F258-$G258=$J258-$K258),Reglas!$B$6,0)</x:f>
        <x:v>0</x:v>
      </x:c>
      <x:c r="S258" t="n">
        <x:f>IF(AND(AND(AND(ISNUMBER($F258),ISNUMBER($G258),$H258=$L258),$I258=$M258,NOT(AND($I258="Penales",$F258&lt;&gt;$G258))),$F258=$J258),Reglas!$B$7,0)</x:f>
        <x:v>0</x:v>
      </x:c>
      <x:c r="T258" t="n">
        <x:f>IF(AND(AND(AND(ISNUMBER($F258),ISNUMBER($G258),$H258=$L258),$I258=$M258,NOT(AND($I258="Penales",$F258&lt;&gt;$G258))),$G258=$K258),Reglas!$B$8,0)</x:f>
        <x:v>0</x:v>
      </x:c>
      <x:c r="U258" t="n">
        <x:f>SUM(N258:T258)</x:f>
        <x:v>0</x:v>
      </x:c>
      <x:c r="V258" t="str">
        <x:f>IF($W258="Sin respuesta","Sin envio",IF($U258&gt;0,"OK","Sin puntos"))</x:f>
        <x:v>Sin envio</x:v>
      </x:c>
      <x:c r="W258" t="str">
        <x:v>Sin respuesta</x:v>
      </x:c>
    </x:row>
    <x:row r="259" ht="15" hidden="0" customHeight="1">
      <x:c r="A259" t="str">
        <x:v>4tos</x:v>
      </x:c>
      <x:c r="B259" t="str">
        <x:v>QF4</x:v>
      </x:c>
      <x:c r="C259" t="str">
        <x:v>Anny</x:v>
      </x:c>
      <x:c r="D259" t="str">
        <x:v>Argentina</x:v>
      </x:c>
      <x:c r="E259" t="str">
        <x:v>Suiza</x:v>
      </x:c>
      <x:c r="F259" t="n">
        <x:v>2</x:v>
      </x:c>
      <x:c r="G259" t="n">
        <x:v>1</x:v>
      </x:c>
      <x:c r="H259" t="str">
        <x:v>Argentina</x:v>
      </x:c>
      <x:c r="I259" t="str">
        <x:v>90 minutos</x:v>
      </x:c>
      <x:c r="J259" t="n">
        <x:v>3</x:v>
      </x:c>
      <x:c r="K259" t="n">
        <x:v>1</x:v>
      </x:c>
      <x:c r="L259" t="str">
        <x:v>Argentina</x:v>
      </x:c>
      <x:c r="M259" t="str">
        <x:v>Suplementario</x:v>
      </x:c>
      <x:c r="N259" t="n">
        <x:f>IF(AND(AND(ISNUMBER($F259),ISNUMBER($G259),$H259=$L259),IF($I259="90 minutos",IF($F259&gt;$G259,"A",IF($G259&gt;$F259,"B","E")),"E")=IF($M259="90 minutos",IF($J259&gt;$K259,"A",IF($K259&gt;$J259,"B","E")),"E")),Reglas!$B$2,0)</x:f>
        <x:v>0</x:v>
      </x:c>
      <x:c r="O259" t="n">
        <x:f>IF(AND(ISNUMBER($F259),ISNUMBER($G259),$H259=$L259),Reglas!$B$3,0)</x:f>
        <x:v>3</x:v>
      </x:c>
      <x:c r="P259" t="n">
        <x:f>IF(AND(AND(ISNUMBER($F259),ISNUMBER($G259),$H259=$L259),$I259=$M259),Reglas!$B$4,0)</x:f>
        <x:v>0</x:v>
      </x:c>
      <x:c r="Q259" t="n">
        <x:f>IF(AND(AND(AND(ISNUMBER($F259),ISNUMBER($G259),$H259=$L259),$I259=$M259,NOT(AND($I259="Penales",$F259&lt;&gt;$G259))),$F259=$J259,$G259=$K259),Reglas!$B$5,0)</x:f>
        <x:v>0</x:v>
      </x:c>
      <x:c r="R259" t="n">
        <x:f>IF(AND(AND(AND(ISNUMBER($F259),ISNUMBER($G259),$H259=$L259),$I259=$M259,NOT(AND($I259="Penales",$F259&lt;&gt;$G259))),$F259-$G259=$J259-$K259),Reglas!$B$6,0)</x:f>
        <x:v>0</x:v>
      </x:c>
      <x:c r="S259" t="n">
        <x:f>IF(AND(AND(AND(ISNUMBER($F259),ISNUMBER($G259),$H259=$L259),$I259=$M259,NOT(AND($I259="Penales",$F259&lt;&gt;$G259))),$F259=$J259),Reglas!$B$7,0)</x:f>
        <x:v>0</x:v>
      </x:c>
      <x:c r="T259" t="n">
        <x:f>IF(AND(AND(AND(ISNUMBER($F259),ISNUMBER($G259),$H259=$L259),$I259=$M259,NOT(AND($I259="Penales",$F259&lt;&gt;$G259))),$G259=$K259),Reglas!$B$8,0)</x:f>
        <x:v>0</x:v>
      </x:c>
      <x:c r="U259" t="n">
        <x:f>SUM(N259:T259)</x:f>
        <x:v>3</x:v>
      </x:c>
      <x:c r="V259" t="str">
        <x:f>IF($W259="Sin respuesta","Sin envio",IF($U259&gt;0,"OK","Sin puntos"))</x:f>
        <x:v>OK</x:v>
      </x:c>
      <x:c r="W259" t="str">
        <x:v>Google Forms</x:v>
      </x:c>
    </x:row>
    <x:row r="260" ht="15" hidden="0" customHeight="1">
      <x:c r="A260" t="str">
        <x:v>4tos</x:v>
      </x:c>
      <x:c r="B260" t="str">
        <x:v>QF4</x:v>
      </x:c>
      <x:c r="C260" t="str">
        <x:v>Moisés</x:v>
      </x:c>
      <x:c r="D260" t="str">
        <x:v>Argentina</x:v>
      </x:c>
      <x:c r="E260" t="str">
        <x:v>Suiza</x:v>
      </x:c>
      <x:c r="F260" t="n">
        <x:v>3</x:v>
      </x:c>
      <x:c r="G260" t="n">
        <x:v>1</x:v>
      </x:c>
      <x:c r="H260" t="str">
        <x:v>Argentina</x:v>
      </x:c>
      <x:c r="I260" t="str">
        <x:v>Suplementario</x:v>
      </x:c>
      <x:c r="J260" t="n">
        <x:v>3</x:v>
      </x:c>
      <x:c r="K260" t="n">
        <x:v>1</x:v>
      </x:c>
      <x:c r="L260" t="str">
        <x:v>Argentina</x:v>
      </x:c>
      <x:c r="M260" t="str">
        <x:v>Suplementario</x:v>
      </x:c>
      <x:c r="N260" t="n">
        <x:f>IF(AND(AND(ISNUMBER($F260),ISNUMBER($G260),$H260=$L260),IF($I260="90 minutos",IF($F260&gt;$G260,"A",IF($G260&gt;$F260,"B","E")),"E")=IF($M260="90 minutos",IF($J260&gt;$K260,"A",IF($K260&gt;$J260,"B","E")),"E")),Reglas!$B$2,0)</x:f>
        <x:v>5</x:v>
      </x:c>
      <x:c r="O260" t="n">
        <x:f>IF(AND(ISNUMBER($F260),ISNUMBER($G260),$H260=$L260),Reglas!$B$3,0)</x:f>
        <x:v>3</x:v>
      </x:c>
      <x:c r="P260" t="n">
        <x:f>IF(AND(AND(ISNUMBER($F260),ISNUMBER($G260),$H260=$L260),$I260=$M260),Reglas!$B$4,0)</x:f>
        <x:v>2</x:v>
      </x:c>
      <x:c r="Q260" t="n">
        <x:f>IF(AND(AND(AND(ISNUMBER($F260),ISNUMBER($G260),$H260=$L260),$I260=$M260,NOT(AND($I260="Penales",$F260&lt;&gt;$G260))),$F260=$J260,$G260=$K260),Reglas!$B$5,0)</x:f>
        <x:v>4</x:v>
      </x:c>
      <x:c r="R260" t="n">
        <x:f>IF(AND(AND(AND(ISNUMBER($F260),ISNUMBER($G260),$H260=$L260),$I260=$M260,NOT(AND($I260="Penales",$F260&lt;&gt;$G260))),$F260-$G260=$J260-$K260),Reglas!$B$6,0)</x:f>
        <x:v>2</x:v>
      </x:c>
      <x:c r="S260" t="n">
        <x:f>IF(AND(AND(AND(ISNUMBER($F260),ISNUMBER($G260),$H260=$L260),$I260=$M260,NOT(AND($I260="Penales",$F260&lt;&gt;$G260))),$F260=$J260),Reglas!$B$7,0)</x:f>
        <x:v>1</x:v>
      </x:c>
      <x:c r="T260" t="n">
        <x:f>IF(AND(AND(AND(ISNUMBER($F260),ISNUMBER($G260),$H260=$L260),$I260=$M260,NOT(AND($I260="Penales",$F260&lt;&gt;$G260))),$G260=$K260),Reglas!$B$8,0)</x:f>
        <x:v>1</x:v>
      </x:c>
      <x:c r="U260" t="n">
        <x:f>SUM(N260:T260)</x:f>
        <x:v>18</x:v>
      </x:c>
      <x:c r="V260" t="str">
        <x:f>IF($W260="Sin respuesta","Sin envio",IF($U260&gt;0,"OK","Sin puntos"))</x:f>
        <x:v>OK</x:v>
      </x:c>
      <x:c r="W260" t="str">
        <x:v>Google Forms</x:v>
      </x:c>
    </x:row>
    <x:row r="261" ht="15" hidden="0" customHeight="1">
      <x:c r="A261" t="str">
        <x:v>4tos</x:v>
      </x:c>
      <x:c r="B261" t="str">
        <x:v>QF4</x:v>
      </x:c>
      <x:c r="C261" t="str">
        <x:v>Alex</x:v>
      </x:c>
      <x:c r="D261" t="str">
        <x:v>Argentina</x:v>
      </x:c>
      <x:c r="E261" t="str">
        <x:v>Suiza</x:v>
      </x:c>
      <x:c r="F261" t="n">
        <x:v>3</x:v>
      </x:c>
      <x:c r="G261" t="n">
        <x:v>1</x:v>
      </x:c>
      <x:c r="H261" t="str">
        <x:v>Argentina</x:v>
      </x:c>
      <x:c r="I261" t="str">
        <x:v>90 minutos</x:v>
      </x:c>
      <x:c r="J261" t="n">
        <x:v>3</x:v>
      </x:c>
      <x:c r="K261" t="n">
        <x:v>1</x:v>
      </x:c>
      <x:c r="L261" t="str">
        <x:v>Argentina</x:v>
      </x:c>
      <x:c r="M261" t="str">
        <x:v>Suplementario</x:v>
      </x:c>
      <x:c r="N261" t="n">
        <x:f>IF(AND(AND(ISNUMBER($F261),ISNUMBER($G261),$H261=$L261),IF($I261="90 minutos",IF($F261&gt;$G261,"A",IF($G261&gt;$F261,"B","E")),"E")=IF($M261="90 minutos",IF($J261&gt;$K261,"A",IF($K261&gt;$J261,"B","E")),"E")),Reglas!$B$2,0)</x:f>
        <x:v>0</x:v>
      </x:c>
      <x:c r="O261" t="n">
        <x:f>IF(AND(ISNUMBER($F261),ISNUMBER($G261),$H261=$L261),Reglas!$B$3,0)</x:f>
        <x:v>3</x:v>
      </x:c>
      <x:c r="P261" t="n">
        <x:f>IF(AND(AND(ISNUMBER($F261),ISNUMBER($G261),$H261=$L261),$I261=$M261),Reglas!$B$4,0)</x:f>
        <x:v>0</x:v>
      </x:c>
      <x:c r="Q261" t="n">
        <x:f>IF(AND(AND(AND(ISNUMBER($F261),ISNUMBER($G261),$H261=$L261),$I261=$M261,NOT(AND($I261="Penales",$F261&lt;&gt;$G261))),$F261=$J261,$G261=$K261),Reglas!$B$5,0)</x:f>
        <x:v>0</x:v>
      </x:c>
      <x:c r="R261" t="n">
        <x:f>IF(AND(AND(AND(ISNUMBER($F261),ISNUMBER($G261),$H261=$L261),$I261=$M261,NOT(AND($I261="Penales",$F261&lt;&gt;$G261))),$F261-$G261=$J261-$K261),Reglas!$B$6,0)</x:f>
        <x:v>0</x:v>
      </x:c>
      <x:c r="S261" t="n">
        <x:f>IF(AND(AND(AND(ISNUMBER($F261),ISNUMBER($G261),$H261=$L261),$I261=$M261,NOT(AND($I261="Penales",$F261&lt;&gt;$G261))),$F261=$J261),Reglas!$B$7,0)</x:f>
        <x:v>0</x:v>
      </x:c>
      <x:c r="T261" t="n">
        <x:f>IF(AND(AND(AND(ISNUMBER($F261),ISNUMBER($G261),$H261=$L261),$I261=$M261,NOT(AND($I261="Penales",$F261&lt;&gt;$G261))),$G261=$K261),Reglas!$B$8,0)</x:f>
        <x:v>0</x:v>
      </x:c>
      <x:c r="U261" t="n">
        <x:f>SUM(N261:T261)</x:f>
        <x:v>3</x:v>
      </x:c>
      <x:c r="V261" t="str">
        <x:f>IF($W261="Sin respuesta","Sin envio",IF($U261&gt;0,"OK","Sin puntos"))</x:f>
        <x:v>OK</x:v>
      </x:c>
      <x:c r="W261" t="str">
        <x:v>Google Forms</x:v>
      </x:c>
    </x:row>
    <x:row r="262" ht="15" hidden="0" customHeight="1">
      <x:c r="A262" t="str">
        <x:v>4tos</x:v>
      </x:c>
      <x:c r="B262" t="str">
        <x:v>QF4</x:v>
      </x:c>
      <x:c r="C262" t="str">
        <x:v>Omar</x:v>
      </x:c>
      <x:c r="D262" t="str">
        <x:v>Argentina</x:v>
      </x:c>
      <x:c r="E262" t="str">
        <x:v>Suiza</x:v>
      </x:c>
      <x:c r="F262"/>
      <x:c r="G262"/>
      <x:c r="H262" t="str">
        <x:v>Sin envio</x:v>
      </x:c>
      <x:c r="I262" t="str">
        <x:v>Sin envio</x:v>
      </x:c>
      <x:c r="J262" t="n">
        <x:v>3</x:v>
      </x:c>
      <x:c r="K262" t="n">
        <x:v>1</x:v>
      </x:c>
      <x:c r="L262" t="str">
        <x:v>Argentina</x:v>
      </x:c>
      <x:c r="M262" t="str">
        <x:v>Suplementario</x:v>
      </x:c>
      <x:c r="N262" t="n">
        <x:f>IF(AND(AND(ISNUMBER($F262),ISNUMBER($G262),$H262=$L262),IF($I262="90 minutos",IF($F262&gt;$G262,"A",IF($G262&gt;$F262,"B","E")),"E")=IF($M262="90 minutos",IF($J262&gt;$K262,"A",IF($K262&gt;$J262,"B","E")),"E")),Reglas!$B$2,0)</x:f>
        <x:v>0</x:v>
      </x:c>
      <x:c r="O262" t="n">
        <x:f>IF(AND(ISNUMBER($F262),ISNUMBER($G262),$H262=$L262),Reglas!$B$3,0)</x:f>
        <x:v>0</x:v>
      </x:c>
      <x:c r="P262" t="n">
        <x:f>IF(AND(AND(ISNUMBER($F262),ISNUMBER($G262),$H262=$L262),$I262=$M262),Reglas!$B$4,0)</x:f>
        <x:v>0</x:v>
      </x:c>
      <x:c r="Q262" t="n">
        <x:f>IF(AND(AND(AND(ISNUMBER($F262),ISNUMBER($G262),$H262=$L262),$I262=$M262,NOT(AND($I262="Penales",$F262&lt;&gt;$G262))),$F262=$J262,$G262=$K262),Reglas!$B$5,0)</x:f>
        <x:v>0</x:v>
      </x:c>
      <x:c r="R262" t="n">
        <x:f>IF(AND(AND(AND(ISNUMBER($F262),ISNUMBER($G262),$H262=$L262),$I262=$M262,NOT(AND($I262="Penales",$F262&lt;&gt;$G262))),$F262-$G262=$J262-$K262),Reglas!$B$6,0)</x:f>
        <x:v>0</x:v>
      </x:c>
      <x:c r="S262" t="n">
        <x:f>IF(AND(AND(AND(ISNUMBER($F262),ISNUMBER($G262),$H262=$L262),$I262=$M262,NOT(AND($I262="Penales",$F262&lt;&gt;$G262))),$F262=$J262),Reglas!$B$7,0)</x:f>
        <x:v>0</x:v>
      </x:c>
      <x:c r="T262" t="n">
        <x:f>IF(AND(AND(AND(ISNUMBER($F262),ISNUMBER($G262),$H262=$L262),$I262=$M262,NOT(AND($I262="Penales",$F262&lt;&gt;$G262))),$G262=$K262),Reglas!$B$8,0)</x:f>
        <x:v>0</x:v>
      </x:c>
      <x:c r="U262" t="n">
        <x:f>SUM(N262:T262)</x:f>
        <x:v>0</x:v>
      </x:c>
      <x:c r="V262" t="str">
        <x:f>IF($W262="Sin respuesta","Sin envio",IF($U262&gt;0,"OK","Sin puntos"))</x:f>
        <x:v>Sin envio</x:v>
      </x:c>
      <x:c r="W262" t="str">
        <x:v>Sin respuesta</x:v>
      </x:c>
    </x:row>
    <x:row r="263" ht="15" hidden="0" customHeight="1">
      <x:c r="A263" t="str">
        <x:v>4tos</x:v>
      </x:c>
      <x:c r="B263" t="str">
        <x:v>QF4</x:v>
      </x:c>
      <x:c r="C263" t="str">
        <x:v>Fernando</x:v>
      </x:c>
      <x:c r="D263" t="str">
        <x:v>Argentina</x:v>
      </x:c>
      <x:c r="E263" t="str">
        <x:v>Suiza</x:v>
      </x:c>
      <x:c r="F263" t="n">
        <x:v>1</x:v>
      </x:c>
      <x:c r="G263" t="n">
        <x:v>0</x:v>
      </x:c>
      <x:c r="H263" t="str">
        <x:v>Argentina</x:v>
      </x:c>
      <x:c r="I263" t="str">
        <x:v>90 minutos</x:v>
      </x:c>
      <x:c r="J263" t="n">
        <x:v>3</x:v>
      </x:c>
      <x:c r="K263" t="n">
        <x:v>1</x:v>
      </x:c>
      <x:c r="L263" t="str">
        <x:v>Argentina</x:v>
      </x:c>
      <x:c r="M263" t="str">
        <x:v>Suplementario</x:v>
      </x:c>
      <x:c r="N263" t="n">
        <x:f>IF(AND(AND(ISNUMBER($F263),ISNUMBER($G263),$H263=$L263),IF($I263="90 minutos",IF($F263&gt;$G263,"A",IF($G263&gt;$F263,"B","E")),"E")=IF($M263="90 minutos",IF($J263&gt;$K263,"A",IF($K263&gt;$J263,"B","E")),"E")),Reglas!$B$2,0)</x:f>
        <x:v>0</x:v>
      </x:c>
      <x:c r="O263" t="n">
        <x:f>IF(AND(ISNUMBER($F263),ISNUMBER($G263),$H263=$L263),Reglas!$B$3,0)</x:f>
        <x:v>3</x:v>
      </x:c>
      <x:c r="P263" t="n">
        <x:f>IF(AND(AND(ISNUMBER($F263),ISNUMBER($G263),$H263=$L263),$I263=$M263),Reglas!$B$4,0)</x:f>
        <x:v>0</x:v>
      </x:c>
      <x:c r="Q263" t="n">
        <x:f>IF(AND(AND(AND(ISNUMBER($F263),ISNUMBER($G263),$H263=$L263),$I263=$M263,NOT(AND($I263="Penales",$F263&lt;&gt;$G263))),$F263=$J263,$G263=$K263),Reglas!$B$5,0)</x:f>
        <x:v>0</x:v>
      </x:c>
      <x:c r="R263" t="n">
        <x:f>IF(AND(AND(AND(ISNUMBER($F263),ISNUMBER($G263),$H263=$L263),$I263=$M263,NOT(AND($I263="Penales",$F263&lt;&gt;$G263))),$F263-$G263=$J263-$K263),Reglas!$B$6,0)</x:f>
        <x:v>0</x:v>
      </x:c>
      <x:c r="S263" t="n">
        <x:f>IF(AND(AND(AND(ISNUMBER($F263),ISNUMBER($G263),$H263=$L263),$I263=$M263,NOT(AND($I263="Penales",$F263&lt;&gt;$G263))),$F263=$J263),Reglas!$B$7,0)</x:f>
        <x:v>0</x:v>
      </x:c>
      <x:c r="T263" t="n">
        <x:f>IF(AND(AND(AND(ISNUMBER($F263),ISNUMBER($G263),$H263=$L263),$I263=$M263,NOT(AND($I263="Penales",$F263&lt;&gt;$G263))),$G263=$K263),Reglas!$B$8,0)</x:f>
        <x:v>0</x:v>
      </x:c>
      <x:c r="U263" t="n">
        <x:f>SUM(N263:T263)</x:f>
        <x:v>3</x:v>
      </x:c>
      <x:c r="V263" t="str">
        <x:f>IF($W263="Sin respuesta","Sin envio",IF($U263&gt;0,"OK","Sin puntos"))</x:f>
        <x:v>OK</x:v>
      </x:c>
      <x:c r="W263" t="str">
        <x:v>Google Forms</x:v>
      </x:c>
    </x:row>
    <x:row r="264" ht="15" hidden="0" customHeight="1">
      <x:c r="A264" t="str">
        <x:v>4tos</x:v>
      </x:c>
      <x:c r="B264" t="str">
        <x:v>QF4</x:v>
      </x:c>
      <x:c r="C264" t="str">
        <x:v>Diana</x:v>
      </x:c>
      <x:c r="D264" t="str">
        <x:v>Argentina</x:v>
      </x:c>
      <x:c r="E264" t="str">
        <x:v>Suiza</x:v>
      </x:c>
      <x:c r="F264"/>
      <x:c r="G264"/>
      <x:c r="H264" t="str">
        <x:v>Sin envio</x:v>
      </x:c>
      <x:c r="I264" t="str">
        <x:v>Sin envio</x:v>
      </x:c>
      <x:c r="J264" t="n">
        <x:v>3</x:v>
      </x:c>
      <x:c r="K264" t="n">
        <x:v>1</x:v>
      </x:c>
      <x:c r="L264" t="str">
        <x:v>Argentina</x:v>
      </x:c>
      <x:c r="M264" t="str">
        <x:v>Suplementario</x:v>
      </x:c>
      <x:c r="N264" t="n">
        <x:f>IF(AND(AND(ISNUMBER($F264),ISNUMBER($G264),$H264=$L264),IF($I264="90 minutos",IF($F264&gt;$G264,"A",IF($G264&gt;$F264,"B","E")),"E")=IF($M264="90 minutos",IF($J264&gt;$K264,"A",IF($K264&gt;$J264,"B","E")),"E")),Reglas!$B$2,0)</x:f>
        <x:v>0</x:v>
      </x:c>
      <x:c r="O264" t="n">
        <x:f>IF(AND(ISNUMBER($F264),ISNUMBER($G264),$H264=$L264),Reglas!$B$3,0)</x:f>
        <x:v>0</x:v>
      </x:c>
      <x:c r="P264" t="n">
        <x:f>IF(AND(AND(ISNUMBER($F264),ISNUMBER($G264),$H264=$L264),$I264=$M264),Reglas!$B$4,0)</x:f>
        <x:v>0</x:v>
      </x:c>
      <x:c r="Q264" t="n">
        <x:f>IF(AND(AND(AND(ISNUMBER($F264),ISNUMBER($G264),$H264=$L264),$I264=$M264,NOT(AND($I264="Penales",$F264&lt;&gt;$G264))),$F264=$J264,$G264=$K264),Reglas!$B$5,0)</x:f>
        <x:v>0</x:v>
      </x:c>
      <x:c r="R264" t="n">
        <x:f>IF(AND(AND(AND(ISNUMBER($F264),ISNUMBER($G264),$H264=$L264),$I264=$M264,NOT(AND($I264="Penales",$F264&lt;&gt;$G264))),$F264-$G264=$J264-$K264),Reglas!$B$6,0)</x:f>
        <x:v>0</x:v>
      </x:c>
      <x:c r="S264" t="n">
        <x:f>IF(AND(AND(AND(ISNUMBER($F264),ISNUMBER($G264),$H264=$L264),$I264=$M264,NOT(AND($I264="Penales",$F264&lt;&gt;$G264))),$F264=$J264),Reglas!$B$7,0)</x:f>
        <x:v>0</x:v>
      </x:c>
      <x:c r="T264" t="n">
        <x:f>IF(AND(AND(AND(ISNUMBER($F264),ISNUMBER($G264),$H264=$L264),$I264=$M264,NOT(AND($I264="Penales",$F264&lt;&gt;$G264))),$G264=$K264),Reglas!$B$8,0)</x:f>
        <x:v>0</x:v>
      </x:c>
      <x:c r="U264" t="n">
        <x:f>SUM(N264:T264)</x:f>
        <x:v>0</x:v>
      </x:c>
      <x:c r="V264" t="str">
        <x:f>IF($W264="Sin respuesta","Sin envio",IF($U264&gt;0,"OK","Sin puntos"))</x:f>
        <x:v>Sin envio</x:v>
      </x:c>
      <x:c r="W264" t="str">
        <x:v>Sin respuesta</x:v>
      </x:c>
    </x:row>
    <x:row r="265" ht="15" hidden="0" customHeight="1">
      <x:c r="A265" t="str">
        <x:v>4tos</x:v>
      </x:c>
      <x:c r="B265" t="str">
        <x:v>QF4</x:v>
      </x:c>
      <x:c r="C265" t="str">
        <x:v>Óscar</x:v>
      </x:c>
      <x:c r="D265" t="str">
        <x:v>Argentina</x:v>
      </x:c>
      <x:c r="E265" t="str">
        <x:v>Suiza</x:v>
      </x:c>
      <x:c r="F265" t="n">
        <x:v>2</x:v>
      </x:c>
      <x:c r="G265" t="n">
        <x:v>2</x:v>
      </x:c>
      <x:c r="H265" t="str">
        <x:v>Argentina</x:v>
      </x:c>
      <x:c r="I265" t="str">
        <x:v>Penales</x:v>
      </x:c>
      <x:c r="J265" t="n">
        <x:v>3</x:v>
      </x:c>
      <x:c r="K265" t="n">
        <x:v>1</x:v>
      </x:c>
      <x:c r="L265" t="str">
        <x:v>Argentina</x:v>
      </x:c>
      <x:c r="M265" t="str">
        <x:v>Suplementario</x:v>
      </x:c>
      <x:c r="N265" t="n">
        <x:f>IF(AND(AND(ISNUMBER($F265),ISNUMBER($G265),$H265=$L265),IF($I265="90 minutos",IF($F265&gt;$G265,"A",IF($G265&gt;$F265,"B","E")),"E")=IF($M265="90 minutos",IF($J265&gt;$K265,"A",IF($K265&gt;$J265,"B","E")),"E")),Reglas!$B$2,0)</x:f>
        <x:v>5</x:v>
      </x:c>
      <x:c r="O265" t="n">
        <x:f>IF(AND(ISNUMBER($F265),ISNUMBER($G265),$H265=$L265),Reglas!$B$3,0)</x:f>
        <x:v>3</x:v>
      </x:c>
      <x:c r="P265" t="n">
        <x:f>IF(AND(AND(ISNUMBER($F265),ISNUMBER($G265),$H265=$L265),$I265=$M265),Reglas!$B$4,0)</x:f>
        <x:v>0</x:v>
      </x:c>
      <x:c r="Q265" t="n">
        <x:f>IF(AND(AND(AND(ISNUMBER($F265),ISNUMBER($G265),$H265=$L265),$I265=$M265,NOT(AND($I265="Penales",$F265&lt;&gt;$G265))),$F265=$J265,$G265=$K265),Reglas!$B$5,0)</x:f>
        <x:v>0</x:v>
      </x:c>
      <x:c r="R265" t="n">
        <x:f>IF(AND(AND(AND(ISNUMBER($F265),ISNUMBER($G265),$H265=$L265),$I265=$M265,NOT(AND($I265="Penales",$F265&lt;&gt;$G265))),$F265-$G265=$J265-$K265),Reglas!$B$6,0)</x:f>
        <x:v>0</x:v>
      </x:c>
      <x:c r="S265" t="n">
        <x:f>IF(AND(AND(AND(ISNUMBER($F265),ISNUMBER($G265),$H265=$L265),$I265=$M265,NOT(AND($I265="Penales",$F265&lt;&gt;$G265))),$F265=$J265),Reglas!$B$7,0)</x:f>
        <x:v>0</x:v>
      </x:c>
      <x:c r="T265" t="n">
        <x:f>IF(AND(AND(AND(ISNUMBER($F265),ISNUMBER($G265),$H265=$L265),$I265=$M265,NOT(AND($I265="Penales",$F265&lt;&gt;$G265))),$G265=$K265),Reglas!$B$8,0)</x:f>
        <x:v>0</x:v>
      </x:c>
      <x:c r="U265" t="n">
        <x:f>SUM(N265:T265)</x:f>
        <x:v>8</x:v>
      </x:c>
      <x:c r="V265" t="str">
        <x:f>IF($W265="Sin respuesta","Sin envio",IF($U265&gt;0,"OK","Sin puntos"))</x:f>
        <x:v>OK</x:v>
      </x:c>
      <x:c r="W265" t="str">
        <x:v>Google Forms</x:v>
      </x:c>
    </x:row>
    <x:row r="266" ht="15" hidden="0" customHeight="1">
      <x:c r="A266" t="str">
        <x:v>Semifinal</x:v>
      </x:c>
      <x:c r="B266" t="str">
        <x:v>SF1</x:v>
      </x:c>
      <x:c r="C266" t="str">
        <x:v>Freddy</x:v>
      </x:c>
      <x:c r="D266" t="str">
        <x:v>Francia</x:v>
      </x:c>
      <x:c r="E266" t="str">
        <x:v>España</x:v>
      </x:c>
      <x:c r="F266" t="n">
        <x:v>2</x:v>
      </x:c>
      <x:c r="G266" t="n">
        <x:v>1</x:v>
      </x:c>
      <x:c r="H266" t="str">
        <x:v>Francia</x:v>
      </x:c>
      <x:c r="I266" t="str">
        <x:v>90 minutos</x:v>
      </x:c>
      <x:c r="J266" t="n">
        <x:v>0</x:v>
      </x:c>
      <x:c r="K266" t="n">
        <x:v>2</x:v>
      </x:c>
      <x:c r="L266" t="str">
        <x:v>España</x:v>
      </x:c>
      <x:c r="M266" t="str">
        <x:v>90 minutos</x:v>
      </x:c>
      <x:c r="N266" t="n">
        <x:f>IF(AND(AND(ISNUMBER($F266),ISNUMBER($G266),$H266=$L266),IF($I266="90 minutos",IF($F266&gt;$G266,"A",IF($G266&gt;$F266,"B","E")),"E")=IF($M266="90 minutos",IF($J266&gt;$K266,"A",IF($K266&gt;$J266,"B","E")),"E")),Reglas!$B$2,0)</x:f>
        <x:v>0</x:v>
      </x:c>
      <x:c r="O266" t="n">
        <x:f>IF(AND(ISNUMBER($F266),ISNUMBER($G266),$H266=$L266),Reglas!$B$3,0)</x:f>
        <x:v>0</x:v>
      </x:c>
      <x:c r="P266" t="n">
        <x:f>IF(AND(AND(ISNUMBER($F266),ISNUMBER($G266),$H266=$L266),$I266=$M266),Reglas!$B$4,0)</x:f>
        <x:v>0</x:v>
      </x:c>
      <x:c r="Q266" t="n">
        <x:f>IF(AND(AND(AND(ISNUMBER($F266),ISNUMBER($G266),$H266=$L266),$I266=$M266,NOT(AND($I266="Penales",$F266&lt;&gt;$G266))),$F266=$J266,$G266=$K266),Reglas!$B$5,0)</x:f>
        <x:v>0</x:v>
      </x:c>
      <x:c r="R266" t="n">
        <x:f>IF(AND(AND(AND(ISNUMBER($F266),ISNUMBER($G266),$H266=$L266),$I266=$M266,NOT(AND($I266="Penales",$F266&lt;&gt;$G266))),$F266-$G266=$J266-$K266),Reglas!$B$6,0)</x:f>
        <x:v>0</x:v>
      </x:c>
      <x:c r="S266" t="n">
        <x:f>IF(AND(AND(AND(ISNUMBER($F266),ISNUMBER($G266),$H266=$L266),$I266=$M266,NOT(AND($I266="Penales",$F266&lt;&gt;$G266))),$F266=$J266),Reglas!$B$7,0)</x:f>
        <x:v>0</x:v>
      </x:c>
      <x:c r="T266" t="n">
        <x:f>IF(AND(AND(AND(ISNUMBER($F266),ISNUMBER($G266),$H266=$L266),$I266=$M266,NOT(AND($I266="Penales",$F266&lt;&gt;$G266))),$G266=$K266),Reglas!$B$8,0)</x:f>
        <x:v>0</x:v>
      </x:c>
      <x:c r="U266" t="n">
        <x:f>SUM(N266:T266)</x:f>
        <x:v>0</x:v>
      </x:c>
      <x:c r="V266" t="str">
        <x:f>IF($W266="Sin respuesta","Sin envio",IF($U266&gt;0,"OK","Sin puntos"))</x:f>
        <x:v>Sin puntos</x:v>
      </x:c>
      <x:c r="W266" t="str">
        <x:v>Google Forms</x:v>
      </x:c>
    </x:row>
    <x:row r="267" ht="15" hidden="0" customHeight="1">
      <x:c r="A267" t="str">
        <x:v>Semifinal</x:v>
      </x:c>
      <x:c r="B267" t="str">
        <x:v>SF1</x:v>
      </x:c>
      <x:c r="C267" t="str">
        <x:v>Gabriela</x:v>
      </x:c>
      <x:c r="D267" t="str">
        <x:v>Francia</x:v>
      </x:c>
      <x:c r="E267" t="str">
        <x:v>España</x:v>
      </x:c>
      <x:c r="F267" t="n">
        <x:v>2</x:v>
      </x:c>
      <x:c r="G267" t="n">
        <x:v>2</x:v>
      </x:c>
      <x:c r="H267" t="str">
        <x:v>Francia</x:v>
      </x:c>
      <x:c r="I267" t="str">
        <x:v>Penales</x:v>
      </x:c>
      <x:c r="J267" t="n">
        <x:v>0</x:v>
      </x:c>
      <x:c r="K267" t="n">
        <x:v>2</x:v>
      </x:c>
      <x:c r="L267" t="str">
        <x:v>España</x:v>
      </x:c>
      <x:c r="M267" t="str">
        <x:v>90 minutos</x:v>
      </x:c>
      <x:c r="N267" t="n">
        <x:f>IF(AND(AND(ISNUMBER($F267),ISNUMBER($G267),$H267=$L267),IF($I267="90 minutos",IF($F267&gt;$G267,"A",IF($G267&gt;$F267,"B","E")),"E")=IF($M267="90 minutos",IF($J267&gt;$K267,"A",IF($K267&gt;$J267,"B","E")),"E")),Reglas!$B$2,0)</x:f>
        <x:v>0</x:v>
      </x:c>
      <x:c r="O267" t="n">
        <x:f>IF(AND(ISNUMBER($F267),ISNUMBER($G267),$H267=$L267),Reglas!$B$3,0)</x:f>
        <x:v>0</x:v>
      </x:c>
      <x:c r="P267" t="n">
        <x:f>IF(AND(AND(ISNUMBER($F267),ISNUMBER($G267),$H267=$L267),$I267=$M267),Reglas!$B$4,0)</x:f>
        <x:v>0</x:v>
      </x:c>
      <x:c r="Q267" t="n">
        <x:f>IF(AND(AND(AND(ISNUMBER($F267),ISNUMBER($G267),$H267=$L267),$I267=$M267,NOT(AND($I267="Penales",$F267&lt;&gt;$G267))),$F267=$J267,$G267=$K267),Reglas!$B$5,0)</x:f>
        <x:v>0</x:v>
      </x:c>
      <x:c r="R267" t="n">
        <x:f>IF(AND(AND(AND(ISNUMBER($F267),ISNUMBER($G267),$H267=$L267),$I267=$M267,NOT(AND($I267="Penales",$F267&lt;&gt;$G267))),$F267-$G267=$J267-$K267),Reglas!$B$6,0)</x:f>
        <x:v>0</x:v>
      </x:c>
      <x:c r="S267" t="n">
        <x:f>IF(AND(AND(AND(ISNUMBER($F267),ISNUMBER($G267),$H267=$L267),$I267=$M267,NOT(AND($I267="Penales",$F267&lt;&gt;$G267))),$F267=$J267),Reglas!$B$7,0)</x:f>
        <x:v>0</x:v>
      </x:c>
      <x:c r="T267" t="n">
        <x:f>IF(AND(AND(AND(ISNUMBER($F267),ISNUMBER($G267),$H267=$L267),$I267=$M267,NOT(AND($I267="Penales",$F267&lt;&gt;$G267))),$G267=$K267),Reglas!$B$8,0)</x:f>
        <x:v>0</x:v>
      </x:c>
      <x:c r="U267" t="n">
        <x:f>SUM(N267:T267)</x:f>
        <x:v>0</x:v>
      </x:c>
      <x:c r="V267" t="str">
        <x:f>IF($W267="Sin respuesta","Sin envio",IF($U267&gt;0,"OK","Sin puntos"))</x:f>
        <x:v>Sin puntos</x:v>
      </x:c>
      <x:c r="W267" t="str">
        <x:v>Google Forms</x:v>
      </x:c>
    </x:row>
    <x:row r="268" ht="15" hidden="0" customHeight="1">
      <x:c r="A268" t="str">
        <x:v>Semifinal</x:v>
      </x:c>
      <x:c r="B268" t="str">
        <x:v>SF1</x:v>
      </x:c>
      <x:c r="C268" t="str">
        <x:v>Jean</x:v>
      </x:c>
      <x:c r="D268" t="str">
        <x:v>Francia</x:v>
      </x:c>
      <x:c r="E268" t="str">
        <x:v>España</x:v>
      </x:c>
      <x:c r="F268" t="n">
        <x:v>2</x:v>
      </x:c>
      <x:c r="G268" t="n">
        <x:v>1</x:v>
      </x:c>
      <x:c r="H268" t="str">
        <x:v>Francia</x:v>
      </x:c>
      <x:c r="I268" t="str">
        <x:v>90 minutos</x:v>
      </x:c>
      <x:c r="J268" t="n">
        <x:v>0</x:v>
      </x:c>
      <x:c r="K268" t="n">
        <x:v>2</x:v>
      </x:c>
      <x:c r="L268" t="str">
        <x:v>España</x:v>
      </x:c>
      <x:c r="M268" t="str">
        <x:v>90 minutos</x:v>
      </x:c>
      <x:c r="N268" t="n">
        <x:f>IF(AND(AND(ISNUMBER($F268),ISNUMBER($G268),$H268=$L268),IF($I268="90 minutos",IF($F268&gt;$G268,"A",IF($G268&gt;$F268,"B","E")),"E")=IF($M268="90 minutos",IF($J268&gt;$K268,"A",IF($K268&gt;$J268,"B","E")),"E")),Reglas!$B$2,0)</x:f>
        <x:v>0</x:v>
      </x:c>
      <x:c r="O268" t="n">
        <x:f>IF(AND(ISNUMBER($F268),ISNUMBER($G268),$H268=$L268),Reglas!$B$3,0)</x:f>
        <x:v>0</x:v>
      </x:c>
      <x:c r="P268" t="n">
        <x:f>IF(AND(AND(ISNUMBER($F268),ISNUMBER($G268),$H268=$L268),$I268=$M268),Reglas!$B$4,0)</x:f>
        <x:v>0</x:v>
      </x:c>
      <x:c r="Q268" t="n">
        <x:f>IF(AND(AND(AND(ISNUMBER($F268),ISNUMBER($G268),$H268=$L268),$I268=$M268,NOT(AND($I268="Penales",$F268&lt;&gt;$G268))),$F268=$J268,$G268=$K268),Reglas!$B$5,0)</x:f>
        <x:v>0</x:v>
      </x:c>
      <x:c r="R268" t="n">
        <x:f>IF(AND(AND(AND(ISNUMBER($F268),ISNUMBER($G268),$H268=$L268),$I268=$M268,NOT(AND($I268="Penales",$F268&lt;&gt;$G268))),$F268-$G268=$J268-$K268),Reglas!$B$6,0)</x:f>
        <x:v>0</x:v>
      </x:c>
      <x:c r="S268" t="n">
        <x:f>IF(AND(AND(AND(ISNUMBER($F268),ISNUMBER($G268),$H268=$L268),$I268=$M268,NOT(AND($I268="Penales",$F268&lt;&gt;$G268))),$F268=$J268),Reglas!$B$7,0)</x:f>
        <x:v>0</x:v>
      </x:c>
      <x:c r="T268" t="n">
        <x:f>IF(AND(AND(AND(ISNUMBER($F268),ISNUMBER($G268),$H268=$L268),$I268=$M268,NOT(AND($I268="Penales",$F268&lt;&gt;$G268))),$G268=$K268),Reglas!$B$8,0)</x:f>
        <x:v>0</x:v>
      </x:c>
      <x:c r="U268" t="n">
        <x:f>SUM(N268:T268)</x:f>
        <x:v>0</x:v>
      </x:c>
      <x:c r="V268" t="str">
        <x:f>IF($W268="Sin respuesta","Sin envio",IF($U268&gt;0,"OK","Sin puntos"))</x:f>
        <x:v>Sin puntos</x:v>
      </x:c>
      <x:c r="W268" t="str">
        <x:v>Google Forms</x:v>
      </x:c>
    </x:row>
    <x:row r="269" ht="15" hidden="0" customHeight="1">
      <x:c r="A269" t="str">
        <x:v>Semifinal</x:v>
      </x:c>
      <x:c r="B269" t="str">
        <x:v>SF1</x:v>
      </x:c>
      <x:c r="C269" t="str">
        <x:v>Juan</x:v>
      </x:c>
      <x:c r="D269" t="str">
        <x:v>Francia</x:v>
      </x:c>
      <x:c r="E269" t="str">
        <x:v>España</x:v>
      </x:c>
      <x:c r="F269" t="n">
        <x:v>1</x:v>
      </x:c>
      <x:c r="G269" t="n">
        <x:v>2</x:v>
      </x:c>
      <x:c r="H269" t="str">
        <x:v>España</x:v>
      </x:c>
      <x:c r="I269" t="str">
        <x:v>Suplementario</x:v>
      </x:c>
      <x:c r="J269" t="n">
        <x:v>0</x:v>
      </x:c>
      <x:c r="K269" t="n">
        <x:v>2</x:v>
      </x:c>
      <x:c r="L269" t="str">
        <x:v>España</x:v>
      </x:c>
      <x:c r="M269" t="str">
        <x:v>90 minutos</x:v>
      </x:c>
      <x:c r="N269" t="n">
        <x:f>IF(AND(AND(ISNUMBER($F269),ISNUMBER($G269),$H269=$L269),IF($I269="90 minutos",IF($F269&gt;$G269,"A",IF($G269&gt;$F269,"B","E")),"E")=IF($M269="90 minutos",IF($J269&gt;$K269,"A",IF($K269&gt;$J269,"B","E")),"E")),Reglas!$B$2,0)</x:f>
        <x:v>0</x:v>
      </x:c>
      <x:c r="O269" t="n">
        <x:f>IF(AND(ISNUMBER($F269),ISNUMBER($G269),$H269=$L269),Reglas!$B$3,0)</x:f>
        <x:v>3</x:v>
      </x:c>
      <x:c r="P269" t="n">
        <x:f>IF(AND(AND(ISNUMBER($F269),ISNUMBER($G269),$H269=$L269),$I269=$M269),Reglas!$B$4,0)</x:f>
        <x:v>0</x:v>
      </x:c>
      <x:c r="Q269" t="n">
        <x:f>IF(AND(AND(AND(ISNUMBER($F269),ISNUMBER($G269),$H269=$L269),$I269=$M269,NOT(AND($I269="Penales",$F269&lt;&gt;$G269))),$F269=$J269,$G269=$K269),Reglas!$B$5,0)</x:f>
        <x:v>0</x:v>
      </x:c>
      <x:c r="R269" t="n">
        <x:f>IF(AND(AND(AND(ISNUMBER($F269),ISNUMBER($G269),$H269=$L269),$I269=$M269,NOT(AND($I269="Penales",$F269&lt;&gt;$G269))),$F269-$G269=$J269-$K269),Reglas!$B$6,0)</x:f>
        <x:v>0</x:v>
      </x:c>
      <x:c r="S269" t="n">
        <x:f>IF(AND(AND(AND(ISNUMBER($F269),ISNUMBER($G269),$H269=$L269),$I269=$M269,NOT(AND($I269="Penales",$F269&lt;&gt;$G269))),$F269=$J269),Reglas!$B$7,0)</x:f>
        <x:v>0</x:v>
      </x:c>
      <x:c r="T269" t="n">
        <x:f>IF(AND(AND(AND(ISNUMBER($F269),ISNUMBER($G269),$H269=$L269),$I269=$M269,NOT(AND($I269="Penales",$F269&lt;&gt;$G269))),$G269=$K269),Reglas!$B$8,0)</x:f>
        <x:v>0</x:v>
      </x:c>
      <x:c r="U269" t="n">
        <x:f>SUM(N269:T269)</x:f>
        <x:v>3</x:v>
      </x:c>
      <x:c r="V269" t="str">
        <x:f>IF($W269="Sin respuesta","Sin envio",IF($U269&gt;0,"OK","Sin puntos"))</x:f>
        <x:v>OK</x:v>
      </x:c>
      <x:c r="W269" t="str">
        <x:v>Google Forms</x:v>
      </x:c>
    </x:row>
    <x:row r="270" ht="15" hidden="0" customHeight="1">
      <x:c r="A270" t="str">
        <x:v>Semifinal</x:v>
      </x:c>
      <x:c r="B270" t="str">
        <x:v>SF1</x:v>
      </x:c>
      <x:c r="C270" t="str">
        <x:v>Jesús</x:v>
      </x:c>
      <x:c r="D270" t="str">
        <x:v>Francia</x:v>
      </x:c>
      <x:c r="E270" t="str">
        <x:v>España</x:v>
      </x:c>
      <x:c r="F270" t="n">
        <x:v>2</x:v>
      </x:c>
      <x:c r="G270" t="n">
        <x:v>1</x:v>
      </x:c>
      <x:c r="H270" t="str">
        <x:v>Francia</x:v>
      </x:c>
      <x:c r="I270" t="str">
        <x:v>90 minutos</x:v>
      </x:c>
      <x:c r="J270" t="n">
        <x:v>0</x:v>
      </x:c>
      <x:c r="K270" t="n">
        <x:v>2</x:v>
      </x:c>
      <x:c r="L270" t="str">
        <x:v>España</x:v>
      </x:c>
      <x:c r="M270" t="str">
        <x:v>90 minutos</x:v>
      </x:c>
      <x:c r="N270" t="n">
        <x:f>IF(AND(AND(ISNUMBER($F270),ISNUMBER($G270),$H270=$L270),IF($I270="90 minutos",IF($F270&gt;$G270,"A",IF($G270&gt;$F270,"B","E")),"E")=IF($M270="90 minutos",IF($J270&gt;$K270,"A",IF($K270&gt;$J270,"B","E")),"E")),Reglas!$B$2,0)</x:f>
        <x:v>0</x:v>
      </x:c>
      <x:c r="O270" t="n">
        <x:f>IF(AND(ISNUMBER($F270),ISNUMBER($G270),$H270=$L270),Reglas!$B$3,0)</x:f>
        <x:v>0</x:v>
      </x:c>
      <x:c r="P270" t="n">
        <x:f>IF(AND(AND(ISNUMBER($F270),ISNUMBER($G270),$H270=$L270),$I270=$M270),Reglas!$B$4,0)</x:f>
        <x:v>0</x:v>
      </x:c>
      <x:c r="Q270" t="n">
        <x:f>IF(AND(AND(AND(ISNUMBER($F270),ISNUMBER($G270),$H270=$L270),$I270=$M270,NOT(AND($I270="Penales",$F270&lt;&gt;$G270))),$F270=$J270,$G270=$K270),Reglas!$B$5,0)</x:f>
        <x:v>0</x:v>
      </x:c>
      <x:c r="R270" t="n">
        <x:f>IF(AND(AND(AND(ISNUMBER($F270),ISNUMBER($G270),$H270=$L270),$I270=$M270,NOT(AND($I270="Penales",$F270&lt;&gt;$G270))),$F270-$G270=$J270-$K270),Reglas!$B$6,0)</x:f>
        <x:v>0</x:v>
      </x:c>
      <x:c r="S270" t="n">
        <x:f>IF(AND(AND(AND(ISNUMBER($F270),ISNUMBER($G270),$H270=$L270),$I270=$M270,NOT(AND($I270="Penales",$F270&lt;&gt;$G270))),$F270=$J270),Reglas!$B$7,0)</x:f>
        <x:v>0</x:v>
      </x:c>
      <x:c r="T270" t="n">
        <x:f>IF(AND(AND(AND(ISNUMBER($F270),ISNUMBER($G270),$H270=$L270),$I270=$M270,NOT(AND($I270="Penales",$F270&lt;&gt;$G270))),$G270=$K270),Reglas!$B$8,0)</x:f>
        <x:v>0</x:v>
      </x:c>
      <x:c r="U270" t="n">
        <x:f>SUM(N270:T270)</x:f>
        <x:v>0</x:v>
      </x:c>
      <x:c r="V270" t="str">
        <x:f>IF($W270="Sin respuesta","Sin envio",IF($U270&gt;0,"OK","Sin puntos"))</x:f>
        <x:v>Sin puntos</x:v>
      </x:c>
      <x:c r="W270" t="str">
        <x:v>Google Forms</x:v>
      </x:c>
    </x:row>
    <x:row r="271" ht="15" hidden="0" customHeight="1">
      <x:c r="A271" t="str">
        <x:v>Semifinal</x:v>
      </x:c>
      <x:c r="B271" t="str">
        <x:v>SF1</x:v>
      </x:c>
      <x:c r="C271" t="str">
        <x:v>Diego</x:v>
      </x:c>
      <x:c r="D271" t="str">
        <x:v>Francia</x:v>
      </x:c>
      <x:c r="E271" t="str">
        <x:v>España</x:v>
      </x:c>
      <x:c r="F271" t="n">
        <x:v>2</x:v>
      </x:c>
      <x:c r="G271" t="n">
        <x:v>1</x:v>
      </x:c>
      <x:c r="H271" t="str">
        <x:v>Francia</x:v>
      </x:c>
      <x:c r="I271" t="str">
        <x:v>Suplementario</x:v>
      </x:c>
      <x:c r="J271" t="n">
        <x:v>0</x:v>
      </x:c>
      <x:c r="K271" t="n">
        <x:v>2</x:v>
      </x:c>
      <x:c r="L271" t="str">
        <x:v>España</x:v>
      </x:c>
      <x:c r="M271" t="str">
        <x:v>90 minutos</x:v>
      </x:c>
      <x:c r="N271" t="n">
        <x:f>IF(AND(AND(ISNUMBER($F271),ISNUMBER($G271),$H271=$L271),IF($I271="90 minutos",IF($F271&gt;$G271,"A",IF($G271&gt;$F271,"B","E")),"E")=IF($M271="90 minutos",IF($J271&gt;$K271,"A",IF($K271&gt;$J271,"B","E")),"E")),Reglas!$B$2,0)</x:f>
        <x:v>0</x:v>
      </x:c>
      <x:c r="O271" t="n">
        <x:f>IF(AND(ISNUMBER($F271),ISNUMBER($G271),$H271=$L271),Reglas!$B$3,0)</x:f>
        <x:v>0</x:v>
      </x:c>
      <x:c r="P271" t="n">
        <x:f>IF(AND(AND(ISNUMBER($F271),ISNUMBER($G271),$H271=$L271),$I271=$M271),Reglas!$B$4,0)</x:f>
        <x:v>0</x:v>
      </x:c>
      <x:c r="Q271" t="n">
        <x:f>IF(AND(AND(AND(ISNUMBER($F271),ISNUMBER($G271),$H271=$L271),$I271=$M271,NOT(AND($I271="Penales",$F271&lt;&gt;$G271))),$F271=$J271,$G271=$K271),Reglas!$B$5,0)</x:f>
        <x:v>0</x:v>
      </x:c>
      <x:c r="R271" t="n">
        <x:f>IF(AND(AND(AND(ISNUMBER($F271),ISNUMBER($G271),$H271=$L271),$I271=$M271,NOT(AND($I271="Penales",$F271&lt;&gt;$G271))),$F271-$G271=$J271-$K271),Reglas!$B$6,0)</x:f>
        <x:v>0</x:v>
      </x:c>
      <x:c r="S271" t="n">
        <x:f>IF(AND(AND(AND(ISNUMBER($F271),ISNUMBER($G271),$H271=$L271),$I271=$M271,NOT(AND($I271="Penales",$F271&lt;&gt;$G271))),$F271=$J271),Reglas!$B$7,0)</x:f>
        <x:v>0</x:v>
      </x:c>
      <x:c r="T271" t="n">
        <x:f>IF(AND(AND(AND(ISNUMBER($F271),ISNUMBER($G271),$H271=$L271),$I271=$M271,NOT(AND($I271="Penales",$F271&lt;&gt;$G271))),$G271=$K271),Reglas!$B$8,0)</x:f>
        <x:v>0</x:v>
      </x:c>
      <x:c r="U271" t="n">
        <x:f>SUM(N271:T271)</x:f>
        <x:v>0</x:v>
      </x:c>
      <x:c r="V271" t="str">
        <x:f>IF($W271="Sin respuesta","Sin envio",IF($U271&gt;0,"OK","Sin puntos"))</x:f>
        <x:v>Sin puntos</x:v>
      </x:c>
      <x:c r="W271" t="str">
        <x:v>Google Forms</x:v>
      </x:c>
    </x:row>
    <x:row r="272" ht="15" hidden="0" customHeight="1">
      <x:c r="A272" t="str">
        <x:v>Semifinal</x:v>
      </x:c>
      <x:c r="B272" t="str">
        <x:v>SF1</x:v>
      </x:c>
      <x:c r="C272" t="str">
        <x:v>Aldo</x:v>
      </x:c>
      <x:c r="D272" t="str">
        <x:v>Francia</x:v>
      </x:c>
      <x:c r="E272" t="str">
        <x:v>España</x:v>
      </x:c>
      <x:c r="F272" t="n">
        <x:v>0</x:v>
      </x:c>
      <x:c r="G272" t="n">
        <x:v>1</x:v>
      </x:c>
      <x:c r="H272" t="str">
        <x:v>España</x:v>
      </x:c>
      <x:c r="I272" t="str">
        <x:v>Suplementario</x:v>
      </x:c>
      <x:c r="J272" t="n">
        <x:v>0</x:v>
      </x:c>
      <x:c r="K272" t="n">
        <x:v>2</x:v>
      </x:c>
      <x:c r="L272" t="str">
        <x:v>España</x:v>
      </x:c>
      <x:c r="M272" t="str">
        <x:v>90 minutos</x:v>
      </x:c>
      <x:c r="N272" t="n">
        <x:f>IF(AND(AND(ISNUMBER($F272),ISNUMBER($G272),$H272=$L272),IF($I272="90 minutos",IF($F272&gt;$G272,"A",IF($G272&gt;$F272,"B","E")),"E")=IF($M272="90 minutos",IF($J272&gt;$K272,"A",IF($K272&gt;$J272,"B","E")),"E")),Reglas!$B$2,0)</x:f>
        <x:v>0</x:v>
      </x:c>
      <x:c r="O272" t="n">
        <x:f>IF(AND(ISNUMBER($F272),ISNUMBER($G272),$H272=$L272),Reglas!$B$3,0)</x:f>
        <x:v>3</x:v>
      </x:c>
      <x:c r="P272" t="n">
        <x:f>IF(AND(AND(ISNUMBER($F272),ISNUMBER($G272),$H272=$L272),$I272=$M272),Reglas!$B$4,0)</x:f>
        <x:v>0</x:v>
      </x:c>
      <x:c r="Q272" t="n">
        <x:f>IF(AND(AND(AND(ISNUMBER($F272),ISNUMBER($G272),$H272=$L272),$I272=$M272,NOT(AND($I272="Penales",$F272&lt;&gt;$G272))),$F272=$J272,$G272=$K272),Reglas!$B$5,0)</x:f>
        <x:v>0</x:v>
      </x:c>
      <x:c r="R272" t="n">
        <x:f>IF(AND(AND(AND(ISNUMBER($F272),ISNUMBER($G272),$H272=$L272),$I272=$M272,NOT(AND($I272="Penales",$F272&lt;&gt;$G272))),$F272-$G272=$J272-$K272),Reglas!$B$6,0)</x:f>
        <x:v>0</x:v>
      </x:c>
      <x:c r="S272" t="n">
        <x:f>IF(AND(AND(AND(ISNUMBER($F272),ISNUMBER($G272),$H272=$L272),$I272=$M272,NOT(AND($I272="Penales",$F272&lt;&gt;$G272))),$F272=$J272),Reglas!$B$7,0)</x:f>
        <x:v>0</x:v>
      </x:c>
      <x:c r="T272" t="n">
        <x:f>IF(AND(AND(AND(ISNUMBER($F272),ISNUMBER($G272),$H272=$L272),$I272=$M272,NOT(AND($I272="Penales",$F272&lt;&gt;$G272))),$G272=$K272),Reglas!$B$8,0)</x:f>
        <x:v>0</x:v>
      </x:c>
      <x:c r="U272" t="n">
        <x:f>SUM(N272:T272)</x:f>
        <x:v>3</x:v>
      </x:c>
      <x:c r="V272" t="str">
        <x:f>IF($W272="Sin respuesta","Sin envio",IF($U272&gt;0,"OK","Sin puntos"))</x:f>
        <x:v>OK</x:v>
      </x:c>
      <x:c r="W272" t="str">
        <x:v>Google Forms</x:v>
      </x:c>
    </x:row>
    <x:row r="273" ht="15" hidden="0" customHeight="1">
      <x:c r="A273" t="str">
        <x:v>Semifinal</x:v>
      </x:c>
      <x:c r="B273" t="str">
        <x:v>SF1</x:v>
      </x:c>
      <x:c r="C273" t="str">
        <x:v>Javier</x:v>
      </x:c>
      <x:c r="D273" t="str">
        <x:v>Francia</x:v>
      </x:c>
      <x:c r="E273" t="str">
        <x:v>España</x:v>
      </x:c>
      <x:c r="F273"/>
      <x:c r="G273"/>
      <x:c r="H273" t="str">
        <x:v>Sin envio</x:v>
      </x:c>
      <x:c r="I273" t="str">
        <x:v>Sin envio</x:v>
      </x:c>
      <x:c r="J273" t="n">
        <x:v>0</x:v>
      </x:c>
      <x:c r="K273" t="n">
        <x:v>2</x:v>
      </x:c>
      <x:c r="L273" t="str">
        <x:v>España</x:v>
      </x:c>
      <x:c r="M273" t="str">
        <x:v>90 minutos</x:v>
      </x:c>
      <x:c r="N273" t="n">
        <x:f>IF(AND(AND(ISNUMBER($F273),ISNUMBER($G273),$H273=$L273),IF($I273="90 minutos",IF($F273&gt;$G273,"A",IF($G273&gt;$F273,"B","E")),"E")=IF($M273="90 minutos",IF($J273&gt;$K273,"A",IF($K273&gt;$J273,"B","E")),"E")),Reglas!$B$2,0)</x:f>
        <x:v>0</x:v>
      </x:c>
      <x:c r="O273" t="n">
        <x:f>IF(AND(ISNUMBER($F273),ISNUMBER($G273),$H273=$L273),Reglas!$B$3,0)</x:f>
        <x:v>0</x:v>
      </x:c>
      <x:c r="P273" t="n">
        <x:f>IF(AND(AND(ISNUMBER($F273),ISNUMBER($G273),$H273=$L273),$I273=$M273),Reglas!$B$4,0)</x:f>
        <x:v>0</x:v>
      </x:c>
      <x:c r="Q273" t="n">
        <x:f>IF(AND(AND(AND(ISNUMBER($F273),ISNUMBER($G273),$H273=$L273),$I273=$M273,NOT(AND($I273="Penales",$F273&lt;&gt;$G273))),$F273=$J273,$G273=$K273),Reglas!$B$5,0)</x:f>
        <x:v>0</x:v>
      </x:c>
      <x:c r="R273" t="n">
        <x:f>IF(AND(AND(AND(ISNUMBER($F273),ISNUMBER($G273),$H273=$L273),$I273=$M273,NOT(AND($I273="Penales",$F273&lt;&gt;$G273))),$F273-$G273=$J273-$K273),Reglas!$B$6,0)</x:f>
        <x:v>0</x:v>
      </x:c>
      <x:c r="S273" t="n">
        <x:f>IF(AND(AND(AND(ISNUMBER($F273),ISNUMBER($G273),$H273=$L273),$I273=$M273,NOT(AND($I273="Penales",$F273&lt;&gt;$G273))),$F273=$J273),Reglas!$B$7,0)</x:f>
        <x:v>0</x:v>
      </x:c>
      <x:c r="T273" t="n">
        <x:f>IF(AND(AND(AND(ISNUMBER($F273),ISNUMBER($G273),$H273=$L273),$I273=$M273,NOT(AND($I273="Penales",$F273&lt;&gt;$G273))),$G273=$K273),Reglas!$B$8,0)</x:f>
        <x:v>0</x:v>
      </x:c>
      <x:c r="U273" t="n">
        <x:f>SUM(N273:T273)</x:f>
        <x:v>0</x:v>
      </x:c>
      <x:c r="V273" t="str">
        <x:f>IF($W273="Sin respuesta","Sin envio",IF($U273&gt;0,"OK","Sin puntos"))</x:f>
        <x:v>Sin envio</x:v>
      </x:c>
      <x:c r="W273" t="str">
        <x:v>Sin respuesta</x:v>
      </x:c>
    </x:row>
    <x:row r="274" ht="15" hidden="0" customHeight="1">
      <x:c r="A274" t="str">
        <x:v>Semifinal</x:v>
      </x:c>
      <x:c r="B274" t="str">
        <x:v>SF1</x:v>
      </x:c>
      <x:c r="C274" t="str">
        <x:v>Gino</x:v>
      </x:c>
      <x:c r="D274" t="str">
        <x:v>Francia</x:v>
      </x:c>
      <x:c r="E274" t="str">
        <x:v>España</x:v>
      </x:c>
      <x:c r="F274" t="n">
        <x:v>3</x:v>
      </x:c>
      <x:c r="G274" t="n">
        <x:v>1</x:v>
      </x:c>
      <x:c r="H274" t="str">
        <x:v>Francia</x:v>
      </x:c>
      <x:c r="I274" t="str">
        <x:v>Suplementario</x:v>
      </x:c>
      <x:c r="J274" t="n">
        <x:v>0</x:v>
      </x:c>
      <x:c r="K274" t="n">
        <x:v>2</x:v>
      </x:c>
      <x:c r="L274" t="str">
        <x:v>España</x:v>
      </x:c>
      <x:c r="M274" t="str">
        <x:v>90 minutos</x:v>
      </x:c>
      <x:c r="N274" t="n">
        <x:f>IF(AND(AND(ISNUMBER($F274),ISNUMBER($G274),$H274=$L274),IF($I274="90 minutos",IF($F274&gt;$G274,"A",IF($G274&gt;$F274,"B","E")),"E")=IF($M274="90 minutos",IF($J274&gt;$K274,"A",IF($K274&gt;$J274,"B","E")),"E")),Reglas!$B$2,0)</x:f>
        <x:v>0</x:v>
      </x:c>
      <x:c r="O274" t="n">
        <x:f>IF(AND(ISNUMBER($F274),ISNUMBER($G274),$H274=$L274),Reglas!$B$3,0)</x:f>
        <x:v>0</x:v>
      </x:c>
      <x:c r="P274" t="n">
        <x:f>IF(AND(AND(ISNUMBER($F274),ISNUMBER($G274),$H274=$L274),$I274=$M274),Reglas!$B$4,0)</x:f>
        <x:v>0</x:v>
      </x:c>
      <x:c r="Q274" t="n">
        <x:f>IF(AND(AND(AND(ISNUMBER($F274),ISNUMBER($G274),$H274=$L274),$I274=$M274,NOT(AND($I274="Penales",$F274&lt;&gt;$G274))),$F274=$J274,$G274=$K274),Reglas!$B$5,0)</x:f>
        <x:v>0</x:v>
      </x:c>
      <x:c r="R274" t="n">
        <x:f>IF(AND(AND(AND(ISNUMBER($F274),ISNUMBER($G274),$H274=$L274),$I274=$M274,NOT(AND($I274="Penales",$F274&lt;&gt;$G274))),$F274-$G274=$J274-$K274),Reglas!$B$6,0)</x:f>
        <x:v>0</x:v>
      </x:c>
      <x:c r="S274" t="n">
        <x:f>IF(AND(AND(AND(ISNUMBER($F274),ISNUMBER($G274),$H274=$L274),$I274=$M274,NOT(AND($I274="Penales",$F274&lt;&gt;$G274))),$F274=$J274),Reglas!$B$7,0)</x:f>
        <x:v>0</x:v>
      </x:c>
      <x:c r="T274" t="n">
        <x:f>IF(AND(AND(AND(ISNUMBER($F274),ISNUMBER($G274),$H274=$L274),$I274=$M274,NOT(AND($I274="Penales",$F274&lt;&gt;$G274))),$G274=$K274),Reglas!$B$8,0)</x:f>
        <x:v>0</x:v>
      </x:c>
      <x:c r="U274" t="n">
        <x:f>SUM(N274:T274)</x:f>
        <x:v>0</x:v>
      </x:c>
      <x:c r="V274" t="str">
        <x:f>IF($W274="Sin respuesta","Sin envio",IF($U274&gt;0,"OK","Sin puntos"))</x:f>
        <x:v>Sin puntos</x:v>
      </x:c>
      <x:c r="W274" t="str">
        <x:v>Google Forms</x:v>
      </x:c>
    </x:row>
    <x:row r="275" ht="15" hidden="0" customHeight="1">
      <x:c r="A275" t="str">
        <x:v>Semifinal</x:v>
      </x:c>
      <x:c r="B275" t="str">
        <x:v>SF1</x:v>
      </x:c>
      <x:c r="C275" t="str">
        <x:v>Manuel</x:v>
      </x:c>
      <x:c r="D275" t="str">
        <x:v>Francia</x:v>
      </x:c>
      <x:c r="E275" t="str">
        <x:v>España</x:v>
      </x:c>
      <x:c r="F275" t="n">
        <x:v>2</x:v>
      </x:c>
      <x:c r="G275" t="n">
        <x:v>0</x:v>
      </x:c>
      <x:c r="H275" t="str">
        <x:v>Francia</x:v>
      </x:c>
      <x:c r="I275" t="str">
        <x:v>90 minutos</x:v>
      </x:c>
      <x:c r="J275" t="n">
        <x:v>0</x:v>
      </x:c>
      <x:c r="K275" t="n">
        <x:v>2</x:v>
      </x:c>
      <x:c r="L275" t="str">
        <x:v>España</x:v>
      </x:c>
      <x:c r="M275" t="str">
        <x:v>90 minutos</x:v>
      </x:c>
      <x:c r="N275" t="n">
        <x:f>IF(AND(AND(ISNUMBER($F275),ISNUMBER($G275),$H275=$L275),IF($I275="90 minutos",IF($F275&gt;$G275,"A",IF($G275&gt;$F275,"B","E")),"E")=IF($M275="90 minutos",IF($J275&gt;$K275,"A",IF($K275&gt;$J275,"B","E")),"E")),Reglas!$B$2,0)</x:f>
        <x:v>0</x:v>
      </x:c>
      <x:c r="O275" t="n">
        <x:f>IF(AND(ISNUMBER($F275),ISNUMBER($G275),$H275=$L275),Reglas!$B$3,0)</x:f>
        <x:v>0</x:v>
      </x:c>
      <x:c r="P275" t="n">
        <x:f>IF(AND(AND(ISNUMBER($F275),ISNUMBER($G275),$H275=$L275),$I275=$M275),Reglas!$B$4,0)</x:f>
        <x:v>0</x:v>
      </x:c>
      <x:c r="Q275" t="n">
        <x:f>IF(AND(AND(AND(ISNUMBER($F275),ISNUMBER($G275),$H275=$L275),$I275=$M275,NOT(AND($I275="Penales",$F275&lt;&gt;$G275))),$F275=$J275,$G275=$K275),Reglas!$B$5,0)</x:f>
        <x:v>0</x:v>
      </x:c>
      <x:c r="R275" t="n">
        <x:f>IF(AND(AND(AND(ISNUMBER($F275),ISNUMBER($G275),$H275=$L275),$I275=$M275,NOT(AND($I275="Penales",$F275&lt;&gt;$G275))),$F275-$G275=$J275-$K275),Reglas!$B$6,0)</x:f>
        <x:v>0</x:v>
      </x:c>
      <x:c r="S275" t="n">
        <x:f>IF(AND(AND(AND(ISNUMBER($F275),ISNUMBER($G275),$H275=$L275),$I275=$M275,NOT(AND($I275="Penales",$F275&lt;&gt;$G275))),$F275=$J275),Reglas!$B$7,0)</x:f>
        <x:v>0</x:v>
      </x:c>
      <x:c r="T275" t="n">
        <x:f>IF(AND(AND(AND(ISNUMBER($F275),ISNUMBER($G275),$H275=$L275),$I275=$M275,NOT(AND($I275="Penales",$F275&lt;&gt;$G275))),$G275=$K275),Reglas!$B$8,0)</x:f>
        <x:v>0</x:v>
      </x:c>
      <x:c r="U275" t="n">
        <x:f>SUM(N275:T275)</x:f>
        <x:v>0</x:v>
      </x:c>
      <x:c r="V275" t="str">
        <x:f>IF($W275="Sin respuesta","Sin envio",IF($U275&gt;0,"OK","Sin puntos"))</x:f>
        <x:v>Sin puntos</x:v>
      </x:c>
      <x:c r="W275" t="str">
        <x:v>Google Forms</x:v>
      </x:c>
    </x:row>
    <x:row r="276" ht="15" hidden="0" customHeight="1">
      <x:c r="A276" t="str">
        <x:v>Semifinal</x:v>
      </x:c>
      <x:c r="B276" t="str">
        <x:v>SF1</x:v>
      </x:c>
      <x:c r="C276" t="str">
        <x:v>Jorge</x:v>
      </x:c>
      <x:c r="D276" t="str">
        <x:v>Francia</x:v>
      </x:c>
      <x:c r="E276" t="str">
        <x:v>España</x:v>
      </x:c>
      <x:c r="F276" t="n">
        <x:v>2</x:v>
      </x:c>
      <x:c r="G276" t="n">
        <x:v>3</x:v>
      </x:c>
      <x:c r="H276" t="str">
        <x:v>España</x:v>
      </x:c>
      <x:c r="I276" t="str">
        <x:v>Suplementario</x:v>
      </x:c>
      <x:c r="J276" t="n">
        <x:v>0</x:v>
      </x:c>
      <x:c r="K276" t="n">
        <x:v>2</x:v>
      </x:c>
      <x:c r="L276" t="str">
        <x:v>España</x:v>
      </x:c>
      <x:c r="M276" t="str">
        <x:v>90 minutos</x:v>
      </x:c>
      <x:c r="N276" t="n">
        <x:f>IF(AND(AND(ISNUMBER($F276),ISNUMBER($G276),$H276=$L276),IF($I276="90 minutos",IF($F276&gt;$G276,"A",IF($G276&gt;$F276,"B","E")),"E")=IF($M276="90 minutos",IF($J276&gt;$K276,"A",IF($K276&gt;$J276,"B","E")),"E")),Reglas!$B$2,0)</x:f>
        <x:v>0</x:v>
      </x:c>
      <x:c r="O276" t="n">
        <x:f>IF(AND(ISNUMBER($F276),ISNUMBER($G276),$H276=$L276),Reglas!$B$3,0)</x:f>
        <x:v>3</x:v>
      </x:c>
      <x:c r="P276" t="n">
        <x:f>IF(AND(AND(ISNUMBER($F276),ISNUMBER($G276),$H276=$L276),$I276=$M276),Reglas!$B$4,0)</x:f>
        <x:v>0</x:v>
      </x:c>
      <x:c r="Q276" t="n">
        <x:f>IF(AND(AND(AND(ISNUMBER($F276),ISNUMBER($G276),$H276=$L276),$I276=$M276,NOT(AND($I276="Penales",$F276&lt;&gt;$G276))),$F276=$J276,$G276=$K276),Reglas!$B$5,0)</x:f>
        <x:v>0</x:v>
      </x:c>
      <x:c r="R276" t="n">
        <x:f>IF(AND(AND(AND(ISNUMBER($F276),ISNUMBER($G276),$H276=$L276),$I276=$M276,NOT(AND($I276="Penales",$F276&lt;&gt;$G276))),$F276-$G276=$J276-$K276),Reglas!$B$6,0)</x:f>
        <x:v>0</x:v>
      </x:c>
      <x:c r="S276" t="n">
        <x:f>IF(AND(AND(AND(ISNUMBER($F276),ISNUMBER($G276),$H276=$L276),$I276=$M276,NOT(AND($I276="Penales",$F276&lt;&gt;$G276))),$F276=$J276),Reglas!$B$7,0)</x:f>
        <x:v>0</x:v>
      </x:c>
      <x:c r="T276" t="n">
        <x:f>IF(AND(AND(AND(ISNUMBER($F276),ISNUMBER($G276),$H276=$L276),$I276=$M276,NOT(AND($I276="Penales",$F276&lt;&gt;$G276))),$G276=$K276),Reglas!$B$8,0)</x:f>
        <x:v>0</x:v>
      </x:c>
      <x:c r="U276" t="n">
        <x:f>SUM(N276:T276)</x:f>
        <x:v>3</x:v>
      </x:c>
      <x:c r="V276" t="str">
        <x:f>IF($W276="Sin respuesta","Sin envio",IF($U276&gt;0,"OK","Sin puntos"))</x:f>
        <x:v>OK</x:v>
      </x:c>
      <x:c r="W276" t="str">
        <x:v>Google Forms</x:v>
      </x:c>
    </x:row>
    <x:row r="277" ht="15" hidden="0" customHeight="1">
      <x:c r="A277" t="str">
        <x:v>Semifinal</x:v>
      </x:c>
      <x:c r="B277" t="str">
        <x:v>SF1</x:v>
      </x:c>
      <x:c r="C277" t="str">
        <x:v>Daniel</x:v>
      </x:c>
      <x:c r="D277" t="str">
        <x:v>Francia</x:v>
      </x:c>
      <x:c r="E277" t="str">
        <x:v>España</x:v>
      </x:c>
      <x:c r="F277"/>
      <x:c r="G277"/>
      <x:c r="H277" t="str">
        <x:v>Sin envio</x:v>
      </x:c>
      <x:c r="I277" t="str">
        <x:v>Sin envio</x:v>
      </x:c>
      <x:c r="J277" t="n">
        <x:v>0</x:v>
      </x:c>
      <x:c r="K277" t="n">
        <x:v>2</x:v>
      </x:c>
      <x:c r="L277" t="str">
        <x:v>España</x:v>
      </x:c>
      <x:c r="M277" t="str">
        <x:v>90 minutos</x:v>
      </x:c>
      <x:c r="N277" t="n">
        <x:f>IF(AND(AND(ISNUMBER($F277),ISNUMBER($G277),$H277=$L277),IF($I277="90 minutos",IF($F277&gt;$G277,"A",IF($G277&gt;$F277,"B","E")),"E")=IF($M277="90 minutos",IF($J277&gt;$K277,"A",IF($K277&gt;$J277,"B","E")),"E")),Reglas!$B$2,0)</x:f>
        <x:v>0</x:v>
      </x:c>
      <x:c r="O277" t="n">
        <x:f>IF(AND(ISNUMBER($F277),ISNUMBER($G277),$H277=$L277),Reglas!$B$3,0)</x:f>
        <x:v>0</x:v>
      </x:c>
      <x:c r="P277" t="n">
        <x:f>IF(AND(AND(ISNUMBER($F277),ISNUMBER($G277),$H277=$L277),$I277=$M277),Reglas!$B$4,0)</x:f>
        <x:v>0</x:v>
      </x:c>
      <x:c r="Q277" t="n">
        <x:f>IF(AND(AND(AND(ISNUMBER($F277),ISNUMBER($G277),$H277=$L277),$I277=$M277,NOT(AND($I277="Penales",$F277&lt;&gt;$G277))),$F277=$J277,$G277=$K277),Reglas!$B$5,0)</x:f>
        <x:v>0</x:v>
      </x:c>
      <x:c r="R277" t="n">
        <x:f>IF(AND(AND(AND(ISNUMBER($F277),ISNUMBER($G277),$H277=$L277),$I277=$M277,NOT(AND($I277="Penales",$F277&lt;&gt;$G277))),$F277-$G277=$J277-$K277),Reglas!$B$6,0)</x:f>
        <x:v>0</x:v>
      </x:c>
      <x:c r="S277" t="n">
        <x:f>IF(AND(AND(AND(ISNUMBER($F277),ISNUMBER($G277),$H277=$L277),$I277=$M277,NOT(AND($I277="Penales",$F277&lt;&gt;$G277))),$F277=$J277),Reglas!$B$7,0)</x:f>
        <x:v>0</x:v>
      </x:c>
      <x:c r="T277" t="n">
        <x:f>IF(AND(AND(AND(ISNUMBER($F277),ISNUMBER($G277),$H277=$L277),$I277=$M277,NOT(AND($I277="Penales",$F277&lt;&gt;$G277))),$G277=$K277),Reglas!$B$8,0)</x:f>
        <x:v>0</x:v>
      </x:c>
      <x:c r="U277" t="n">
        <x:f>SUM(N277:T277)</x:f>
        <x:v>0</x:v>
      </x:c>
      <x:c r="V277" t="str">
        <x:f>IF($W277="Sin respuesta","Sin envio",IF($U277&gt;0,"OK","Sin puntos"))</x:f>
        <x:v>Sin envio</x:v>
      </x:c>
      <x:c r="W277" t="str">
        <x:v>Sin respuesta</x:v>
      </x:c>
    </x:row>
    <x:row r="278" ht="15" hidden="0" customHeight="1">
      <x:c r="A278" t="str">
        <x:v>Semifinal</x:v>
      </x:c>
      <x:c r="B278" t="str">
        <x:v>SF1</x:v>
      </x:c>
      <x:c r="C278" t="str">
        <x:v>Arthur</x:v>
      </x:c>
      <x:c r="D278" t="str">
        <x:v>Francia</x:v>
      </x:c>
      <x:c r="E278" t="str">
        <x:v>España</x:v>
      </x:c>
      <x:c r="F278" t="n">
        <x:v>3</x:v>
      </x:c>
      <x:c r="G278" t="n">
        <x:v>2</x:v>
      </x:c>
      <x:c r="H278" t="str">
        <x:v>Francia</x:v>
      </x:c>
      <x:c r="I278" t="str">
        <x:v>Suplementario</x:v>
      </x:c>
      <x:c r="J278" t="n">
        <x:v>0</x:v>
      </x:c>
      <x:c r="K278" t="n">
        <x:v>2</x:v>
      </x:c>
      <x:c r="L278" t="str">
        <x:v>España</x:v>
      </x:c>
      <x:c r="M278" t="str">
        <x:v>90 minutos</x:v>
      </x:c>
      <x:c r="N278" t="n">
        <x:f>IF(AND(AND(ISNUMBER($F278),ISNUMBER($G278),$H278=$L278),IF($I278="90 minutos",IF($F278&gt;$G278,"A",IF($G278&gt;$F278,"B","E")),"E")=IF($M278="90 minutos",IF($J278&gt;$K278,"A",IF($K278&gt;$J278,"B","E")),"E")),Reglas!$B$2,0)</x:f>
        <x:v>0</x:v>
      </x:c>
      <x:c r="O278" t="n">
        <x:f>IF(AND(ISNUMBER($F278),ISNUMBER($G278),$H278=$L278),Reglas!$B$3,0)</x:f>
        <x:v>0</x:v>
      </x:c>
      <x:c r="P278" t="n">
        <x:f>IF(AND(AND(ISNUMBER($F278),ISNUMBER($G278),$H278=$L278),$I278=$M278),Reglas!$B$4,0)</x:f>
        <x:v>0</x:v>
      </x:c>
      <x:c r="Q278" t="n">
        <x:f>IF(AND(AND(AND(ISNUMBER($F278),ISNUMBER($G278),$H278=$L278),$I278=$M278,NOT(AND($I278="Penales",$F278&lt;&gt;$G278))),$F278=$J278,$G278=$K278),Reglas!$B$5,0)</x:f>
        <x:v>0</x:v>
      </x:c>
      <x:c r="R278" t="n">
        <x:f>IF(AND(AND(AND(ISNUMBER($F278),ISNUMBER($G278),$H278=$L278),$I278=$M278,NOT(AND($I278="Penales",$F278&lt;&gt;$G278))),$F278-$G278=$J278-$K278),Reglas!$B$6,0)</x:f>
        <x:v>0</x:v>
      </x:c>
      <x:c r="S278" t="n">
        <x:f>IF(AND(AND(AND(ISNUMBER($F278),ISNUMBER($G278),$H278=$L278),$I278=$M278,NOT(AND($I278="Penales",$F278&lt;&gt;$G278))),$F278=$J278),Reglas!$B$7,0)</x:f>
        <x:v>0</x:v>
      </x:c>
      <x:c r="T278" t="n">
        <x:f>IF(AND(AND(AND(ISNUMBER($F278),ISNUMBER($G278),$H278=$L278),$I278=$M278,NOT(AND($I278="Penales",$F278&lt;&gt;$G278))),$G278=$K278),Reglas!$B$8,0)</x:f>
        <x:v>0</x:v>
      </x:c>
      <x:c r="U278" t="n">
        <x:f>SUM(N278:T278)</x:f>
        <x:v>0</x:v>
      </x:c>
      <x:c r="V278" t="str">
        <x:f>IF($W278="Sin respuesta","Sin envio",IF($U278&gt;0,"OK","Sin puntos"))</x:f>
        <x:v>Sin puntos</x:v>
      </x:c>
      <x:c r="W278" t="str">
        <x:v>Google Forms</x:v>
      </x:c>
    </x:row>
    <x:row r="279" ht="15" hidden="0" customHeight="1">
      <x:c r="A279" t="str">
        <x:v>Semifinal</x:v>
      </x:c>
      <x:c r="B279" t="str">
        <x:v>SF1</x:v>
      </x:c>
      <x:c r="C279" t="str">
        <x:v>José Luis</x:v>
      </x:c>
      <x:c r="D279" t="str">
        <x:v>Francia</x:v>
      </x:c>
      <x:c r="E279" t="str">
        <x:v>España</x:v>
      </x:c>
      <x:c r="F279"/>
      <x:c r="G279"/>
      <x:c r="H279" t="str">
        <x:v>Sin envio</x:v>
      </x:c>
      <x:c r="I279" t="str">
        <x:v>Sin envio</x:v>
      </x:c>
      <x:c r="J279" t="n">
        <x:v>0</x:v>
      </x:c>
      <x:c r="K279" t="n">
        <x:v>2</x:v>
      </x:c>
      <x:c r="L279" t="str">
        <x:v>España</x:v>
      </x:c>
      <x:c r="M279" t="str">
        <x:v>90 minutos</x:v>
      </x:c>
      <x:c r="N279" t="n">
        <x:f>IF(AND(AND(ISNUMBER($F279),ISNUMBER($G279),$H279=$L279),IF($I279="90 minutos",IF($F279&gt;$G279,"A",IF($G279&gt;$F279,"B","E")),"E")=IF($M279="90 minutos",IF($J279&gt;$K279,"A",IF($K279&gt;$J279,"B","E")),"E")),Reglas!$B$2,0)</x:f>
        <x:v>0</x:v>
      </x:c>
      <x:c r="O279" t="n">
        <x:f>IF(AND(ISNUMBER($F279),ISNUMBER($G279),$H279=$L279),Reglas!$B$3,0)</x:f>
        <x:v>0</x:v>
      </x:c>
      <x:c r="P279" t="n">
        <x:f>IF(AND(AND(ISNUMBER($F279),ISNUMBER($G279),$H279=$L279),$I279=$M279),Reglas!$B$4,0)</x:f>
        <x:v>0</x:v>
      </x:c>
      <x:c r="Q279" t="n">
        <x:f>IF(AND(AND(AND(ISNUMBER($F279),ISNUMBER($G279),$H279=$L279),$I279=$M279,NOT(AND($I279="Penales",$F279&lt;&gt;$G279))),$F279=$J279,$G279=$K279),Reglas!$B$5,0)</x:f>
        <x:v>0</x:v>
      </x:c>
      <x:c r="R279" t="n">
        <x:f>IF(AND(AND(AND(ISNUMBER($F279),ISNUMBER($G279),$H279=$L279),$I279=$M279,NOT(AND($I279="Penales",$F279&lt;&gt;$G279))),$F279-$G279=$J279-$K279),Reglas!$B$6,0)</x:f>
        <x:v>0</x:v>
      </x:c>
      <x:c r="S279" t="n">
        <x:f>IF(AND(AND(AND(ISNUMBER($F279),ISNUMBER($G279),$H279=$L279),$I279=$M279,NOT(AND($I279="Penales",$F279&lt;&gt;$G279))),$F279=$J279),Reglas!$B$7,0)</x:f>
        <x:v>0</x:v>
      </x:c>
      <x:c r="T279" t="n">
        <x:f>IF(AND(AND(AND(ISNUMBER($F279),ISNUMBER($G279),$H279=$L279),$I279=$M279,NOT(AND($I279="Penales",$F279&lt;&gt;$G279))),$G279=$K279),Reglas!$B$8,0)</x:f>
        <x:v>0</x:v>
      </x:c>
      <x:c r="U279" t="n">
        <x:f>SUM(N279:T279)</x:f>
        <x:v>0</x:v>
      </x:c>
      <x:c r="V279" t="str">
        <x:f>IF($W279="Sin respuesta","Sin envio",IF($U279&gt;0,"OK","Sin puntos"))</x:f>
        <x:v>Sin envio</x:v>
      </x:c>
      <x:c r="W279" t="str">
        <x:v>Sin respuesta</x:v>
      </x:c>
    </x:row>
    <x:row r="280" ht="15" hidden="0" customHeight="1">
      <x:c r="A280" t="str">
        <x:v>Semifinal</x:v>
      </x:c>
      <x:c r="B280" t="str">
        <x:v>SF1</x:v>
      </x:c>
      <x:c r="C280" t="str">
        <x:v>Marcelo</x:v>
      </x:c>
      <x:c r="D280" t="str">
        <x:v>Francia</x:v>
      </x:c>
      <x:c r="E280" t="str">
        <x:v>España</x:v>
      </x:c>
      <x:c r="F280"/>
      <x:c r="G280"/>
      <x:c r="H280" t="str">
        <x:v>Sin envio</x:v>
      </x:c>
      <x:c r="I280" t="str">
        <x:v>Sin envio</x:v>
      </x:c>
      <x:c r="J280" t="n">
        <x:v>0</x:v>
      </x:c>
      <x:c r="K280" t="n">
        <x:v>2</x:v>
      </x:c>
      <x:c r="L280" t="str">
        <x:v>España</x:v>
      </x:c>
      <x:c r="M280" t="str">
        <x:v>90 minutos</x:v>
      </x:c>
      <x:c r="N280" t="n">
        <x:f>IF(AND(AND(ISNUMBER($F280),ISNUMBER($G280),$H280=$L280),IF($I280="90 minutos",IF($F280&gt;$G280,"A",IF($G280&gt;$F280,"B","E")),"E")=IF($M280="90 minutos",IF($J280&gt;$K280,"A",IF($K280&gt;$J280,"B","E")),"E")),Reglas!$B$2,0)</x:f>
        <x:v>0</x:v>
      </x:c>
      <x:c r="O280" t="n">
        <x:f>IF(AND(ISNUMBER($F280),ISNUMBER($G280),$H280=$L280),Reglas!$B$3,0)</x:f>
        <x:v>0</x:v>
      </x:c>
      <x:c r="P280" t="n">
        <x:f>IF(AND(AND(ISNUMBER($F280),ISNUMBER($G280),$H280=$L280),$I280=$M280),Reglas!$B$4,0)</x:f>
        <x:v>0</x:v>
      </x:c>
      <x:c r="Q280" t="n">
        <x:f>IF(AND(AND(AND(ISNUMBER($F280),ISNUMBER($G280),$H280=$L280),$I280=$M280,NOT(AND($I280="Penales",$F280&lt;&gt;$G280))),$F280=$J280,$G280=$K280),Reglas!$B$5,0)</x:f>
        <x:v>0</x:v>
      </x:c>
      <x:c r="R280" t="n">
        <x:f>IF(AND(AND(AND(ISNUMBER($F280),ISNUMBER($G280),$H280=$L280),$I280=$M280,NOT(AND($I280="Penales",$F280&lt;&gt;$G280))),$F280-$G280=$J280-$K280),Reglas!$B$6,0)</x:f>
        <x:v>0</x:v>
      </x:c>
      <x:c r="S280" t="n">
        <x:f>IF(AND(AND(AND(ISNUMBER($F280),ISNUMBER($G280),$H280=$L280),$I280=$M280,NOT(AND($I280="Penales",$F280&lt;&gt;$G280))),$F280=$J280),Reglas!$B$7,0)</x:f>
        <x:v>0</x:v>
      </x:c>
      <x:c r="T280" t="n">
        <x:f>IF(AND(AND(AND(ISNUMBER($F280),ISNUMBER($G280),$H280=$L280),$I280=$M280,NOT(AND($I280="Penales",$F280&lt;&gt;$G280))),$G280=$K280),Reglas!$B$8,0)</x:f>
        <x:v>0</x:v>
      </x:c>
      <x:c r="U280" t="n">
        <x:f>SUM(N280:T280)</x:f>
        <x:v>0</x:v>
      </x:c>
      <x:c r="V280" t="str">
        <x:f>IF($W280="Sin respuesta","Sin envio",IF($U280&gt;0,"OK","Sin puntos"))</x:f>
        <x:v>Sin envio</x:v>
      </x:c>
      <x:c r="W280" t="str">
        <x:v>Sin respuesta</x:v>
      </x:c>
    </x:row>
    <x:row r="281" ht="15" hidden="0" customHeight="1">
      <x:c r="A281" t="str">
        <x:v>Semifinal</x:v>
      </x:c>
      <x:c r="B281" t="str">
        <x:v>SF1</x:v>
      </x:c>
      <x:c r="C281" t="str">
        <x:v>Anny</x:v>
      </x:c>
      <x:c r="D281" t="str">
        <x:v>Francia</x:v>
      </x:c>
      <x:c r="E281" t="str">
        <x:v>España</x:v>
      </x:c>
      <x:c r="F281" t="n">
        <x:v>3</x:v>
      </x:c>
      <x:c r="G281" t="n">
        <x:v>2</x:v>
      </x:c>
      <x:c r="H281" t="str">
        <x:v>Francia</x:v>
      </x:c>
      <x:c r="I281" t="str">
        <x:v>90 minutos</x:v>
      </x:c>
      <x:c r="J281" t="n">
        <x:v>0</x:v>
      </x:c>
      <x:c r="K281" t="n">
        <x:v>2</x:v>
      </x:c>
      <x:c r="L281" t="str">
        <x:v>España</x:v>
      </x:c>
      <x:c r="M281" t="str">
        <x:v>90 minutos</x:v>
      </x:c>
      <x:c r="N281" t="n">
        <x:f>IF(AND(AND(ISNUMBER($F281),ISNUMBER($G281),$H281=$L281),IF($I281="90 minutos",IF($F281&gt;$G281,"A",IF($G281&gt;$F281,"B","E")),"E")=IF($M281="90 minutos",IF($J281&gt;$K281,"A",IF($K281&gt;$J281,"B","E")),"E")),Reglas!$B$2,0)</x:f>
        <x:v>0</x:v>
      </x:c>
      <x:c r="O281" t="n">
        <x:f>IF(AND(ISNUMBER($F281),ISNUMBER($G281),$H281=$L281),Reglas!$B$3,0)</x:f>
        <x:v>0</x:v>
      </x:c>
      <x:c r="P281" t="n">
        <x:f>IF(AND(AND(ISNUMBER($F281),ISNUMBER($G281),$H281=$L281),$I281=$M281),Reglas!$B$4,0)</x:f>
        <x:v>0</x:v>
      </x:c>
      <x:c r="Q281" t="n">
        <x:f>IF(AND(AND(AND(ISNUMBER($F281),ISNUMBER($G281),$H281=$L281),$I281=$M281,NOT(AND($I281="Penales",$F281&lt;&gt;$G281))),$F281=$J281,$G281=$K281),Reglas!$B$5,0)</x:f>
        <x:v>0</x:v>
      </x:c>
      <x:c r="R281" t="n">
        <x:f>IF(AND(AND(AND(ISNUMBER($F281),ISNUMBER($G281),$H281=$L281),$I281=$M281,NOT(AND($I281="Penales",$F281&lt;&gt;$G281))),$F281-$G281=$J281-$K281),Reglas!$B$6,0)</x:f>
        <x:v>0</x:v>
      </x:c>
      <x:c r="S281" t="n">
        <x:f>IF(AND(AND(AND(ISNUMBER($F281),ISNUMBER($G281),$H281=$L281),$I281=$M281,NOT(AND($I281="Penales",$F281&lt;&gt;$G281))),$F281=$J281),Reglas!$B$7,0)</x:f>
        <x:v>0</x:v>
      </x:c>
      <x:c r="T281" t="n">
        <x:f>IF(AND(AND(AND(ISNUMBER($F281),ISNUMBER($G281),$H281=$L281),$I281=$M281,NOT(AND($I281="Penales",$F281&lt;&gt;$G281))),$G281=$K281),Reglas!$B$8,0)</x:f>
        <x:v>0</x:v>
      </x:c>
      <x:c r="U281" t="n">
        <x:f>SUM(N281:T281)</x:f>
        <x:v>0</x:v>
      </x:c>
      <x:c r="V281" t="str">
        <x:f>IF($W281="Sin respuesta","Sin envio",IF($U281&gt;0,"OK","Sin puntos"))</x:f>
        <x:v>Sin puntos</x:v>
      </x:c>
      <x:c r="W281" t="str">
        <x:v>Google Forms</x:v>
      </x:c>
    </x:row>
    <x:row r="282" ht="15" hidden="0" customHeight="1">
      <x:c r="A282" t="str">
        <x:v>Semifinal</x:v>
      </x:c>
      <x:c r="B282" t="str">
        <x:v>SF1</x:v>
      </x:c>
      <x:c r="C282" t="str">
        <x:v>Moisés</x:v>
      </x:c>
      <x:c r="D282" t="str">
        <x:v>Francia</x:v>
      </x:c>
      <x:c r="E282" t="str">
        <x:v>España</x:v>
      </x:c>
      <x:c r="F282" t="n">
        <x:v>2</x:v>
      </x:c>
      <x:c r="G282" t="n">
        <x:v>1</x:v>
      </x:c>
      <x:c r="H282" t="str">
        <x:v>Francia</x:v>
      </x:c>
      <x:c r="I282" t="str">
        <x:v>Penales</x:v>
      </x:c>
      <x:c r="J282" t="n">
        <x:v>0</x:v>
      </x:c>
      <x:c r="K282" t="n">
        <x:v>2</x:v>
      </x:c>
      <x:c r="L282" t="str">
        <x:v>España</x:v>
      </x:c>
      <x:c r="M282" t="str">
        <x:v>90 minutos</x:v>
      </x:c>
      <x:c r="N282" t="n">
        <x:f>IF(AND(AND(ISNUMBER($F282),ISNUMBER($G282),$H282=$L282),IF($I282="90 minutos",IF($F282&gt;$G282,"A",IF($G282&gt;$F282,"B","E")),"E")=IF($M282="90 minutos",IF($J282&gt;$K282,"A",IF($K282&gt;$J282,"B","E")),"E")),Reglas!$B$2,0)</x:f>
        <x:v>0</x:v>
      </x:c>
      <x:c r="O282" t="n">
        <x:f>IF(AND(ISNUMBER($F282),ISNUMBER($G282),$H282=$L282),Reglas!$B$3,0)</x:f>
        <x:v>0</x:v>
      </x:c>
      <x:c r="P282" t="n">
        <x:f>IF(AND(AND(ISNUMBER($F282),ISNUMBER($G282),$H282=$L282),$I282=$M282),Reglas!$B$4,0)</x:f>
        <x:v>0</x:v>
      </x:c>
      <x:c r="Q282" t="n">
        <x:f>IF(AND(AND(AND(ISNUMBER($F282),ISNUMBER($G282),$H282=$L282),$I282=$M282,NOT(AND($I282="Penales",$F282&lt;&gt;$G282))),$F282=$J282,$G282=$K282),Reglas!$B$5,0)</x:f>
        <x:v>0</x:v>
      </x:c>
      <x:c r="R282" t="n">
        <x:f>IF(AND(AND(AND(ISNUMBER($F282),ISNUMBER($G282),$H282=$L282),$I282=$M282,NOT(AND($I282="Penales",$F282&lt;&gt;$G282))),$F282-$G282=$J282-$K282),Reglas!$B$6,0)</x:f>
        <x:v>0</x:v>
      </x:c>
      <x:c r="S282" t="n">
        <x:f>IF(AND(AND(AND(ISNUMBER($F282),ISNUMBER($G282),$H282=$L282),$I282=$M282,NOT(AND($I282="Penales",$F282&lt;&gt;$G282))),$F282=$J282),Reglas!$B$7,0)</x:f>
        <x:v>0</x:v>
      </x:c>
      <x:c r="T282" t="n">
        <x:f>IF(AND(AND(AND(ISNUMBER($F282),ISNUMBER($G282),$H282=$L282),$I282=$M282,NOT(AND($I282="Penales",$F282&lt;&gt;$G282))),$G282=$K282),Reglas!$B$8,0)</x:f>
        <x:v>0</x:v>
      </x:c>
      <x:c r="U282" t="n">
        <x:f>SUM(N282:T282)</x:f>
        <x:v>0</x:v>
      </x:c>
      <x:c r="V282" t="str">
        <x:f>IF($W282="Sin respuesta","Sin envio",IF($U282&gt;0,"OK","Sin puntos"))</x:f>
        <x:v>Sin puntos</x:v>
      </x:c>
      <x:c r="W282" t="str">
        <x:v>Google Forms</x:v>
      </x:c>
    </x:row>
    <x:row r="283" ht="15" hidden="0" customHeight="1">
      <x:c r="A283" t="str">
        <x:v>Semifinal</x:v>
      </x:c>
      <x:c r="B283" t="str">
        <x:v>SF1</x:v>
      </x:c>
      <x:c r="C283" t="str">
        <x:v>Alex</x:v>
      </x:c>
      <x:c r="D283" t="str">
        <x:v>Francia</x:v>
      </x:c>
      <x:c r="E283" t="str">
        <x:v>España</x:v>
      </x:c>
      <x:c r="F283" t="n">
        <x:v>3</x:v>
      </x:c>
      <x:c r="G283" t="n">
        <x:v>2</x:v>
      </x:c>
      <x:c r="H283" t="str">
        <x:v>Francia</x:v>
      </x:c>
      <x:c r="I283" t="str">
        <x:v>Suplementario</x:v>
      </x:c>
      <x:c r="J283" t="n">
        <x:v>0</x:v>
      </x:c>
      <x:c r="K283" t="n">
        <x:v>2</x:v>
      </x:c>
      <x:c r="L283" t="str">
        <x:v>España</x:v>
      </x:c>
      <x:c r="M283" t="str">
        <x:v>90 minutos</x:v>
      </x:c>
      <x:c r="N283" t="n">
        <x:f>IF(AND(AND(ISNUMBER($F283),ISNUMBER($G283),$H283=$L283),IF($I283="90 minutos",IF($F283&gt;$G283,"A",IF($G283&gt;$F283,"B","E")),"E")=IF($M283="90 minutos",IF($J283&gt;$K283,"A",IF($K283&gt;$J283,"B","E")),"E")),Reglas!$B$2,0)</x:f>
        <x:v>0</x:v>
      </x:c>
      <x:c r="O283" t="n">
        <x:f>IF(AND(ISNUMBER($F283),ISNUMBER($G283),$H283=$L283),Reglas!$B$3,0)</x:f>
        <x:v>0</x:v>
      </x:c>
      <x:c r="P283" t="n">
        <x:f>IF(AND(AND(ISNUMBER($F283),ISNUMBER($G283),$H283=$L283),$I283=$M283),Reglas!$B$4,0)</x:f>
        <x:v>0</x:v>
      </x:c>
      <x:c r="Q283" t="n">
        <x:f>IF(AND(AND(AND(ISNUMBER($F283),ISNUMBER($G283),$H283=$L283),$I283=$M283,NOT(AND($I283="Penales",$F283&lt;&gt;$G283))),$F283=$J283,$G283=$K283),Reglas!$B$5,0)</x:f>
        <x:v>0</x:v>
      </x:c>
      <x:c r="R283" t="n">
        <x:f>IF(AND(AND(AND(ISNUMBER($F283),ISNUMBER($G283),$H283=$L283),$I283=$M283,NOT(AND($I283="Penales",$F283&lt;&gt;$G283))),$F283-$G283=$J283-$K283),Reglas!$B$6,0)</x:f>
        <x:v>0</x:v>
      </x:c>
      <x:c r="S283" t="n">
        <x:f>IF(AND(AND(AND(ISNUMBER($F283),ISNUMBER($G283),$H283=$L283),$I283=$M283,NOT(AND($I283="Penales",$F283&lt;&gt;$G283))),$F283=$J283),Reglas!$B$7,0)</x:f>
        <x:v>0</x:v>
      </x:c>
      <x:c r="T283" t="n">
        <x:f>IF(AND(AND(AND(ISNUMBER($F283),ISNUMBER($G283),$H283=$L283),$I283=$M283,NOT(AND($I283="Penales",$F283&lt;&gt;$G283))),$G283=$K283),Reglas!$B$8,0)</x:f>
        <x:v>0</x:v>
      </x:c>
      <x:c r="U283" t="n">
        <x:f>SUM(N283:T283)</x:f>
        <x:v>0</x:v>
      </x:c>
      <x:c r="V283" t="str">
        <x:f>IF($W283="Sin respuesta","Sin envio",IF($U283&gt;0,"OK","Sin puntos"))</x:f>
        <x:v>Sin puntos</x:v>
      </x:c>
      <x:c r="W283" t="str">
        <x:v>Google Forms</x:v>
      </x:c>
    </x:row>
    <x:row r="284" ht="15" hidden="0" customHeight="1">
      <x:c r="A284" t="str">
        <x:v>Semifinal</x:v>
      </x:c>
      <x:c r="B284" t="str">
        <x:v>SF1</x:v>
      </x:c>
      <x:c r="C284" t="str">
        <x:v>Omar</x:v>
      </x:c>
      <x:c r="D284" t="str">
        <x:v>Francia</x:v>
      </x:c>
      <x:c r="E284" t="str">
        <x:v>España</x:v>
      </x:c>
      <x:c r="F284"/>
      <x:c r="G284"/>
      <x:c r="H284" t="str">
        <x:v>Sin envio</x:v>
      </x:c>
      <x:c r="I284" t="str">
        <x:v>Sin envio</x:v>
      </x:c>
      <x:c r="J284" t="n">
        <x:v>0</x:v>
      </x:c>
      <x:c r="K284" t="n">
        <x:v>2</x:v>
      </x:c>
      <x:c r="L284" t="str">
        <x:v>España</x:v>
      </x:c>
      <x:c r="M284" t="str">
        <x:v>90 minutos</x:v>
      </x:c>
      <x:c r="N284" t="n">
        <x:f>IF(AND(AND(ISNUMBER($F284),ISNUMBER($G284),$H284=$L284),IF($I284="90 minutos",IF($F284&gt;$G284,"A",IF($G284&gt;$F284,"B","E")),"E")=IF($M284="90 minutos",IF($J284&gt;$K284,"A",IF($K284&gt;$J284,"B","E")),"E")),Reglas!$B$2,0)</x:f>
        <x:v>0</x:v>
      </x:c>
      <x:c r="O284" t="n">
        <x:f>IF(AND(ISNUMBER($F284),ISNUMBER($G284),$H284=$L284),Reglas!$B$3,0)</x:f>
        <x:v>0</x:v>
      </x:c>
      <x:c r="P284" t="n">
        <x:f>IF(AND(AND(ISNUMBER($F284),ISNUMBER($G284),$H284=$L284),$I284=$M284),Reglas!$B$4,0)</x:f>
        <x:v>0</x:v>
      </x:c>
      <x:c r="Q284" t="n">
        <x:f>IF(AND(AND(AND(ISNUMBER($F284),ISNUMBER($G284),$H284=$L284),$I284=$M284,NOT(AND($I284="Penales",$F284&lt;&gt;$G284))),$F284=$J284,$G284=$K284),Reglas!$B$5,0)</x:f>
        <x:v>0</x:v>
      </x:c>
      <x:c r="R284" t="n">
        <x:f>IF(AND(AND(AND(ISNUMBER($F284),ISNUMBER($G284),$H284=$L284),$I284=$M284,NOT(AND($I284="Penales",$F284&lt;&gt;$G284))),$F284-$G284=$J284-$K284),Reglas!$B$6,0)</x:f>
        <x:v>0</x:v>
      </x:c>
      <x:c r="S284" t="n">
        <x:f>IF(AND(AND(AND(ISNUMBER($F284),ISNUMBER($G284),$H284=$L284),$I284=$M284,NOT(AND($I284="Penales",$F284&lt;&gt;$G284))),$F284=$J284),Reglas!$B$7,0)</x:f>
        <x:v>0</x:v>
      </x:c>
      <x:c r="T284" t="n">
        <x:f>IF(AND(AND(AND(ISNUMBER($F284),ISNUMBER($G284),$H284=$L284),$I284=$M284,NOT(AND($I284="Penales",$F284&lt;&gt;$G284))),$G284=$K284),Reglas!$B$8,0)</x:f>
        <x:v>0</x:v>
      </x:c>
      <x:c r="U284" t="n">
        <x:f>SUM(N284:T284)</x:f>
        <x:v>0</x:v>
      </x:c>
      <x:c r="V284" t="str">
        <x:f>IF($W284="Sin respuesta","Sin envio",IF($U284&gt;0,"OK","Sin puntos"))</x:f>
        <x:v>Sin envio</x:v>
      </x:c>
      <x:c r="W284" t="str">
        <x:v>Sin respuesta</x:v>
      </x:c>
    </x:row>
    <x:row r="285" ht="15" hidden="0" customHeight="1">
      <x:c r="A285" t="str">
        <x:v>Semifinal</x:v>
      </x:c>
      <x:c r="B285" t="str">
        <x:v>SF1</x:v>
      </x:c>
      <x:c r="C285" t="str">
        <x:v>Fernando</x:v>
      </x:c>
      <x:c r="D285" t="str">
        <x:v>Francia</x:v>
      </x:c>
      <x:c r="E285" t="str">
        <x:v>España</x:v>
      </x:c>
      <x:c r="F285" t="n">
        <x:v>2</x:v>
      </x:c>
      <x:c r="G285" t="n">
        <x:v>1</x:v>
      </x:c>
      <x:c r="H285" t="str">
        <x:v>Francia</x:v>
      </x:c>
      <x:c r="I285" t="str">
        <x:v>90 minutos</x:v>
      </x:c>
      <x:c r="J285" t="n">
        <x:v>0</x:v>
      </x:c>
      <x:c r="K285" t="n">
        <x:v>2</x:v>
      </x:c>
      <x:c r="L285" t="str">
        <x:v>España</x:v>
      </x:c>
      <x:c r="M285" t="str">
        <x:v>90 minutos</x:v>
      </x:c>
      <x:c r="N285" t="n">
        <x:f>IF(AND(AND(ISNUMBER($F285),ISNUMBER($G285),$H285=$L285),IF($I285="90 minutos",IF($F285&gt;$G285,"A",IF($G285&gt;$F285,"B","E")),"E")=IF($M285="90 minutos",IF($J285&gt;$K285,"A",IF($K285&gt;$J285,"B","E")),"E")),Reglas!$B$2,0)</x:f>
        <x:v>0</x:v>
      </x:c>
      <x:c r="O285" t="n">
        <x:f>IF(AND(ISNUMBER($F285),ISNUMBER($G285),$H285=$L285),Reglas!$B$3,0)</x:f>
        <x:v>0</x:v>
      </x:c>
      <x:c r="P285" t="n">
        <x:f>IF(AND(AND(ISNUMBER($F285),ISNUMBER($G285),$H285=$L285),$I285=$M285),Reglas!$B$4,0)</x:f>
        <x:v>0</x:v>
      </x:c>
      <x:c r="Q285" t="n">
        <x:f>IF(AND(AND(AND(ISNUMBER($F285),ISNUMBER($G285),$H285=$L285),$I285=$M285,NOT(AND($I285="Penales",$F285&lt;&gt;$G285))),$F285=$J285,$G285=$K285),Reglas!$B$5,0)</x:f>
        <x:v>0</x:v>
      </x:c>
      <x:c r="R285" t="n">
        <x:f>IF(AND(AND(AND(ISNUMBER($F285),ISNUMBER($G285),$H285=$L285),$I285=$M285,NOT(AND($I285="Penales",$F285&lt;&gt;$G285))),$F285-$G285=$J285-$K285),Reglas!$B$6,0)</x:f>
        <x:v>0</x:v>
      </x:c>
      <x:c r="S285" t="n">
        <x:f>IF(AND(AND(AND(ISNUMBER($F285),ISNUMBER($G285),$H285=$L285),$I285=$M285,NOT(AND($I285="Penales",$F285&lt;&gt;$G285))),$F285=$J285),Reglas!$B$7,0)</x:f>
        <x:v>0</x:v>
      </x:c>
      <x:c r="T285" t="n">
        <x:f>IF(AND(AND(AND(ISNUMBER($F285),ISNUMBER($G285),$H285=$L285),$I285=$M285,NOT(AND($I285="Penales",$F285&lt;&gt;$G285))),$G285=$K285),Reglas!$B$8,0)</x:f>
        <x:v>0</x:v>
      </x:c>
      <x:c r="U285" t="n">
        <x:f>SUM(N285:T285)</x:f>
        <x:v>0</x:v>
      </x:c>
      <x:c r="V285" t="str">
        <x:f>IF($W285="Sin respuesta","Sin envio",IF($U285&gt;0,"OK","Sin puntos"))</x:f>
        <x:v>Sin puntos</x:v>
      </x:c>
      <x:c r="W285" t="str">
        <x:v>Google Forms</x:v>
      </x:c>
    </x:row>
    <x:row r="286" ht="15" hidden="0" customHeight="1">
      <x:c r="A286" t="str">
        <x:v>Semifinal</x:v>
      </x:c>
      <x:c r="B286" t="str">
        <x:v>SF1</x:v>
      </x:c>
      <x:c r="C286" t="str">
        <x:v>Diana</x:v>
      </x:c>
      <x:c r="D286" t="str">
        <x:v>Francia</x:v>
      </x:c>
      <x:c r="E286" t="str">
        <x:v>España</x:v>
      </x:c>
      <x:c r="F286"/>
      <x:c r="G286"/>
      <x:c r="H286" t="str">
        <x:v>Sin envio</x:v>
      </x:c>
      <x:c r="I286" t="str">
        <x:v>Sin envio</x:v>
      </x:c>
      <x:c r="J286" t="n">
        <x:v>0</x:v>
      </x:c>
      <x:c r="K286" t="n">
        <x:v>2</x:v>
      </x:c>
      <x:c r="L286" t="str">
        <x:v>España</x:v>
      </x:c>
      <x:c r="M286" t="str">
        <x:v>90 minutos</x:v>
      </x:c>
      <x:c r="N286" t="n">
        <x:f>IF(AND(AND(ISNUMBER($F286),ISNUMBER($G286),$H286=$L286),IF($I286="90 minutos",IF($F286&gt;$G286,"A",IF($G286&gt;$F286,"B","E")),"E")=IF($M286="90 minutos",IF($J286&gt;$K286,"A",IF($K286&gt;$J286,"B","E")),"E")),Reglas!$B$2,0)</x:f>
        <x:v>0</x:v>
      </x:c>
      <x:c r="O286" t="n">
        <x:f>IF(AND(ISNUMBER($F286),ISNUMBER($G286),$H286=$L286),Reglas!$B$3,0)</x:f>
        <x:v>0</x:v>
      </x:c>
      <x:c r="P286" t="n">
        <x:f>IF(AND(AND(ISNUMBER($F286),ISNUMBER($G286),$H286=$L286),$I286=$M286),Reglas!$B$4,0)</x:f>
        <x:v>0</x:v>
      </x:c>
      <x:c r="Q286" t="n">
        <x:f>IF(AND(AND(AND(ISNUMBER($F286),ISNUMBER($G286),$H286=$L286),$I286=$M286,NOT(AND($I286="Penales",$F286&lt;&gt;$G286))),$F286=$J286,$G286=$K286),Reglas!$B$5,0)</x:f>
        <x:v>0</x:v>
      </x:c>
      <x:c r="R286" t="n">
        <x:f>IF(AND(AND(AND(ISNUMBER($F286),ISNUMBER($G286),$H286=$L286),$I286=$M286,NOT(AND($I286="Penales",$F286&lt;&gt;$G286))),$F286-$G286=$J286-$K286),Reglas!$B$6,0)</x:f>
        <x:v>0</x:v>
      </x:c>
      <x:c r="S286" t="n">
        <x:f>IF(AND(AND(AND(ISNUMBER($F286),ISNUMBER($G286),$H286=$L286),$I286=$M286,NOT(AND($I286="Penales",$F286&lt;&gt;$G286))),$F286=$J286),Reglas!$B$7,0)</x:f>
        <x:v>0</x:v>
      </x:c>
      <x:c r="T286" t="n">
        <x:f>IF(AND(AND(AND(ISNUMBER($F286),ISNUMBER($G286),$H286=$L286),$I286=$M286,NOT(AND($I286="Penales",$F286&lt;&gt;$G286))),$G286=$K286),Reglas!$B$8,0)</x:f>
        <x:v>0</x:v>
      </x:c>
      <x:c r="U286" t="n">
        <x:f>SUM(N286:T286)</x:f>
        <x:v>0</x:v>
      </x:c>
      <x:c r="V286" t="str">
        <x:f>IF($W286="Sin respuesta","Sin envio",IF($U286&gt;0,"OK","Sin puntos"))</x:f>
        <x:v>Sin envio</x:v>
      </x:c>
      <x:c r="W286" t="str">
        <x:v>Sin respuesta</x:v>
      </x:c>
    </x:row>
    <x:row r="287" ht="15" hidden="0" customHeight="1">
      <x:c r="A287" t="str">
        <x:v>Semifinal</x:v>
      </x:c>
      <x:c r="B287" t="str">
        <x:v>SF1</x:v>
      </x:c>
      <x:c r="C287" t="str">
        <x:v>Óscar</x:v>
      </x:c>
      <x:c r="D287" t="str">
        <x:v>Francia</x:v>
      </x:c>
      <x:c r="E287" t="str">
        <x:v>España</x:v>
      </x:c>
      <x:c r="F287" t="n">
        <x:v>2</x:v>
      </x:c>
      <x:c r="G287" t="n">
        <x:v>1</x:v>
      </x:c>
      <x:c r="H287" t="str">
        <x:v>Francia</x:v>
      </x:c>
      <x:c r="I287" t="str">
        <x:v>Suplementario</x:v>
      </x:c>
      <x:c r="J287" t="n">
        <x:v>0</x:v>
      </x:c>
      <x:c r="K287" t="n">
        <x:v>2</x:v>
      </x:c>
      <x:c r="L287" t="str">
        <x:v>España</x:v>
      </x:c>
      <x:c r="M287" t="str">
        <x:v>90 minutos</x:v>
      </x:c>
      <x:c r="N287" t="n">
        <x:f>IF(AND(AND(ISNUMBER($F287),ISNUMBER($G287),$H287=$L287),IF($I287="90 minutos",IF($F287&gt;$G287,"A",IF($G287&gt;$F287,"B","E")),"E")=IF($M287="90 minutos",IF($J287&gt;$K287,"A",IF($K287&gt;$J287,"B","E")),"E")),Reglas!$B$2,0)</x:f>
        <x:v>0</x:v>
      </x:c>
      <x:c r="O287" t="n">
        <x:f>IF(AND(ISNUMBER($F287),ISNUMBER($G287),$H287=$L287),Reglas!$B$3,0)</x:f>
        <x:v>0</x:v>
      </x:c>
      <x:c r="P287" t="n">
        <x:f>IF(AND(AND(ISNUMBER($F287),ISNUMBER($G287),$H287=$L287),$I287=$M287),Reglas!$B$4,0)</x:f>
        <x:v>0</x:v>
      </x:c>
      <x:c r="Q287" t="n">
        <x:f>IF(AND(AND(AND(ISNUMBER($F287),ISNUMBER($G287),$H287=$L287),$I287=$M287,NOT(AND($I287="Penales",$F287&lt;&gt;$G287))),$F287=$J287,$G287=$K287),Reglas!$B$5,0)</x:f>
        <x:v>0</x:v>
      </x:c>
      <x:c r="R287" t="n">
        <x:f>IF(AND(AND(AND(ISNUMBER($F287),ISNUMBER($G287),$H287=$L287),$I287=$M287,NOT(AND($I287="Penales",$F287&lt;&gt;$G287))),$F287-$G287=$J287-$K287),Reglas!$B$6,0)</x:f>
        <x:v>0</x:v>
      </x:c>
      <x:c r="S287" t="n">
        <x:f>IF(AND(AND(AND(ISNUMBER($F287),ISNUMBER($G287),$H287=$L287),$I287=$M287,NOT(AND($I287="Penales",$F287&lt;&gt;$G287))),$F287=$J287),Reglas!$B$7,0)</x:f>
        <x:v>0</x:v>
      </x:c>
      <x:c r="T287" t="n">
        <x:f>IF(AND(AND(AND(ISNUMBER($F287),ISNUMBER($G287),$H287=$L287),$I287=$M287,NOT(AND($I287="Penales",$F287&lt;&gt;$G287))),$G287=$K287),Reglas!$B$8,0)</x:f>
        <x:v>0</x:v>
      </x:c>
      <x:c r="U287" t="n">
        <x:f>SUM(N287:T287)</x:f>
        <x:v>0</x:v>
      </x:c>
      <x:c r="V287" t="str">
        <x:f>IF($W287="Sin respuesta","Sin envio",IF($U287&gt;0,"OK","Sin puntos"))</x:f>
        <x:v>Sin puntos</x:v>
      </x:c>
      <x:c r="W287" t="str">
        <x:v>Google Forms</x:v>
      </x:c>
    </x:row>
    <x:row r="288" ht="15" hidden="0" customHeight="1">
      <x:c r="A288" t="str">
        <x:v>Semifinal</x:v>
      </x:c>
      <x:c r="B288" t="str">
        <x:v>SF2</x:v>
      </x:c>
      <x:c r="C288" t="str">
        <x:v>Freddy</x:v>
      </x:c>
      <x:c r="D288" t="str">
        <x:v>Inglaterra</x:v>
      </x:c>
      <x:c r="E288" t="str">
        <x:v>Argentina</x:v>
      </x:c>
      <x:c r="F288" t="n">
        <x:v>1</x:v>
      </x:c>
      <x:c r="G288" t="n">
        <x:v>2</x:v>
      </x:c>
      <x:c r="H288" t="str">
        <x:v>Argentina</x:v>
      </x:c>
      <x:c r="I288" t="str">
        <x:v>Suplementario</x:v>
      </x:c>
      <x:c r="J288" t="n">
        <x:v>1</x:v>
      </x:c>
      <x:c r="K288" t="n">
        <x:v>2</x:v>
      </x:c>
      <x:c r="L288" t="str">
        <x:v>Argentina</x:v>
      </x:c>
      <x:c r="M288" t="str">
        <x:v>90 minutos</x:v>
      </x:c>
      <x:c r="N288" t="n">
        <x:f>IF(AND(AND(ISNUMBER($F288),ISNUMBER($G288),$H288=$L288),IF($I288="90 minutos",IF($F288&gt;$G288,"A",IF($G288&gt;$F288,"B","E")),"E")=IF($M288="90 minutos",IF($J288&gt;$K288,"A",IF($K288&gt;$J288,"B","E")),"E")),Reglas!$B$2,0)</x:f>
        <x:v>0</x:v>
      </x:c>
      <x:c r="O288" t="n">
        <x:f>IF(AND(ISNUMBER($F288),ISNUMBER($G288),$H288=$L288),Reglas!$B$3,0)</x:f>
        <x:v>3</x:v>
      </x:c>
      <x:c r="P288" t="n">
        <x:f>IF(AND(AND(ISNUMBER($F288),ISNUMBER($G288),$H288=$L288),$I288=$M288),Reglas!$B$4,0)</x:f>
        <x:v>0</x:v>
      </x:c>
      <x:c r="Q288" t="n">
        <x:f>IF(AND(AND(AND(ISNUMBER($F288),ISNUMBER($G288),$H288=$L288),$I288=$M288,NOT(AND($I288="Penales",$F288&lt;&gt;$G288))),$F288=$J288,$G288=$K288),Reglas!$B$5,0)</x:f>
        <x:v>0</x:v>
      </x:c>
      <x:c r="R288" t="n">
        <x:f>IF(AND(AND(AND(ISNUMBER($F288),ISNUMBER($G288),$H288=$L288),$I288=$M288,NOT(AND($I288="Penales",$F288&lt;&gt;$G288))),$F288-$G288=$J288-$K288),Reglas!$B$6,0)</x:f>
        <x:v>0</x:v>
      </x:c>
      <x:c r="S288" t="n">
        <x:f>IF(AND(AND(AND(ISNUMBER($F288),ISNUMBER($G288),$H288=$L288),$I288=$M288,NOT(AND($I288="Penales",$F288&lt;&gt;$G288))),$F288=$J288),Reglas!$B$7,0)</x:f>
        <x:v>0</x:v>
      </x:c>
      <x:c r="T288" t="n">
        <x:f>IF(AND(AND(AND(ISNUMBER($F288),ISNUMBER($G288),$H288=$L288),$I288=$M288,NOT(AND($I288="Penales",$F288&lt;&gt;$G288))),$G288=$K288),Reglas!$B$8,0)</x:f>
        <x:v>0</x:v>
      </x:c>
      <x:c r="U288" t="n">
        <x:f>SUM(N288:T288)</x:f>
        <x:v>3</x:v>
      </x:c>
      <x:c r="V288" t="str">
        <x:f>IF($W288="Sin respuesta","Sin envio",IF($U288&gt;0,"OK","Sin puntos"))</x:f>
        <x:v>OK</x:v>
      </x:c>
      <x:c r="W288" t="str">
        <x:v>Google Forms</x:v>
      </x:c>
    </x:row>
    <x:row r="289" ht="15" hidden="0" customHeight="1">
      <x:c r="A289" t="str">
        <x:v>Semifinal</x:v>
      </x:c>
      <x:c r="B289" t="str">
        <x:v>SF2</x:v>
      </x:c>
      <x:c r="C289" t="str">
        <x:v>Gabriela</x:v>
      </x:c>
      <x:c r="D289" t="str">
        <x:v>Inglaterra</x:v>
      </x:c>
      <x:c r="E289" t="str">
        <x:v>Argentina</x:v>
      </x:c>
      <x:c r="F289" t="n">
        <x:v>3</x:v>
      </x:c>
      <x:c r="G289" t="n">
        <x:v>2</x:v>
      </x:c>
      <x:c r="H289" t="str">
        <x:v>Inglaterra</x:v>
      </x:c>
      <x:c r="I289" t="str">
        <x:v>Suplementario</x:v>
      </x:c>
      <x:c r="J289" t="n">
        <x:v>1</x:v>
      </x:c>
      <x:c r="K289" t="n">
        <x:v>2</x:v>
      </x:c>
      <x:c r="L289" t="str">
        <x:v>Argentina</x:v>
      </x:c>
      <x:c r="M289" t="str">
        <x:v>90 minutos</x:v>
      </x:c>
      <x:c r="N289" t="n">
        <x:f>IF(AND(AND(ISNUMBER($F289),ISNUMBER($G289),$H289=$L289),IF($I289="90 minutos",IF($F289&gt;$G289,"A",IF($G289&gt;$F289,"B","E")),"E")=IF($M289="90 minutos",IF($J289&gt;$K289,"A",IF($K289&gt;$J289,"B","E")),"E")),Reglas!$B$2,0)</x:f>
        <x:v>0</x:v>
      </x:c>
      <x:c r="O289" t="n">
        <x:f>IF(AND(ISNUMBER($F289),ISNUMBER($G289),$H289=$L289),Reglas!$B$3,0)</x:f>
        <x:v>0</x:v>
      </x:c>
      <x:c r="P289" t="n">
        <x:f>IF(AND(AND(ISNUMBER($F289),ISNUMBER($G289),$H289=$L289),$I289=$M289),Reglas!$B$4,0)</x:f>
        <x:v>0</x:v>
      </x:c>
      <x:c r="Q289" t="n">
        <x:f>IF(AND(AND(AND(ISNUMBER($F289),ISNUMBER($G289),$H289=$L289),$I289=$M289,NOT(AND($I289="Penales",$F289&lt;&gt;$G289))),$F289=$J289,$G289=$K289),Reglas!$B$5,0)</x:f>
        <x:v>0</x:v>
      </x:c>
      <x:c r="R289" t="n">
        <x:f>IF(AND(AND(AND(ISNUMBER($F289),ISNUMBER($G289),$H289=$L289),$I289=$M289,NOT(AND($I289="Penales",$F289&lt;&gt;$G289))),$F289-$G289=$J289-$K289),Reglas!$B$6,0)</x:f>
        <x:v>0</x:v>
      </x:c>
      <x:c r="S289" t="n">
        <x:f>IF(AND(AND(AND(ISNUMBER($F289),ISNUMBER($G289),$H289=$L289),$I289=$M289,NOT(AND($I289="Penales",$F289&lt;&gt;$G289))),$F289=$J289),Reglas!$B$7,0)</x:f>
        <x:v>0</x:v>
      </x:c>
      <x:c r="T289" t="n">
        <x:f>IF(AND(AND(AND(ISNUMBER($F289),ISNUMBER($G289),$H289=$L289),$I289=$M289,NOT(AND($I289="Penales",$F289&lt;&gt;$G289))),$G289=$K289),Reglas!$B$8,0)</x:f>
        <x:v>0</x:v>
      </x:c>
      <x:c r="U289" t="n">
        <x:f>SUM(N289:T289)</x:f>
        <x:v>0</x:v>
      </x:c>
      <x:c r="V289" t="str">
        <x:f>IF($W289="Sin respuesta","Sin envio",IF($U289&gt;0,"OK","Sin puntos"))</x:f>
        <x:v>Sin puntos</x:v>
      </x:c>
      <x:c r="W289" t="str">
        <x:v>Google Forms</x:v>
      </x:c>
    </x:row>
    <x:row r="290" ht="15" hidden="0" customHeight="1">
      <x:c r="A290" t="str">
        <x:v>Semifinal</x:v>
      </x:c>
      <x:c r="B290" t="str">
        <x:v>SF2</x:v>
      </x:c>
      <x:c r="C290" t="str">
        <x:v>Jean</x:v>
      </x:c>
      <x:c r="D290" t="str">
        <x:v>Inglaterra</x:v>
      </x:c>
      <x:c r="E290" t="str">
        <x:v>Argentina</x:v>
      </x:c>
      <x:c r="F290" t="n">
        <x:v>1</x:v>
      </x:c>
      <x:c r="G290" t="n">
        <x:v>2</x:v>
      </x:c>
      <x:c r="H290" t="str">
        <x:v>Argentina</x:v>
      </x:c>
      <x:c r="I290" t="str">
        <x:v>90 minutos</x:v>
      </x:c>
      <x:c r="J290" t="n">
        <x:v>1</x:v>
      </x:c>
      <x:c r="K290" t="n">
        <x:v>2</x:v>
      </x:c>
      <x:c r="L290" t="str">
        <x:v>Argentina</x:v>
      </x:c>
      <x:c r="M290" t="str">
        <x:v>90 minutos</x:v>
      </x:c>
      <x:c r="N290" t="n">
        <x:f>IF(AND(AND(ISNUMBER($F290),ISNUMBER($G290),$H290=$L290),IF($I290="90 minutos",IF($F290&gt;$G290,"A",IF($G290&gt;$F290,"B","E")),"E")=IF($M290="90 minutos",IF($J290&gt;$K290,"A",IF($K290&gt;$J290,"B","E")),"E")),Reglas!$B$2,0)</x:f>
        <x:v>5</x:v>
      </x:c>
      <x:c r="O290" t="n">
        <x:f>IF(AND(ISNUMBER($F290),ISNUMBER($G290),$H290=$L290),Reglas!$B$3,0)</x:f>
        <x:v>3</x:v>
      </x:c>
      <x:c r="P290" t="n">
        <x:f>IF(AND(AND(ISNUMBER($F290),ISNUMBER($G290),$H290=$L290),$I290=$M290),Reglas!$B$4,0)</x:f>
        <x:v>2</x:v>
      </x:c>
      <x:c r="Q290" t="n">
        <x:f>IF(AND(AND(AND(ISNUMBER($F290),ISNUMBER($G290),$H290=$L290),$I290=$M290,NOT(AND($I290="Penales",$F290&lt;&gt;$G290))),$F290=$J290,$G290=$K290),Reglas!$B$5,0)</x:f>
        <x:v>4</x:v>
      </x:c>
      <x:c r="R290" t="n">
        <x:f>IF(AND(AND(AND(ISNUMBER($F290),ISNUMBER($G290),$H290=$L290),$I290=$M290,NOT(AND($I290="Penales",$F290&lt;&gt;$G290))),$F290-$G290=$J290-$K290),Reglas!$B$6,0)</x:f>
        <x:v>2</x:v>
      </x:c>
      <x:c r="S290" t="n">
        <x:f>IF(AND(AND(AND(ISNUMBER($F290),ISNUMBER($G290),$H290=$L290),$I290=$M290,NOT(AND($I290="Penales",$F290&lt;&gt;$G290))),$F290=$J290),Reglas!$B$7,0)</x:f>
        <x:v>1</x:v>
      </x:c>
      <x:c r="T290" t="n">
        <x:f>IF(AND(AND(AND(ISNUMBER($F290),ISNUMBER($G290),$H290=$L290),$I290=$M290,NOT(AND($I290="Penales",$F290&lt;&gt;$G290))),$G290=$K290),Reglas!$B$8,0)</x:f>
        <x:v>1</x:v>
      </x:c>
      <x:c r="U290" t="n">
        <x:f>SUM(N290:T290)</x:f>
        <x:v>18</x:v>
      </x:c>
      <x:c r="V290" t="str">
        <x:f>IF($W290="Sin respuesta","Sin envio",IF($U290&gt;0,"OK","Sin puntos"))</x:f>
        <x:v>OK</x:v>
      </x:c>
      <x:c r="W290" t="str">
        <x:v>Google Forms</x:v>
      </x:c>
    </x:row>
    <x:row r="291" ht="15" hidden="0" customHeight="1">
      <x:c r="A291" t="str">
        <x:v>Semifinal</x:v>
      </x:c>
      <x:c r="B291" t="str">
        <x:v>SF2</x:v>
      </x:c>
      <x:c r="C291" t="str">
        <x:v>Juan</x:v>
      </x:c>
      <x:c r="D291" t="str">
        <x:v>Inglaterra</x:v>
      </x:c>
      <x:c r="E291" t="str">
        <x:v>Argentina</x:v>
      </x:c>
      <x:c r="F291" t="n">
        <x:v>2</x:v>
      </x:c>
      <x:c r="G291" t="n">
        <x:v>2</x:v>
      </x:c>
      <x:c r="H291" t="str">
        <x:v>Argentina</x:v>
      </x:c>
      <x:c r="I291" t="str">
        <x:v>Penales</x:v>
      </x:c>
      <x:c r="J291" t="n">
        <x:v>1</x:v>
      </x:c>
      <x:c r="K291" t="n">
        <x:v>2</x:v>
      </x:c>
      <x:c r="L291" t="str">
        <x:v>Argentina</x:v>
      </x:c>
      <x:c r="M291" t="str">
        <x:v>90 minutos</x:v>
      </x:c>
      <x:c r="N291" t="n">
        <x:f>IF(AND(AND(ISNUMBER($F291),ISNUMBER($G291),$H291=$L291),IF($I291="90 minutos",IF($F291&gt;$G291,"A",IF($G291&gt;$F291,"B","E")),"E")=IF($M291="90 minutos",IF($J291&gt;$K291,"A",IF($K291&gt;$J291,"B","E")),"E")),Reglas!$B$2,0)</x:f>
        <x:v>0</x:v>
      </x:c>
      <x:c r="O291" t="n">
        <x:f>IF(AND(ISNUMBER($F291),ISNUMBER($G291),$H291=$L291),Reglas!$B$3,0)</x:f>
        <x:v>3</x:v>
      </x:c>
      <x:c r="P291" t="n">
        <x:f>IF(AND(AND(ISNUMBER($F291),ISNUMBER($G291),$H291=$L291),$I291=$M291),Reglas!$B$4,0)</x:f>
        <x:v>0</x:v>
      </x:c>
      <x:c r="Q291" t="n">
        <x:f>IF(AND(AND(AND(ISNUMBER($F291),ISNUMBER($G291),$H291=$L291),$I291=$M291,NOT(AND($I291="Penales",$F291&lt;&gt;$G291))),$F291=$J291,$G291=$K291),Reglas!$B$5,0)</x:f>
        <x:v>0</x:v>
      </x:c>
      <x:c r="R291" t="n">
        <x:f>IF(AND(AND(AND(ISNUMBER($F291),ISNUMBER($G291),$H291=$L291),$I291=$M291,NOT(AND($I291="Penales",$F291&lt;&gt;$G291))),$F291-$G291=$J291-$K291),Reglas!$B$6,0)</x:f>
        <x:v>0</x:v>
      </x:c>
      <x:c r="S291" t="n">
        <x:f>IF(AND(AND(AND(ISNUMBER($F291),ISNUMBER($G291),$H291=$L291),$I291=$M291,NOT(AND($I291="Penales",$F291&lt;&gt;$G291))),$F291=$J291),Reglas!$B$7,0)</x:f>
        <x:v>0</x:v>
      </x:c>
      <x:c r="T291" t="n">
        <x:f>IF(AND(AND(AND(ISNUMBER($F291),ISNUMBER($G291),$H291=$L291),$I291=$M291,NOT(AND($I291="Penales",$F291&lt;&gt;$G291))),$G291=$K291),Reglas!$B$8,0)</x:f>
        <x:v>0</x:v>
      </x:c>
      <x:c r="U291" t="n">
        <x:f>SUM(N291:T291)</x:f>
        <x:v>3</x:v>
      </x:c>
      <x:c r="V291" t="str">
        <x:f>IF($W291="Sin respuesta","Sin envio",IF($U291&gt;0,"OK","Sin puntos"))</x:f>
        <x:v>OK</x:v>
      </x:c>
      <x:c r="W291" t="str">
        <x:v>Google Forms</x:v>
      </x:c>
    </x:row>
    <x:row r="292" ht="15" hidden="0" customHeight="1">
      <x:c r="A292" t="str">
        <x:v>Semifinal</x:v>
      </x:c>
      <x:c r="B292" t="str">
        <x:v>SF2</x:v>
      </x:c>
      <x:c r="C292" t="str">
        <x:v>Jesús</x:v>
      </x:c>
      <x:c r="D292" t="str">
        <x:v>Inglaterra</x:v>
      </x:c>
      <x:c r="E292" t="str">
        <x:v>Argentina</x:v>
      </x:c>
      <x:c r="F292" t="n">
        <x:v>2</x:v>
      </x:c>
      <x:c r="G292" t="n">
        <x:v>1</x:v>
      </x:c>
      <x:c r="H292" t="str">
        <x:v>Inglaterra</x:v>
      </x:c>
      <x:c r="I292" t="str">
        <x:v>90 minutos</x:v>
      </x:c>
      <x:c r="J292" t="n">
        <x:v>1</x:v>
      </x:c>
      <x:c r="K292" t="n">
        <x:v>2</x:v>
      </x:c>
      <x:c r="L292" t="str">
        <x:v>Argentina</x:v>
      </x:c>
      <x:c r="M292" t="str">
        <x:v>90 minutos</x:v>
      </x:c>
      <x:c r="N292" t="n">
        <x:f>IF(AND(AND(ISNUMBER($F292),ISNUMBER($G292),$H292=$L292),IF($I292="90 minutos",IF($F292&gt;$G292,"A",IF($G292&gt;$F292,"B","E")),"E")=IF($M292="90 minutos",IF($J292&gt;$K292,"A",IF($K292&gt;$J292,"B","E")),"E")),Reglas!$B$2,0)</x:f>
        <x:v>0</x:v>
      </x:c>
      <x:c r="O292" t="n">
        <x:f>IF(AND(ISNUMBER($F292),ISNUMBER($G292),$H292=$L292),Reglas!$B$3,0)</x:f>
        <x:v>0</x:v>
      </x:c>
      <x:c r="P292" t="n">
        <x:f>IF(AND(AND(ISNUMBER($F292),ISNUMBER($G292),$H292=$L292),$I292=$M292),Reglas!$B$4,0)</x:f>
        <x:v>0</x:v>
      </x:c>
      <x:c r="Q292" t="n">
        <x:f>IF(AND(AND(AND(ISNUMBER($F292),ISNUMBER($G292),$H292=$L292),$I292=$M292,NOT(AND($I292="Penales",$F292&lt;&gt;$G292))),$F292=$J292,$G292=$K292),Reglas!$B$5,0)</x:f>
        <x:v>0</x:v>
      </x:c>
      <x:c r="R292" t="n">
        <x:f>IF(AND(AND(AND(ISNUMBER($F292),ISNUMBER($G292),$H292=$L292),$I292=$M292,NOT(AND($I292="Penales",$F292&lt;&gt;$G292))),$F292-$G292=$J292-$K292),Reglas!$B$6,0)</x:f>
        <x:v>0</x:v>
      </x:c>
      <x:c r="S292" t="n">
        <x:f>IF(AND(AND(AND(ISNUMBER($F292),ISNUMBER($G292),$H292=$L292),$I292=$M292,NOT(AND($I292="Penales",$F292&lt;&gt;$G292))),$F292=$J292),Reglas!$B$7,0)</x:f>
        <x:v>0</x:v>
      </x:c>
      <x:c r="T292" t="n">
        <x:f>IF(AND(AND(AND(ISNUMBER($F292),ISNUMBER($G292),$H292=$L292),$I292=$M292,NOT(AND($I292="Penales",$F292&lt;&gt;$G292))),$G292=$K292),Reglas!$B$8,0)</x:f>
        <x:v>0</x:v>
      </x:c>
      <x:c r="U292" t="n">
        <x:f>SUM(N292:T292)</x:f>
        <x:v>0</x:v>
      </x:c>
      <x:c r="V292" t="str">
        <x:f>IF($W292="Sin respuesta","Sin envio",IF($U292&gt;0,"OK","Sin puntos"))</x:f>
        <x:v>Sin puntos</x:v>
      </x:c>
      <x:c r="W292" t="str">
        <x:v>Google Forms</x:v>
      </x:c>
    </x:row>
    <x:row r="293" ht="15" hidden="0" customHeight="1">
      <x:c r="A293" t="str">
        <x:v>Semifinal</x:v>
      </x:c>
      <x:c r="B293" t="str">
        <x:v>SF2</x:v>
      </x:c>
      <x:c r="C293" t="str">
        <x:v>Diego</x:v>
      </x:c>
      <x:c r="D293" t="str">
        <x:v>Inglaterra</x:v>
      </x:c>
      <x:c r="E293" t="str">
        <x:v>Argentina</x:v>
      </x:c>
      <x:c r="F293" t="n">
        <x:v>1</x:v>
      </x:c>
      <x:c r="G293" t="n">
        <x:v>2</x:v>
      </x:c>
      <x:c r="H293" t="str">
        <x:v>Argentina</x:v>
      </x:c>
      <x:c r="I293" t="str">
        <x:v>Suplementario</x:v>
      </x:c>
      <x:c r="J293" t="n">
        <x:v>1</x:v>
      </x:c>
      <x:c r="K293" t="n">
        <x:v>2</x:v>
      </x:c>
      <x:c r="L293" t="str">
        <x:v>Argentina</x:v>
      </x:c>
      <x:c r="M293" t="str">
        <x:v>90 minutos</x:v>
      </x:c>
      <x:c r="N293" t="n">
        <x:f>IF(AND(AND(ISNUMBER($F293),ISNUMBER($G293),$H293=$L293),IF($I293="90 minutos",IF($F293&gt;$G293,"A",IF($G293&gt;$F293,"B","E")),"E")=IF($M293="90 minutos",IF($J293&gt;$K293,"A",IF($K293&gt;$J293,"B","E")),"E")),Reglas!$B$2,0)</x:f>
        <x:v>0</x:v>
      </x:c>
      <x:c r="O293" t="n">
        <x:f>IF(AND(ISNUMBER($F293),ISNUMBER($G293),$H293=$L293),Reglas!$B$3,0)</x:f>
        <x:v>3</x:v>
      </x:c>
      <x:c r="P293" t="n">
        <x:f>IF(AND(AND(ISNUMBER($F293),ISNUMBER($G293),$H293=$L293),$I293=$M293),Reglas!$B$4,0)</x:f>
        <x:v>0</x:v>
      </x:c>
      <x:c r="Q293" t="n">
        <x:f>IF(AND(AND(AND(ISNUMBER($F293),ISNUMBER($G293),$H293=$L293),$I293=$M293,NOT(AND($I293="Penales",$F293&lt;&gt;$G293))),$F293=$J293,$G293=$K293),Reglas!$B$5,0)</x:f>
        <x:v>0</x:v>
      </x:c>
      <x:c r="R293" t="n">
        <x:f>IF(AND(AND(AND(ISNUMBER($F293),ISNUMBER($G293),$H293=$L293),$I293=$M293,NOT(AND($I293="Penales",$F293&lt;&gt;$G293))),$F293-$G293=$J293-$K293),Reglas!$B$6,0)</x:f>
        <x:v>0</x:v>
      </x:c>
      <x:c r="S293" t="n">
        <x:f>IF(AND(AND(AND(ISNUMBER($F293),ISNUMBER($G293),$H293=$L293),$I293=$M293,NOT(AND($I293="Penales",$F293&lt;&gt;$G293))),$F293=$J293),Reglas!$B$7,0)</x:f>
        <x:v>0</x:v>
      </x:c>
      <x:c r="T293" t="n">
        <x:f>IF(AND(AND(AND(ISNUMBER($F293),ISNUMBER($G293),$H293=$L293),$I293=$M293,NOT(AND($I293="Penales",$F293&lt;&gt;$G293))),$G293=$K293),Reglas!$B$8,0)</x:f>
        <x:v>0</x:v>
      </x:c>
      <x:c r="U293" t="n">
        <x:f>SUM(N293:T293)</x:f>
        <x:v>3</x:v>
      </x:c>
      <x:c r="V293" t="str">
        <x:f>IF($W293="Sin respuesta","Sin envio",IF($U293&gt;0,"OK","Sin puntos"))</x:f>
        <x:v>OK</x:v>
      </x:c>
      <x:c r="W293" t="str">
        <x:v>Google Forms</x:v>
      </x:c>
    </x:row>
    <x:row r="294" ht="15" hidden="0" customHeight="1">
      <x:c r="A294" t="str">
        <x:v>Semifinal</x:v>
      </x:c>
      <x:c r="B294" t="str">
        <x:v>SF2</x:v>
      </x:c>
      <x:c r="C294" t="str">
        <x:v>Aldo</x:v>
      </x:c>
      <x:c r="D294" t="str">
        <x:v>Inglaterra</x:v>
      </x:c>
      <x:c r="E294" t="str">
        <x:v>Argentina</x:v>
      </x:c>
      <x:c r="F294" t="n">
        <x:v>1</x:v>
      </x:c>
      <x:c r="G294" t="n">
        <x:v>2</x:v>
      </x:c>
      <x:c r="H294" t="str">
        <x:v>Argentina</x:v>
      </x:c>
      <x:c r="I294" t="str">
        <x:v>Suplementario</x:v>
      </x:c>
      <x:c r="J294" t="n">
        <x:v>1</x:v>
      </x:c>
      <x:c r="K294" t="n">
        <x:v>2</x:v>
      </x:c>
      <x:c r="L294" t="str">
        <x:v>Argentina</x:v>
      </x:c>
      <x:c r="M294" t="str">
        <x:v>90 minutos</x:v>
      </x:c>
      <x:c r="N294" t="n">
        <x:f>IF(AND(AND(ISNUMBER($F294),ISNUMBER($G294),$H294=$L294),IF($I294="90 minutos",IF($F294&gt;$G294,"A",IF($G294&gt;$F294,"B","E")),"E")=IF($M294="90 minutos",IF($J294&gt;$K294,"A",IF($K294&gt;$J294,"B","E")),"E")),Reglas!$B$2,0)</x:f>
        <x:v>0</x:v>
      </x:c>
      <x:c r="O294" t="n">
        <x:f>IF(AND(ISNUMBER($F294),ISNUMBER($G294),$H294=$L294),Reglas!$B$3,0)</x:f>
        <x:v>3</x:v>
      </x:c>
      <x:c r="P294" t="n">
        <x:f>IF(AND(AND(ISNUMBER($F294),ISNUMBER($G294),$H294=$L294),$I294=$M294),Reglas!$B$4,0)</x:f>
        <x:v>0</x:v>
      </x:c>
      <x:c r="Q294" t="n">
        <x:f>IF(AND(AND(AND(ISNUMBER($F294),ISNUMBER($G294),$H294=$L294),$I294=$M294,NOT(AND($I294="Penales",$F294&lt;&gt;$G294))),$F294=$J294,$G294=$K294),Reglas!$B$5,0)</x:f>
        <x:v>0</x:v>
      </x:c>
      <x:c r="R294" t="n">
        <x:f>IF(AND(AND(AND(ISNUMBER($F294),ISNUMBER($G294),$H294=$L294),$I294=$M294,NOT(AND($I294="Penales",$F294&lt;&gt;$G294))),$F294-$G294=$J294-$K294),Reglas!$B$6,0)</x:f>
        <x:v>0</x:v>
      </x:c>
      <x:c r="S294" t="n">
        <x:f>IF(AND(AND(AND(ISNUMBER($F294),ISNUMBER($G294),$H294=$L294),$I294=$M294,NOT(AND($I294="Penales",$F294&lt;&gt;$G294))),$F294=$J294),Reglas!$B$7,0)</x:f>
        <x:v>0</x:v>
      </x:c>
      <x:c r="T294" t="n">
        <x:f>IF(AND(AND(AND(ISNUMBER($F294),ISNUMBER($G294),$H294=$L294),$I294=$M294,NOT(AND($I294="Penales",$F294&lt;&gt;$G294))),$G294=$K294),Reglas!$B$8,0)</x:f>
        <x:v>0</x:v>
      </x:c>
      <x:c r="U294" t="n">
        <x:f>SUM(N294:T294)</x:f>
        <x:v>3</x:v>
      </x:c>
      <x:c r="V294" t="str">
        <x:f>IF($W294="Sin respuesta","Sin envio",IF($U294&gt;0,"OK","Sin puntos"))</x:f>
        <x:v>OK</x:v>
      </x:c>
      <x:c r="W294" t="str">
        <x:v>Google Forms</x:v>
      </x:c>
    </x:row>
    <x:row r="295" ht="15" hidden="0" customHeight="1">
      <x:c r="A295" t="str">
        <x:v>Semifinal</x:v>
      </x:c>
      <x:c r="B295" t="str">
        <x:v>SF2</x:v>
      </x:c>
      <x:c r="C295" t="str">
        <x:v>Javier</x:v>
      </x:c>
      <x:c r="D295" t="str">
        <x:v>Inglaterra</x:v>
      </x:c>
      <x:c r="E295" t="str">
        <x:v>Argentina</x:v>
      </x:c>
      <x:c r="F295"/>
      <x:c r="G295"/>
      <x:c r="H295" t="str">
        <x:v>Sin envio</x:v>
      </x:c>
      <x:c r="I295" t="str">
        <x:v>Sin envio</x:v>
      </x:c>
      <x:c r="J295" t="n">
        <x:v>1</x:v>
      </x:c>
      <x:c r="K295" t="n">
        <x:v>2</x:v>
      </x:c>
      <x:c r="L295" t="str">
        <x:v>Argentina</x:v>
      </x:c>
      <x:c r="M295" t="str">
        <x:v>90 minutos</x:v>
      </x:c>
      <x:c r="N295" t="n">
        <x:f>IF(AND(AND(ISNUMBER($F295),ISNUMBER($G295),$H295=$L295),IF($I295="90 minutos",IF($F295&gt;$G295,"A",IF($G295&gt;$F295,"B","E")),"E")=IF($M295="90 minutos",IF($J295&gt;$K295,"A",IF($K295&gt;$J295,"B","E")),"E")),Reglas!$B$2,0)</x:f>
        <x:v>0</x:v>
      </x:c>
      <x:c r="O295" t="n">
        <x:f>IF(AND(ISNUMBER($F295),ISNUMBER($G295),$H295=$L295),Reglas!$B$3,0)</x:f>
        <x:v>0</x:v>
      </x:c>
      <x:c r="P295" t="n">
        <x:f>IF(AND(AND(ISNUMBER($F295),ISNUMBER($G295),$H295=$L295),$I295=$M295),Reglas!$B$4,0)</x:f>
        <x:v>0</x:v>
      </x:c>
      <x:c r="Q295" t="n">
        <x:f>IF(AND(AND(AND(ISNUMBER($F295),ISNUMBER($G295),$H295=$L295),$I295=$M295,NOT(AND($I295="Penales",$F295&lt;&gt;$G295))),$F295=$J295,$G295=$K295),Reglas!$B$5,0)</x:f>
        <x:v>0</x:v>
      </x:c>
      <x:c r="R295" t="n">
        <x:f>IF(AND(AND(AND(ISNUMBER($F295),ISNUMBER($G295),$H295=$L295),$I295=$M295,NOT(AND($I295="Penales",$F295&lt;&gt;$G295))),$F295-$G295=$J295-$K295),Reglas!$B$6,0)</x:f>
        <x:v>0</x:v>
      </x:c>
      <x:c r="S295" t="n">
        <x:f>IF(AND(AND(AND(ISNUMBER($F295),ISNUMBER($G295),$H295=$L295),$I295=$M295,NOT(AND($I295="Penales",$F295&lt;&gt;$G295))),$F295=$J295),Reglas!$B$7,0)</x:f>
        <x:v>0</x:v>
      </x:c>
      <x:c r="T295" t="n">
        <x:f>IF(AND(AND(AND(ISNUMBER($F295),ISNUMBER($G295),$H295=$L295),$I295=$M295,NOT(AND($I295="Penales",$F295&lt;&gt;$G295))),$G295=$K295),Reglas!$B$8,0)</x:f>
        <x:v>0</x:v>
      </x:c>
      <x:c r="U295" t="n">
        <x:f>SUM(N295:T295)</x:f>
        <x:v>0</x:v>
      </x:c>
      <x:c r="V295" t="str">
        <x:f>IF($W295="Sin respuesta","Sin envio",IF($U295&gt;0,"OK","Sin puntos"))</x:f>
        <x:v>Sin envio</x:v>
      </x:c>
      <x:c r="W295" t="str">
        <x:v>Sin respuesta</x:v>
      </x:c>
    </x:row>
    <x:row r="296" ht="15" hidden="0" customHeight="1">
      <x:c r="A296" t="str">
        <x:v>Semifinal</x:v>
      </x:c>
      <x:c r="B296" t="str">
        <x:v>SF2</x:v>
      </x:c>
      <x:c r="C296" t="str">
        <x:v>Gino</x:v>
      </x:c>
      <x:c r="D296" t="str">
        <x:v>Inglaterra</x:v>
      </x:c>
      <x:c r="E296" t="str">
        <x:v>Argentina</x:v>
      </x:c>
      <x:c r="F296" t="n">
        <x:v>1</x:v>
      </x:c>
      <x:c r="G296" t="n">
        <x:v>1</x:v>
      </x:c>
      <x:c r="H296" t="str">
        <x:v>Inglaterra</x:v>
      </x:c>
      <x:c r="I296" t="str">
        <x:v>Penales</x:v>
      </x:c>
      <x:c r="J296" t="n">
        <x:v>1</x:v>
      </x:c>
      <x:c r="K296" t="n">
        <x:v>2</x:v>
      </x:c>
      <x:c r="L296" t="str">
        <x:v>Argentina</x:v>
      </x:c>
      <x:c r="M296" t="str">
        <x:v>90 minutos</x:v>
      </x:c>
      <x:c r="N296" t="n">
        <x:f>IF(AND(AND(ISNUMBER($F296),ISNUMBER($G296),$H296=$L296),IF($I296="90 minutos",IF($F296&gt;$G296,"A",IF($G296&gt;$F296,"B","E")),"E")=IF($M296="90 minutos",IF($J296&gt;$K296,"A",IF($K296&gt;$J296,"B","E")),"E")),Reglas!$B$2,0)</x:f>
        <x:v>0</x:v>
      </x:c>
      <x:c r="O296" t="n">
        <x:f>IF(AND(ISNUMBER($F296),ISNUMBER($G296),$H296=$L296),Reglas!$B$3,0)</x:f>
        <x:v>0</x:v>
      </x:c>
      <x:c r="P296" t="n">
        <x:f>IF(AND(AND(ISNUMBER($F296),ISNUMBER($G296),$H296=$L296),$I296=$M296),Reglas!$B$4,0)</x:f>
        <x:v>0</x:v>
      </x:c>
      <x:c r="Q296" t="n">
        <x:f>IF(AND(AND(AND(ISNUMBER($F296),ISNUMBER($G296),$H296=$L296),$I296=$M296,NOT(AND($I296="Penales",$F296&lt;&gt;$G296))),$F296=$J296,$G296=$K296),Reglas!$B$5,0)</x:f>
        <x:v>0</x:v>
      </x:c>
      <x:c r="R296" t="n">
        <x:f>IF(AND(AND(AND(ISNUMBER($F296),ISNUMBER($G296),$H296=$L296),$I296=$M296,NOT(AND($I296="Penales",$F296&lt;&gt;$G296))),$F296-$G296=$J296-$K296),Reglas!$B$6,0)</x:f>
        <x:v>0</x:v>
      </x:c>
      <x:c r="S296" t="n">
        <x:f>IF(AND(AND(AND(ISNUMBER($F296),ISNUMBER($G296),$H296=$L296),$I296=$M296,NOT(AND($I296="Penales",$F296&lt;&gt;$G296))),$F296=$J296),Reglas!$B$7,0)</x:f>
        <x:v>0</x:v>
      </x:c>
      <x:c r="T296" t="n">
        <x:f>IF(AND(AND(AND(ISNUMBER($F296),ISNUMBER($G296),$H296=$L296),$I296=$M296,NOT(AND($I296="Penales",$F296&lt;&gt;$G296))),$G296=$K296),Reglas!$B$8,0)</x:f>
        <x:v>0</x:v>
      </x:c>
      <x:c r="U296" t="n">
        <x:f>SUM(N296:T296)</x:f>
        <x:v>0</x:v>
      </x:c>
      <x:c r="V296" t="str">
        <x:f>IF($W296="Sin respuesta","Sin envio",IF($U296&gt;0,"OK","Sin puntos"))</x:f>
        <x:v>Sin puntos</x:v>
      </x:c>
      <x:c r="W296" t="str">
        <x:v>Google Forms</x:v>
      </x:c>
    </x:row>
    <x:row r="297" ht="15" hidden="0" customHeight="1">
      <x:c r="A297" t="str">
        <x:v>Semifinal</x:v>
      </x:c>
      <x:c r="B297" t="str">
        <x:v>SF2</x:v>
      </x:c>
      <x:c r="C297" t="str">
        <x:v>Manuel</x:v>
      </x:c>
      <x:c r="D297" t="str">
        <x:v>Inglaterra</x:v>
      </x:c>
      <x:c r="E297" t="str">
        <x:v>Argentina</x:v>
      </x:c>
      <x:c r="F297" t="n">
        <x:v>3</x:v>
      </x:c>
      <x:c r="G297" t="n">
        <x:v>1</x:v>
      </x:c>
      <x:c r="H297" t="str">
        <x:v>Inglaterra</x:v>
      </x:c>
      <x:c r="I297" t="str">
        <x:v>Suplementario</x:v>
      </x:c>
      <x:c r="J297" t="n">
        <x:v>1</x:v>
      </x:c>
      <x:c r="K297" t="n">
        <x:v>2</x:v>
      </x:c>
      <x:c r="L297" t="str">
        <x:v>Argentina</x:v>
      </x:c>
      <x:c r="M297" t="str">
        <x:v>90 minutos</x:v>
      </x:c>
      <x:c r="N297" t="n">
        <x:f>IF(AND(AND(ISNUMBER($F297),ISNUMBER($G297),$H297=$L297),IF($I297="90 minutos",IF($F297&gt;$G297,"A",IF($G297&gt;$F297,"B","E")),"E")=IF($M297="90 minutos",IF($J297&gt;$K297,"A",IF($K297&gt;$J297,"B","E")),"E")),Reglas!$B$2,0)</x:f>
        <x:v>0</x:v>
      </x:c>
      <x:c r="O297" t="n">
        <x:f>IF(AND(ISNUMBER($F297),ISNUMBER($G297),$H297=$L297),Reglas!$B$3,0)</x:f>
        <x:v>0</x:v>
      </x:c>
      <x:c r="P297" t="n">
        <x:f>IF(AND(AND(ISNUMBER($F297),ISNUMBER($G297),$H297=$L297),$I297=$M297),Reglas!$B$4,0)</x:f>
        <x:v>0</x:v>
      </x:c>
      <x:c r="Q297" t="n">
        <x:f>IF(AND(AND(AND(ISNUMBER($F297),ISNUMBER($G297),$H297=$L297),$I297=$M297,NOT(AND($I297="Penales",$F297&lt;&gt;$G297))),$F297=$J297,$G297=$K297),Reglas!$B$5,0)</x:f>
        <x:v>0</x:v>
      </x:c>
      <x:c r="R297" t="n">
        <x:f>IF(AND(AND(AND(ISNUMBER($F297),ISNUMBER($G297),$H297=$L297),$I297=$M297,NOT(AND($I297="Penales",$F297&lt;&gt;$G297))),$F297-$G297=$J297-$K297),Reglas!$B$6,0)</x:f>
        <x:v>0</x:v>
      </x:c>
      <x:c r="S297" t="n">
        <x:f>IF(AND(AND(AND(ISNUMBER($F297),ISNUMBER($G297),$H297=$L297),$I297=$M297,NOT(AND($I297="Penales",$F297&lt;&gt;$G297))),$F297=$J297),Reglas!$B$7,0)</x:f>
        <x:v>0</x:v>
      </x:c>
      <x:c r="T297" t="n">
        <x:f>IF(AND(AND(AND(ISNUMBER($F297),ISNUMBER($G297),$H297=$L297),$I297=$M297,NOT(AND($I297="Penales",$F297&lt;&gt;$G297))),$G297=$K297),Reglas!$B$8,0)</x:f>
        <x:v>0</x:v>
      </x:c>
      <x:c r="U297" t="n">
        <x:f>SUM(N297:T297)</x:f>
        <x:v>0</x:v>
      </x:c>
      <x:c r="V297" t="str">
        <x:f>IF($W297="Sin respuesta","Sin envio",IF($U297&gt;0,"OK","Sin puntos"))</x:f>
        <x:v>Sin puntos</x:v>
      </x:c>
      <x:c r="W297" t="str">
        <x:v>Google Forms</x:v>
      </x:c>
    </x:row>
    <x:row r="298" ht="15" hidden="0" customHeight="1">
      <x:c r="A298" t="str">
        <x:v>Semifinal</x:v>
      </x:c>
      <x:c r="B298" t="str">
        <x:v>SF2</x:v>
      </x:c>
      <x:c r="C298" t="str">
        <x:v>Jorge</x:v>
      </x:c>
      <x:c r="D298" t="str">
        <x:v>Inglaterra</x:v>
      </x:c>
      <x:c r="E298" t="str">
        <x:v>Argentina</x:v>
      </x:c>
      <x:c r="F298" t="n">
        <x:v>1</x:v>
      </x:c>
      <x:c r="G298" t="n">
        <x:v>2</x:v>
      </x:c>
      <x:c r="H298" t="str">
        <x:v>Argentina</x:v>
      </x:c>
      <x:c r="I298" t="str">
        <x:v>90 minutos</x:v>
      </x:c>
      <x:c r="J298" t="n">
        <x:v>1</x:v>
      </x:c>
      <x:c r="K298" t="n">
        <x:v>2</x:v>
      </x:c>
      <x:c r="L298" t="str">
        <x:v>Argentina</x:v>
      </x:c>
      <x:c r="M298" t="str">
        <x:v>90 minutos</x:v>
      </x:c>
      <x:c r="N298" t="n">
        <x:f>IF(AND(AND(ISNUMBER($F298),ISNUMBER($G298),$H298=$L298),IF($I298="90 minutos",IF($F298&gt;$G298,"A",IF($G298&gt;$F298,"B","E")),"E")=IF($M298="90 minutos",IF($J298&gt;$K298,"A",IF($K298&gt;$J298,"B","E")),"E")),Reglas!$B$2,0)</x:f>
        <x:v>5</x:v>
      </x:c>
      <x:c r="O298" t="n">
        <x:f>IF(AND(ISNUMBER($F298),ISNUMBER($G298),$H298=$L298),Reglas!$B$3,0)</x:f>
        <x:v>3</x:v>
      </x:c>
      <x:c r="P298" t="n">
        <x:f>IF(AND(AND(ISNUMBER($F298),ISNUMBER($G298),$H298=$L298),$I298=$M298),Reglas!$B$4,0)</x:f>
        <x:v>2</x:v>
      </x:c>
      <x:c r="Q298" t="n">
        <x:f>IF(AND(AND(AND(ISNUMBER($F298),ISNUMBER($G298),$H298=$L298),$I298=$M298,NOT(AND($I298="Penales",$F298&lt;&gt;$G298))),$F298=$J298,$G298=$K298),Reglas!$B$5,0)</x:f>
        <x:v>4</x:v>
      </x:c>
      <x:c r="R298" t="n">
        <x:f>IF(AND(AND(AND(ISNUMBER($F298),ISNUMBER($G298),$H298=$L298),$I298=$M298,NOT(AND($I298="Penales",$F298&lt;&gt;$G298))),$F298-$G298=$J298-$K298),Reglas!$B$6,0)</x:f>
        <x:v>2</x:v>
      </x:c>
      <x:c r="S298" t="n">
        <x:f>IF(AND(AND(AND(ISNUMBER($F298),ISNUMBER($G298),$H298=$L298),$I298=$M298,NOT(AND($I298="Penales",$F298&lt;&gt;$G298))),$F298=$J298),Reglas!$B$7,0)</x:f>
        <x:v>1</x:v>
      </x:c>
      <x:c r="T298" t="n">
        <x:f>IF(AND(AND(AND(ISNUMBER($F298),ISNUMBER($G298),$H298=$L298),$I298=$M298,NOT(AND($I298="Penales",$F298&lt;&gt;$G298))),$G298=$K298),Reglas!$B$8,0)</x:f>
        <x:v>1</x:v>
      </x:c>
      <x:c r="U298" t="n">
        <x:f>SUM(N298:T298)</x:f>
        <x:v>18</x:v>
      </x:c>
      <x:c r="V298" t="str">
        <x:f>IF($W298="Sin respuesta","Sin envio",IF($U298&gt;0,"OK","Sin puntos"))</x:f>
        <x:v>OK</x:v>
      </x:c>
      <x:c r="W298" t="str">
        <x:v>Google Forms</x:v>
      </x:c>
    </x:row>
    <x:row r="299" ht="15" hidden="0" customHeight="1">
      <x:c r="A299" t="str">
        <x:v>Semifinal</x:v>
      </x:c>
      <x:c r="B299" t="str">
        <x:v>SF2</x:v>
      </x:c>
      <x:c r="C299" t="str">
        <x:v>Daniel</x:v>
      </x:c>
      <x:c r="D299" t="str">
        <x:v>Inglaterra</x:v>
      </x:c>
      <x:c r="E299" t="str">
        <x:v>Argentina</x:v>
      </x:c>
      <x:c r="F299"/>
      <x:c r="G299"/>
      <x:c r="H299" t="str">
        <x:v>Sin envio</x:v>
      </x:c>
      <x:c r="I299" t="str">
        <x:v>Sin envio</x:v>
      </x:c>
      <x:c r="J299" t="n">
        <x:v>1</x:v>
      </x:c>
      <x:c r="K299" t="n">
        <x:v>2</x:v>
      </x:c>
      <x:c r="L299" t="str">
        <x:v>Argentina</x:v>
      </x:c>
      <x:c r="M299" t="str">
        <x:v>90 minutos</x:v>
      </x:c>
      <x:c r="N299" t="n">
        <x:f>IF(AND(AND(ISNUMBER($F299),ISNUMBER($G299),$H299=$L299),IF($I299="90 minutos",IF($F299&gt;$G299,"A",IF($G299&gt;$F299,"B","E")),"E")=IF($M299="90 minutos",IF($J299&gt;$K299,"A",IF($K299&gt;$J299,"B","E")),"E")),Reglas!$B$2,0)</x:f>
        <x:v>0</x:v>
      </x:c>
      <x:c r="O299" t="n">
        <x:f>IF(AND(ISNUMBER($F299),ISNUMBER($G299),$H299=$L299),Reglas!$B$3,0)</x:f>
        <x:v>0</x:v>
      </x:c>
      <x:c r="P299" t="n">
        <x:f>IF(AND(AND(ISNUMBER($F299),ISNUMBER($G299),$H299=$L299),$I299=$M299),Reglas!$B$4,0)</x:f>
        <x:v>0</x:v>
      </x:c>
      <x:c r="Q299" t="n">
        <x:f>IF(AND(AND(AND(ISNUMBER($F299),ISNUMBER($G299),$H299=$L299),$I299=$M299,NOT(AND($I299="Penales",$F299&lt;&gt;$G299))),$F299=$J299,$G299=$K299),Reglas!$B$5,0)</x:f>
        <x:v>0</x:v>
      </x:c>
      <x:c r="R299" t="n">
        <x:f>IF(AND(AND(AND(ISNUMBER($F299),ISNUMBER($G299),$H299=$L299),$I299=$M299,NOT(AND($I299="Penales",$F299&lt;&gt;$G299))),$F299-$G299=$J299-$K299),Reglas!$B$6,0)</x:f>
        <x:v>0</x:v>
      </x:c>
      <x:c r="S299" t="n">
        <x:f>IF(AND(AND(AND(ISNUMBER($F299),ISNUMBER($G299),$H299=$L299),$I299=$M299,NOT(AND($I299="Penales",$F299&lt;&gt;$G299))),$F299=$J299),Reglas!$B$7,0)</x:f>
        <x:v>0</x:v>
      </x:c>
      <x:c r="T299" t="n">
        <x:f>IF(AND(AND(AND(ISNUMBER($F299),ISNUMBER($G299),$H299=$L299),$I299=$M299,NOT(AND($I299="Penales",$F299&lt;&gt;$G299))),$G299=$K299),Reglas!$B$8,0)</x:f>
        <x:v>0</x:v>
      </x:c>
      <x:c r="U299" t="n">
        <x:f>SUM(N299:T299)</x:f>
        <x:v>0</x:v>
      </x:c>
      <x:c r="V299" t="str">
        <x:f>IF($W299="Sin respuesta","Sin envio",IF($U299&gt;0,"OK","Sin puntos"))</x:f>
        <x:v>Sin envio</x:v>
      </x:c>
      <x:c r="W299" t="str">
        <x:v>Sin respuesta</x:v>
      </x:c>
    </x:row>
    <x:row r="300" ht="15" hidden="0" customHeight="1">
      <x:c r="A300" t="str">
        <x:v>Semifinal</x:v>
      </x:c>
      <x:c r="B300" t="str">
        <x:v>SF2</x:v>
      </x:c>
      <x:c r="C300" t="str">
        <x:v>Arthur</x:v>
      </x:c>
      <x:c r="D300" t="str">
        <x:v>Inglaterra</x:v>
      </x:c>
      <x:c r="E300" t="str">
        <x:v>Argentina</x:v>
      </x:c>
      <x:c r="F300" t="n">
        <x:v>2</x:v>
      </x:c>
      <x:c r="G300" t="n">
        <x:v>1</x:v>
      </x:c>
      <x:c r="H300" t="str">
        <x:v>Inglaterra</x:v>
      </x:c>
      <x:c r="I300" t="str">
        <x:v>90 minutos</x:v>
      </x:c>
      <x:c r="J300" t="n">
        <x:v>1</x:v>
      </x:c>
      <x:c r="K300" t="n">
        <x:v>2</x:v>
      </x:c>
      <x:c r="L300" t="str">
        <x:v>Argentina</x:v>
      </x:c>
      <x:c r="M300" t="str">
        <x:v>90 minutos</x:v>
      </x:c>
      <x:c r="N300" t="n">
        <x:f>IF(AND(AND(ISNUMBER($F300),ISNUMBER($G300),$H300=$L300),IF($I300="90 minutos",IF($F300&gt;$G300,"A",IF($G300&gt;$F300,"B","E")),"E")=IF($M300="90 minutos",IF($J300&gt;$K300,"A",IF($K300&gt;$J300,"B","E")),"E")),Reglas!$B$2,0)</x:f>
        <x:v>0</x:v>
      </x:c>
      <x:c r="O300" t="n">
        <x:f>IF(AND(ISNUMBER($F300),ISNUMBER($G300),$H300=$L300),Reglas!$B$3,0)</x:f>
        <x:v>0</x:v>
      </x:c>
      <x:c r="P300" t="n">
        <x:f>IF(AND(AND(ISNUMBER($F300),ISNUMBER($G300),$H300=$L300),$I300=$M300),Reglas!$B$4,0)</x:f>
        <x:v>0</x:v>
      </x:c>
      <x:c r="Q300" t="n">
        <x:f>IF(AND(AND(AND(ISNUMBER($F300),ISNUMBER($G300),$H300=$L300),$I300=$M300,NOT(AND($I300="Penales",$F300&lt;&gt;$G300))),$F300=$J300,$G300=$K300),Reglas!$B$5,0)</x:f>
        <x:v>0</x:v>
      </x:c>
      <x:c r="R300" t="n">
        <x:f>IF(AND(AND(AND(ISNUMBER($F300),ISNUMBER($G300),$H300=$L300),$I300=$M300,NOT(AND($I300="Penales",$F300&lt;&gt;$G300))),$F300-$G300=$J300-$K300),Reglas!$B$6,0)</x:f>
        <x:v>0</x:v>
      </x:c>
      <x:c r="S300" t="n">
        <x:f>IF(AND(AND(AND(ISNUMBER($F300),ISNUMBER($G300),$H300=$L300),$I300=$M300,NOT(AND($I300="Penales",$F300&lt;&gt;$G300))),$F300=$J300),Reglas!$B$7,0)</x:f>
        <x:v>0</x:v>
      </x:c>
      <x:c r="T300" t="n">
        <x:f>IF(AND(AND(AND(ISNUMBER($F300),ISNUMBER($G300),$H300=$L300),$I300=$M300,NOT(AND($I300="Penales",$F300&lt;&gt;$G300))),$G300=$K300),Reglas!$B$8,0)</x:f>
        <x:v>0</x:v>
      </x:c>
      <x:c r="U300" t="n">
        <x:f>SUM(N300:T300)</x:f>
        <x:v>0</x:v>
      </x:c>
      <x:c r="V300" t="str">
        <x:f>IF($W300="Sin respuesta","Sin envio",IF($U300&gt;0,"OK","Sin puntos"))</x:f>
        <x:v>Sin puntos</x:v>
      </x:c>
      <x:c r="W300" t="str">
        <x:v>Google Forms</x:v>
      </x:c>
    </x:row>
    <x:row r="301" ht="15" hidden="0" customHeight="1">
      <x:c r="A301" t="str">
        <x:v>Semifinal</x:v>
      </x:c>
      <x:c r="B301" t="str">
        <x:v>SF2</x:v>
      </x:c>
      <x:c r="C301" t="str">
        <x:v>José Luis</x:v>
      </x:c>
      <x:c r="D301" t="str">
        <x:v>Inglaterra</x:v>
      </x:c>
      <x:c r="E301" t="str">
        <x:v>Argentina</x:v>
      </x:c>
      <x:c r="F301"/>
      <x:c r="G301"/>
      <x:c r="H301" t="str">
        <x:v>Sin envio</x:v>
      </x:c>
      <x:c r="I301" t="str">
        <x:v>Sin envio</x:v>
      </x:c>
      <x:c r="J301" t="n">
        <x:v>1</x:v>
      </x:c>
      <x:c r="K301" t="n">
        <x:v>2</x:v>
      </x:c>
      <x:c r="L301" t="str">
        <x:v>Argentina</x:v>
      </x:c>
      <x:c r="M301" t="str">
        <x:v>90 minutos</x:v>
      </x:c>
      <x:c r="N301" t="n">
        <x:f>IF(AND(AND(ISNUMBER($F301),ISNUMBER($G301),$H301=$L301),IF($I301="90 minutos",IF($F301&gt;$G301,"A",IF($G301&gt;$F301,"B","E")),"E")=IF($M301="90 minutos",IF($J301&gt;$K301,"A",IF($K301&gt;$J301,"B","E")),"E")),Reglas!$B$2,0)</x:f>
        <x:v>0</x:v>
      </x:c>
      <x:c r="O301" t="n">
        <x:f>IF(AND(ISNUMBER($F301),ISNUMBER($G301),$H301=$L301),Reglas!$B$3,0)</x:f>
        <x:v>0</x:v>
      </x:c>
      <x:c r="P301" t="n">
        <x:f>IF(AND(AND(ISNUMBER($F301),ISNUMBER($G301),$H301=$L301),$I301=$M301),Reglas!$B$4,0)</x:f>
        <x:v>0</x:v>
      </x:c>
      <x:c r="Q301" t="n">
        <x:f>IF(AND(AND(AND(ISNUMBER($F301),ISNUMBER($G301),$H301=$L301),$I301=$M301,NOT(AND($I301="Penales",$F301&lt;&gt;$G301))),$F301=$J301,$G301=$K301),Reglas!$B$5,0)</x:f>
        <x:v>0</x:v>
      </x:c>
      <x:c r="R301" t="n">
        <x:f>IF(AND(AND(AND(ISNUMBER($F301),ISNUMBER($G301),$H301=$L301),$I301=$M301,NOT(AND($I301="Penales",$F301&lt;&gt;$G301))),$F301-$G301=$J301-$K301),Reglas!$B$6,0)</x:f>
        <x:v>0</x:v>
      </x:c>
      <x:c r="S301" t="n">
        <x:f>IF(AND(AND(AND(ISNUMBER($F301),ISNUMBER($G301),$H301=$L301),$I301=$M301,NOT(AND($I301="Penales",$F301&lt;&gt;$G301))),$F301=$J301),Reglas!$B$7,0)</x:f>
        <x:v>0</x:v>
      </x:c>
      <x:c r="T301" t="n">
        <x:f>IF(AND(AND(AND(ISNUMBER($F301),ISNUMBER($G301),$H301=$L301),$I301=$M301,NOT(AND($I301="Penales",$F301&lt;&gt;$G301))),$G301=$K301),Reglas!$B$8,0)</x:f>
        <x:v>0</x:v>
      </x:c>
      <x:c r="U301" t="n">
        <x:f>SUM(N301:T301)</x:f>
        <x:v>0</x:v>
      </x:c>
      <x:c r="V301" t="str">
        <x:f>IF($W301="Sin respuesta","Sin envio",IF($U301&gt;0,"OK","Sin puntos"))</x:f>
        <x:v>Sin envio</x:v>
      </x:c>
      <x:c r="W301" t="str">
        <x:v>Sin respuesta</x:v>
      </x:c>
    </x:row>
    <x:row r="302" ht="15" hidden="0" customHeight="1">
      <x:c r="A302" t="str">
        <x:v>Semifinal</x:v>
      </x:c>
      <x:c r="B302" t="str">
        <x:v>SF2</x:v>
      </x:c>
      <x:c r="C302" t="str">
        <x:v>Marcelo</x:v>
      </x:c>
      <x:c r="D302" t="str">
        <x:v>Inglaterra</x:v>
      </x:c>
      <x:c r="E302" t="str">
        <x:v>Argentina</x:v>
      </x:c>
      <x:c r="F302"/>
      <x:c r="G302"/>
      <x:c r="H302" t="str">
        <x:v>Sin envio</x:v>
      </x:c>
      <x:c r="I302" t="str">
        <x:v>Sin envio</x:v>
      </x:c>
      <x:c r="J302" t="n">
        <x:v>1</x:v>
      </x:c>
      <x:c r="K302" t="n">
        <x:v>2</x:v>
      </x:c>
      <x:c r="L302" t="str">
        <x:v>Argentina</x:v>
      </x:c>
      <x:c r="M302" t="str">
        <x:v>90 minutos</x:v>
      </x:c>
      <x:c r="N302" t="n">
        <x:f>IF(AND(AND(ISNUMBER($F302),ISNUMBER($G302),$H302=$L302),IF($I302="90 minutos",IF($F302&gt;$G302,"A",IF($G302&gt;$F302,"B","E")),"E")=IF($M302="90 minutos",IF($J302&gt;$K302,"A",IF($K302&gt;$J302,"B","E")),"E")),Reglas!$B$2,0)</x:f>
        <x:v>0</x:v>
      </x:c>
      <x:c r="O302" t="n">
        <x:f>IF(AND(ISNUMBER($F302),ISNUMBER($G302),$H302=$L302),Reglas!$B$3,0)</x:f>
        <x:v>0</x:v>
      </x:c>
      <x:c r="P302" t="n">
        <x:f>IF(AND(AND(ISNUMBER($F302),ISNUMBER($G302),$H302=$L302),$I302=$M302),Reglas!$B$4,0)</x:f>
        <x:v>0</x:v>
      </x:c>
      <x:c r="Q302" t="n">
        <x:f>IF(AND(AND(AND(ISNUMBER($F302),ISNUMBER($G302),$H302=$L302),$I302=$M302,NOT(AND($I302="Penales",$F302&lt;&gt;$G302))),$F302=$J302,$G302=$K302),Reglas!$B$5,0)</x:f>
        <x:v>0</x:v>
      </x:c>
      <x:c r="R302" t="n">
        <x:f>IF(AND(AND(AND(ISNUMBER($F302),ISNUMBER($G302),$H302=$L302),$I302=$M302,NOT(AND($I302="Penales",$F302&lt;&gt;$G302))),$F302-$G302=$J302-$K302),Reglas!$B$6,0)</x:f>
        <x:v>0</x:v>
      </x:c>
      <x:c r="S302" t="n">
        <x:f>IF(AND(AND(AND(ISNUMBER($F302),ISNUMBER($G302),$H302=$L302),$I302=$M302,NOT(AND($I302="Penales",$F302&lt;&gt;$G302))),$F302=$J302),Reglas!$B$7,0)</x:f>
        <x:v>0</x:v>
      </x:c>
      <x:c r="T302" t="n">
        <x:f>IF(AND(AND(AND(ISNUMBER($F302),ISNUMBER($G302),$H302=$L302),$I302=$M302,NOT(AND($I302="Penales",$F302&lt;&gt;$G302))),$G302=$K302),Reglas!$B$8,0)</x:f>
        <x:v>0</x:v>
      </x:c>
      <x:c r="U302" t="n">
        <x:f>SUM(N302:T302)</x:f>
        <x:v>0</x:v>
      </x:c>
      <x:c r="V302" t="str">
        <x:f>IF($W302="Sin respuesta","Sin envio",IF($U302&gt;0,"OK","Sin puntos"))</x:f>
        <x:v>Sin envio</x:v>
      </x:c>
      <x:c r="W302" t="str">
        <x:v>Sin respuesta</x:v>
      </x:c>
    </x:row>
    <x:row r="303" ht="15" hidden="0" customHeight="1">
      <x:c r="A303" t="str">
        <x:v>Semifinal</x:v>
      </x:c>
      <x:c r="B303" t="str">
        <x:v>SF2</x:v>
      </x:c>
      <x:c r="C303" t="str">
        <x:v>Anny</x:v>
      </x:c>
      <x:c r="D303" t="str">
        <x:v>Inglaterra</x:v>
      </x:c>
      <x:c r="E303" t="str">
        <x:v>Argentina</x:v>
      </x:c>
      <x:c r="F303" t="n">
        <x:v>2</x:v>
      </x:c>
      <x:c r="G303" t="n">
        <x:v>2</x:v>
      </x:c>
      <x:c r="H303" t="str">
        <x:v>Argentina</x:v>
      </x:c>
      <x:c r="I303" t="str">
        <x:v>Penales</x:v>
      </x:c>
      <x:c r="J303" t="n">
        <x:v>1</x:v>
      </x:c>
      <x:c r="K303" t="n">
        <x:v>2</x:v>
      </x:c>
      <x:c r="L303" t="str">
        <x:v>Argentina</x:v>
      </x:c>
      <x:c r="M303" t="str">
        <x:v>90 minutos</x:v>
      </x:c>
      <x:c r="N303" t="n">
        <x:f>IF(AND(AND(ISNUMBER($F303),ISNUMBER($G303),$H303=$L303),IF($I303="90 minutos",IF($F303&gt;$G303,"A",IF($G303&gt;$F303,"B","E")),"E")=IF($M303="90 minutos",IF($J303&gt;$K303,"A",IF($K303&gt;$J303,"B","E")),"E")),Reglas!$B$2,0)</x:f>
        <x:v>0</x:v>
      </x:c>
      <x:c r="O303" t="n">
        <x:f>IF(AND(ISNUMBER($F303),ISNUMBER($G303),$H303=$L303),Reglas!$B$3,0)</x:f>
        <x:v>3</x:v>
      </x:c>
      <x:c r="P303" t="n">
        <x:f>IF(AND(AND(ISNUMBER($F303),ISNUMBER($G303),$H303=$L303),$I303=$M303),Reglas!$B$4,0)</x:f>
        <x:v>0</x:v>
      </x:c>
      <x:c r="Q303" t="n">
        <x:f>IF(AND(AND(AND(ISNUMBER($F303),ISNUMBER($G303),$H303=$L303),$I303=$M303,NOT(AND($I303="Penales",$F303&lt;&gt;$G303))),$F303=$J303,$G303=$K303),Reglas!$B$5,0)</x:f>
        <x:v>0</x:v>
      </x:c>
      <x:c r="R303" t="n">
        <x:f>IF(AND(AND(AND(ISNUMBER($F303),ISNUMBER($G303),$H303=$L303),$I303=$M303,NOT(AND($I303="Penales",$F303&lt;&gt;$G303))),$F303-$G303=$J303-$K303),Reglas!$B$6,0)</x:f>
        <x:v>0</x:v>
      </x:c>
      <x:c r="S303" t="n">
        <x:f>IF(AND(AND(AND(ISNUMBER($F303),ISNUMBER($G303),$H303=$L303),$I303=$M303,NOT(AND($I303="Penales",$F303&lt;&gt;$G303))),$F303=$J303),Reglas!$B$7,0)</x:f>
        <x:v>0</x:v>
      </x:c>
      <x:c r="T303" t="n">
        <x:f>IF(AND(AND(AND(ISNUMBER($F303),ISNUMBER($G303),$H303=$L303),$I303=$M303,NOT(AND($I303="Penales",$F303&lt;&gt;$G303))),$G303=$K303),Reglas!$B$8,0)</x:f>
        <x:v>0</x:v>
      </x:c>
      <x:c r="U303" t="n">
        <x:f>SUM(N303:T303)</x:f>
        <x:v>3</x:v>
      </x:c>
      <x:c r="V303" t="str">
        <x:f>IF($W303="Sin respuesta","Sin envio",IF($U303&gt;0,"OK","Sin puntos"))</x:f>
        <x:v>OK</x:v>
      </x:c>
      <x:c r="W303" t="str">
        <x:v>Google Forms</x:v>
      </x:c>
    </x:row>
    <x:row r="304" ht="15" hidden="0" customHeight="1">
      <x:c r="A304" t="str">
        <x:v>Semifinal</x:v>
      </x:c>
      <x:c r="B304" t="str">
        <x:v>SF2</x:v>
      </x:c>
      <x:c r="C304" t="str">
        <x:v>Moisés</x:v>
      </x:c>
      <x:c r="D304" t="str">
        <x:v>Inglaterra</x:v>
      </x:c>
      <x:c r="E304" t="str">
        <x:v>Argentina</x:v>
      </x:c>
      <x:c r="F304" t="n">
        <x:v>2</x:v>
      </x:c>
      <x:c r="G304" t="n">
        <x:v>2</x:v>
      </x:c>
      <x:c r="H304" t="str">
        <x:v>Inglaterra</x:v>
      </x:c>
      <x:c r="I304" t="str">
        <x:v>Penales</x:v>
      </x:c>
      <x:c r="J304" t="n">
        <x:v>1</x:v>
      </x:c>
      <x:c r="K304" t="n">
        <x:v>2</x:v>
      </x:c>
      <x:c r="L304" t="str">
        <x:v>Argentina</x:v>
      </x:c>
      <x:c r="M304" t="str">
        <x:v>90 minutos</x:v>
      </x:c>
      <x:c r="N304" t="n">
        <x:f>IF(AND(AND(ISNUMBER($F304),ISNUMBER($G304),$H304=$L304),IF($I304="90 minutos",IF($F304&gt;$G304,"A",IF($G304&gt;$F304,"B","E")),"E")=IF($M304="90 minutos",IF($J304&gt;$K304,"A",IF($K304&gt;$J304,"B","E")),"E")),Reglas!$B$2,0)</x:f>
        <x:v>0</x:v>
      </x:c>
      <x:c r="O304" t="n">
        <x:f>IF(AND(ISNUMBER($F304),ISNUMBER($G304),$H304=$L304),Reglas!$B$3,0)</x:f>
        <x:v>0</x:v>
      </x:c>
      <x:c r="P304" t="n">
        <x:f>IF(AND(AND(ISNUMBER($F304),ISNUMBER($G304),$H304=$L304),$I304=$M304),Reglas!$B$4,0)</x:f>
        <x:v>0</x:v>
      </x:c>
      <x:c r="Q304" t="n">
        <x:f>IF(AND(AND(AND(ISNUMBER($F304),ISNUMBER($G304),$H304=$L304),$I304=$M304,NOT(AND($I304="Penales",$F304&lt;&gt;$G304))),$F304=$J304,$G304=$K304),Reglas!$B$5,0)</x:f>
        <x:v>0</x:v>
      </x:c>
      <x:c r="R304" t="n">
        <x:f>IF(AND(AND(AND(ISNUMBER($F304),ISNUMBER($G304),$H304=$L304),$I304=$M304,NOT(AND($I304="Penales",$F304&lt;&gt;$G304))),$F304-$G304=$J304-$K304),Reglas!$B$6,0)</x:f>
        <x:v>0</x:v>
      </x:c>
      <x:c r="S304" t="n">
        <x:f>IF(AND(AND(AND(ISNUMBER($F304),ISNUMBER($G304),$H304=$L304),$I304=$M304,NOT(AND($I304="Penales",$F304&lt;&gt;$G304))),$F304=$J304),Reglas!$B$7,0)</x:f>
        <x:v>0</x:v>
      </x:c>
      <x:c r="T304" t="n">
        <x:f>IF(AND(AND(AND(ISNUMBER($F304),ISNUMBER($G304),$H304=$L304),$I304=$M304,NOT(AND($I304="Penales",$F304&lt;&gt;$G304))),$G304=$K304),Reglas!$B$8,0)</x:f>
        <x:v>0</x:v>
      </x:c>
      <x:c r="U304" t="n">
        <x:f>SUM(N304:T304)</x:f>
        <x:v>0</x:v>
      </x:c>
      <x:c r="V304" t="str">
        <x:f>IF($W304="Sin respuesta","Sin envio",IF($U304&gt;0,"OK","Sin puntos"))</x:f>
        <x:v>Sin puntos</x:v>
      </x:c>
      <x:c r="W304" t="str">
        <x:v>Google Forms</x:v>
      </x:c>
    </x:row>
    <x:row r="305" ht="15" hidden="0" customHeight="1">
      <x:c r="A305" t="str">
        <x:v>Semifinal</x:v>
      </x:c>
      <x:c r="B305" t="str">
        <x:v>SF2</x:v>
      </x:c>
      <x:c r="C305" t="str">
        <x:v>Alex</x:v>
      </x:c>
      <x:c r="D305" t="str">
        <x:v>Inglaterra</x:v>
      </x:c>
      <x:c r="E305" t="str">
        <x:v>Argentina</x:v>
      </x:c>
      <x:c r="F305" t="n">
        <x:v>2</x:v>
      </x:c>
      <x:c r="G305" t="n">
        <x:v>3</x:v>
      </x:c>
      <x:c r="H305" t="str">
        <x:v>Argentina</x:v>
      </x:c>
      <x:c r="I305" t="str">
        <x:v>Suplementario</x:v>
      </x:c>
      <x:c r="J305" t="n">
        <x:v>1</x:v>
      </x:c>
      <x:c r="K305" t="n">
        <x:v>2</x:v>
      </x:c>
      <x:c r="L305" t="str">
        <x:v>Argentina</x:v>
      </x:c>
      <x:c r="M305" t="str">
        <x:v>90 minutos</x:v>
      </x:c>
      <x:c r="N305" t="n">
        <x:f>IF(AND(AND(ISNUMBER($F305),ISNUMBER($G305),$H305=$L305),IF($I305="90 minutos",IF($F305&gt;$G305,"A",IF($G305&gt;$F305,"B","E")),"E")=IF($M305="90 minutos",IF($J305&gt;$K305,"A",IF($K305&gt;$J305,"B","E")),"E")),Reglas!$B$2,0)</x:f>
        <x:v>0</x:v>
      </x:c>
      <x:c r="O305" t="n">
        <x:f>IF(AND(ISNUMBER($F305),ISNUMBER($G305),$H305=$L305),Reglas!$B$3,0)</x:f>
        <x:v>3</x:v>
      </x:c>
      <x:c r="P305" t="n">
        <x:f>IF(AND(AND(ISNUMBER($F305),ISNUMBER($G305),$H305=$L305),$I305=$M305),Reglas!$B$4,0)</x:f>
        <x:v>0</x:v>
      </x:c>
      <x:c r="Q305" t="n">
        <x:f>IF(AND(AND(AND(ISNUMBER($F305),ISNUMBER($G305),$H305=$L305),$I305=$M305,NOT(AND($I305="Penales",$F305&lt;&gt;$G305))),$F305=$J305,$G305=$K305),Reglas!$B$5,0)</x:f>
        <x:v>0</x:v>
      </x:c>
      <x:c r="R305" t="n">
        <x:f>IF(AND(AND(AND(ISNUMBER($F305),ISNUMBER($G305),$H305=$L305),$I305=$M305,NOT(AND($I305="Penales",$F305&lt;&gt;$G305))),$F305-$G305=$J305-$K305),Reglas!$B$6,0)</x:f>
        <x:v>0</x:v>
      </x:c>
      <x:c r="S305" t="n">
        <x:f>IF(AND(AND(AND(ISNUMBER($F305),ISNUMBER($G305),$H305=$L305),$I305=$M305,NOT(AND($I305="Penales",$F305&lt;&gt;$G305))),$F305=$J305),Reglas!$B$7,0)</x:f>
        <x:v>0</x:v>
      </x:c>
      <x:c r="T305" t="n">
        <x:f>IF(AND(AND(AND(ISNUMBER($F305),ISNUMBER($G305),$H305=$L305),$I305=$M305,NOT(AND($I305="Penales",$F305&lt;&gt;$G305))),$G305=$K305),Reglas!$B$8,0)</x:f>
        <x:v>0</x:v>
      </x:c>
      <x:c r="U305" t="n">
        <x:f>SUM(N305:T305)</x:f>
        <x:v>3</x:v>
      </x:c>
      <x:c r="V305" t="str">
        <x:f>IF($W305="Sin respuesta","Sin envio",IF($U305&gt;0,"OK","Sin puntos"))</x:f>
        <x:v>OK</x:v>
      </x:c>
      <x:c r="W305" t="str">
        <x:v>Google Forms</x:v>
      </x:c>
    </x:row>
    <x:row r="306" ht="15" hidden="0" customHeight="1">
      <x:c r="A306" t="str">
        <x:v>Semifinal</x:v>
      </x:c>
      <x:c r="B306" t="str">
        <x:v>SF2</x:v>
      </x:c>
      <x:c r="C306" t="str">
        <x:v>Omar</x:v>
      </x:c>
      <x:c r="D306" t="str">
        <x:v>Inglaterra</x:v>
      </x:c>
      <x:c r="E306" t="str">
        <x:v>Argentina</x:v>
      </x:c>
      <x:c r="F306"/>
      <x:c r="G306"/>
      <x:c r="H306" t="str">
        <x:v>Sin envio</x:v>
      </x:c>
      <x:c r="I306" t="str">
        <x:v>Sin envio</x:v>
      </x:c>
      <x:c r="J306" t="n">
        <x:v>1</x:v>
      </x:c>
      <x:c r="K306" t="n">
        <x:v>2</x:v>
      </x:c>
      <x:c r="L306" t="str">
        <x:v>Argentina</x:v>
      </x:c>
      <x:c r="M306" t="str">
        <x:v>90 minutos</x:v>
      </x:c>
      <x:c r="N306" t="n">
        <x:f>IF(AND(AND(ISNUMBER($F306),ISNUMBER($G306),$H306=$L306),IF($I306="90 minutos",IF($F306&gt;$G306,"A",IF($G306&gt;$F306,"B","E")),"E")=IF($M306="90 minutos",IF($J306&gt;$K306,"A",IF($K306&gt;$J306,"B","E")),"E")),Reglas!$B$2,0)</x:f>
        <x:v>0</x:v>
      </x:c>
      <x:c r="O306" t="n">
        <x:f>IF(AND(ISNUMBER($F306),ISNUMBER($G306),$H306=$L306),Reglas!$B$3,0)</x:f>
        <x:v>0</x:v>
      </x:c>
      <x:c r="P306" t="n">
        <x:f>IF(AND(AND(ISNUMBER($F306),ISNUMBER($G306),$H306=$L306),$I306=$M306),Reglas!$B$4,0)</x:f>
        <x:v>0</x:v>
      </x:c>
      <x:c r="Q306" t="n">
        <x:f>IF(AND(AND(AND(ISNUMBER($F306),ISNUMBER($G306),$H306=$L306),$I306=$M306,NOT(AND($I306="Penales",$F306&lt;&gt;$G306))),$F306=$J306,$G306=$K306),Reglas!$B$5,0)</x:f>
        <x:v>0</x:v>
      </x:c>
      <x:c r="R306" t="n">
        <x:f>IF(AND(AND(AND(ISNUMBER($F306),ISNUMBER($G306),$H306=$L306),$I306=$M306,NOT(AND($I306="Penales",$F306&lt;&gt;$G306))),$F306-$G306=$J306-$K306),Reglas!$B$6,0)</x:f>
        <x:v>0</x:v>
      </x:c>
      <x:c r="S306" t="n">
        <x:f>IF(AND(AND(AND(ISNUMBER($F306),ISNUMBER($G306),$H306=$L306),$I306=$M306,NOT(AND($I306="Penales",$F306&lt;&gt;$G306))),$F306=$J306),Reglas!$B$7,0)</x:f>
        <x:v>0</x:v>
      </x:c>
      <x:c r="T306" t="n">
        <x:f>IF(AND(AND(AND(ISNUMBER($F306),ISNUMBER($G306),$H306=$L306),$I306=$M306,NOT(AND($I306="Penales",$F306&lt;&gt;$G306))),$G306=$K306),Reglas!$B$8,0)</x:f>
        <x:v>0</x:v>
      </x:c>
      <x:c r="U306" t="n">
        <x:f>SUM(N306:T306)</x:f>
        <x:v>0</x:v>
      </x:c>
      <x:c r="V306" t="str">
        <x:f>IF($W306="Sin respuesta","Sin envio",IF($U306&gt;0,"OK","Sin puntos"))</x:f>
        <x:v>Sin envio</x:v>
      </x:c>
      <x:c r="W306" t="str">
        <x:v>Sin respuesta</x:v>
      </x:c>
    </x:row>
    <x:row r="307" ht="15" hidden="0" customHeight="1">
      <x:c r="A307" t="str">
        <x:v>Semifinal</x:v>
      </x:c>
      <x:c r="B307" t="str">
        <x:v>SF2</x:v>
      </x:c>
      <x:c r="C307" t="str">
        <x:v>Fernando</x:v>
      </x:c>
      <x:c r="D307" t="str">
        <x:v>Inglaterra</x:v>
      </x:c>
      <x:c r="E307" t="str">
        <x:v>Argentina</x:v>
      </x:c>
      <x:c r="F307" t="n">
        <x:v>2</x:v>
      </x:c>
      <x:c r="G307" t="n">
        <x:v>3</x:v>
      </x:c>
      <x:c r="H307" t="str">
        <x:v>Argentina</x:v>
      </x:c>
      <x:c r="I307" t="str">
        <x:v>Suplementario</x:v>
      </x:c>
      <x:c r="J307" t="n">
        <x:v>1</x:v>
      </x:c>
      <x:c r="K307" t="n">
        <x:v>2</x:v>
      </x:c>
      <x:c r="L307" t="str">
        <x:v>Argentina</x:v>
      </x:c>
      <x:c r="M307" t="str">
        <x:v>90 minutos</x:v>
      </x:c>
      <x:c r="N307" t="n">
        <x:f>IF(AND(AND(ISNUMBER($F307),ISNUMBER($G307),$H307=$L307),IF($I307="90 minutos",IF($F307&gt;$G307,"A",IF($G307&gt;$F307,"B","E")),"E")=IF($M307="90 minutos",IF($J307&gt;$K307,"A",IF($K307&gt;$J307,"B","E")),"E")),Reglas!$B$2,0)</x:f>
        <x:v>0</x:v>
      </x:c>
      <x:c r="O307" t="n">
        <x:f>IF(AND(ISNUMBER($F307),ISNUMBER($G307),$H307=$L307),Reglas!$B$3,0)</x:f>
        <x:v>3</x:v>
      </x:c>
      <x:c r="P307" t="n">
        <x:f>IF(AND(AND(ISNUMBER($F307),ISNUMBER($G307),$H307=$L307),$I307=$M307),Reglas!$B$4,0)</x:f>
        <x:v>0</x:v>
      </x:c>
      <x:c r="Q307" t="n">
        <x:f>IF(AND(AND(AND(ISNUMBER($F307),ISNUMBER($G307),$H307=$L307),$I307=$M307,NOT(AND($I307="Penales",$F307&lt;&gt;$G307))),$F307=$J307,$G307=$K307),Reglas!$B$5,0)</x:f>
        <x:v>0</x:v>
      </x:c>
      <x:c r="R307" t="n">
        <x:f>IF(AND(AND(AND(ISNUMBER($F307),ISNUMBER($G307),$H307=$L307),$I307=$M307,NOT(AND($I307="Penales",$F307&lt;&gt;$G307))),$F307-$G307=$J307-$K307),Reglas!$B$6,0)</x:f>
        <x:v>0</x:v>
      </x:c>
      <x:c r="S307" t="n">
        <x:f>IF(AND(AND(AND(ISNUMBER($F307),ISNUMBER($G307),$H307=$L307),$I307=$M307,NOT(AND($I307="Penales",$F307&lt;&gt;$G307))),$F307=$J307),Reglas!$B$7,0)</x:f>
        <x:v>0</x:v>
      </x:c>
      <x:c r="T307" t="n">
        <x:f>IF(AND(AND(AND(ISNUMBER($F307),ISNUMBER($G307),$H307=$L307),$I307=$M307,NOT(AND($I307="Penales",$F307&lt;&gt;$G307))),$G307=$K307),Reglas!$B$8,0)</x:f>
        <x:v>0</x:v>
      </x:c>
      <x:c r="U307" t="n">
        <x:f>SUM(N307:T307)</x:f>
        <x:v>3</x:v>
      </x:c>
      <x:c r="V307" t="str">
        <x:f>IF($W307="Sin respuesta","Sin envio",IF($U307&gt;0,"OK","Sin puntos"))</x:f>
        <x:v>OK</x:v>
      </x:c>
      <x:c r="W307" t="str">
        <x:v>Google Forms</x:v>
      </x:c>
    </x:row>
    <x:row r="308" ht="15" hidden="0" customHeight="1">
      <x:c r="A308" t="str">
        <x:v>Semifinal</x:v>
      </x:c>
      <x:c r="B308" t="str">
        <x:v>SF2</x:v>
      </x:c>
      <x:c r="C308" t="str">
        <x:v>Diana</x:v>
      </x:c>
      <x:c r="D308" t="str">
        <x:v>Inglaterra</x:v>
      </x:c>
      <x:c r="E308" t="str">
        <x:v>Argentina</x:v>
      </x:c>
      <x:c r="F308"/>
      <x:c r="G308"/>
      <x:c r="H308" t="str">
        <x:v>Sin envio</x:v>
      </x:c>
      <x:c r="I308" t="str">
        <x:v>Sin envio</x:v>
      </x:c>
      <x:c r="J308" t="n">
        <x:v>1</x:v>
      </x:c>
      <x:c r="K308" t="n">
        <x:v>2</x:v>
      </x:c>
      <x:c r="L308" t="str">
        <x:v>Argentina</x:v>
      </x:c>
      <x:c r="M308" t="str">
        <x:v>90 minutos</x:v>
      </x:c>
      <x:c r="N308" t="n">
        <x:f>IF(AND(AND(ISNUMBER($F308),ISNUMBER($G308),$H308=$L308),IF($I308="90 minutos",IF($F308&gt;$G308,"A",IF($G308&gt;$F308,"B","E")),"E")=IF($M308="90 minutos",IF($J308&gt;$K308,"A",IF($K308&gt;$J308,"B","E")),"E")),Reglas!$B$2,0)</x:f>
        <x:v>0</x:v>
      </x:c>
      <x:c r="O308" t="n">
        <x:f>IF(AND(ISNUMBER($F308),ISNUMBER($G308),$H308=$L308),Reglas!$B$3,0)</x:f>
        <x:v>0</x:v>
      </x:c>
      <x:c r="P308" t="n">
        <x:f>IF(AND(AND(ISNUMBER($F308),ISNUMBER($G308),$H308=$L308),$I308=$M308),Reglas!$B$4,0)</x:f>
        <x:v>0</x:v>
      </x:c>
      <x:c r="Q308" t="n">
        <x:f>IF(AND(AND(AND(ISNUMBER($F308),ISNUMBER($G308),$H308=$L308),$I308=$M308,NOT(AND($I308="Penales",$F308&lt;&gt;$G308))),$F308=$J308,$G308=$K308),Reglas!$B$5,0)</x:f>
        <x:v>0</x:v>
      </x:c>
      <x:c r="R308" t="n">
        <x:f>IF(AND(AND(AND(ISNUMBER($F308),ISNUMBER($G308),$H308=$L308),$I308=$M308,NOT(AND($I308="Penales",$F308&lt;&gt;$G308))),$F308-$G308=$J308-$K308),Reglas!$B$6,0)</x:f>
        <x:v>0</x:v>
      </x:c>
      <x:c r="S308" t="n">
        <x:f>IF(AND(AND(AND(ISNUMBER($F308),ISNUMBER($G308),$H308=$L308),$I308=$M308,NOT(AND($I308="Penales",$F308&lt;&gt;$G308))),$F308=$J308),Reglas!$B$7,0)</x:f>
        <x:v>0</x:v>
      </x:c>
      <x:c r="T308" t="n">
        <x:f>IF(AND(AND(AND(ISNUMBER($F308),ISNUMBER($G308),$H308=$L308),$I308=$M308,NOT(AND($I308="Penales",$F308&lt;&gt;$G308))),$G308=$K308),Reglas!$B$8,0)</x:f>
        <x:v>0</x:v>
      </x:c>
      <x:c r="U308" t="n">
        <x:f>SUM(N308:T308)</x:f>
        <x:v>0</x:v>
      </x:c>
      <x:c r="V308" t="str">
        <x:f>IF($W308="Sin respuesta","Sin envio",IF($U308&gt;0,"OK","Sin puntos"))</x:f>
        <x:v>Sin envio</x:v>
      </x:c>
      <x:c r="W308" t="str">
        <x:v>Sin respuesta</x:v>
      </x:c>
    </x:row>
    <x:row r="309" ht="15" hidden="0" customHeight="1">
      <x:c r="A309" t="str">
        <x:v>Semifinal</x:v>
      </x:c>
      <x:c r="B309" t="str">
        <x:v>SF2</x:v>
      </x:c>
      <x:c r="C309" t="str">
        <x:v>Óscar</x:v>
      </x:c>
      <x:c r="D309" t="str">
        <x:v>Inglaterra</x:v>
      </x:c>
      <x:c r="E309" t="str">
        <x:v>Argentina</x:v>
      </x:c>
      <x:c r="F309" t="n">
        <x:v>2</x:v>
      </x:c>
      <x:c r="G309" t="n">
        <x:v>2</x:v>
      </x:c>
      <x:c r="H309" t="str">
        <x:v>Argentina</x:v>
      </x:c>
      <x:c r="I309" t="str">
        <x:v>Penales</x:v>
      </x:c>
      <x:c r="J309" t="n">
        <x:v>1</x:v>
      </x:c>
      <x:c r="K309" t="n">
        <x:v>2</x:v>
      </x:c>
      <x:c r="L309" t="str">
        <x:v>Argentina</x:v>
      </x:c>
      <x:c r="M309" t="str">
        <x:v>90 minutos</x:v>
      </x:c>
      <x:c r="N309" t="n">
        <x:f>IF(AND(AND(ISNUMBER($F309),ISNUMBER($G309),$H309=$L309),IF($I309="90 minutos",IF($F309&gt;$G309,"A",IF($G309&gt;$F309,"B","E")),"E")=IF($M309="90 minutos",IF($J309&gt;$K309,"A",IF($K309&gt;$J309,"B","E")),"E")),Reglas!$B$2,0)</x:f>
        <x:v>0</x:v>
      </x:c>
      <x:c r="O309" t="n">
        <x:f>IF(AND(ISNUMBER($F309),ISNUMBER($G309),$H309=$L309),Reglas!$B$3,0)</x:f>
        <x:v>3</x:v>
      </x:c>
      <x:c r="P309" t="n">
        <x:f>IF(AND(AND(ISNUMBER($F309),ISNUMBER($G309),$H309=$L309),$I309=$M309),Reglas!$B$4,0)</x:f>
        <x:v>0</x:v>
      </x:c>
      <x:c r="Q309" t="n">
        <x:f>IF(AND(AND(AND(ISNUMBER($F309),ISNUMBER($G309),$H309=$L309),$I309=$M309,NOT(AND($I309="Penales",$F309&lt;&gt;$G309))),$F309=$J309,$G309=$K309),Reglas!$B$5,0)</x:f>
        <x:v>0</x:v>
      </x:c>
      <x:c r="R309" t="n">
        <x:f>IF(AND(AND(AND(ISNUMBER($F309),ISNUMBER($G309),$H309=$L309),$I309=$M309,NOT(AND($I309="Penales",$F309&lt;&gt;$G309))),$F309-$G309=$J309-$K309),Reglas!$B$6,0)</x:f>
        <x:v>0</x:v>
      </x:c>
      <x:c r="S309" t="n">
        <x:f>IF(AND(AND(AND(ISNUMBER($F309),ISNUMBER($G309),$H309=$L309),$I309=$M309,NOT(AND($I309="Penales",$F309&lt;&gt;$G309))),$F309=$J309),Reglas!$B$7,0)</x:f>
        <x:v>0</x:v>
      </x:c>
      <x:c r="T309" t="n">
        <x:f>IF(AND(AND(AND(ISNUMBER($F309),ISNUMBER($G309),$H309=$L309),$I309=$M309,NOT(AND($I309="Penales",$F309&lt;&gt;$G309))),$G309=$K309),Reglas!$B$8,0)</x:f>
        <x:v>0</x:v>
      </x:c>
      <x:c r="U309" t="n">
        <x:f>SUM(N309:T309)</x:f>
        <x:v>3</x:v>
      </x:c>
      <x:c r="V309" t="str">
        <x:f>IF($W309="Sin respuesta","Sin envio",IF($U309&gt;0,"OK","Sin puntos"))</x:f>
        <x:v>OK</x:v>
      </x:c>
      <x:c r="W309" t="str">
        <x:v>Google Forms</x:v>
      </x:c>
    </x:row>
    <x:row r="310" ht="15" hidden="0" customHeight="1">
      <x:c r="A310" t="str">
        <x:v>Tercer puesto</x:v>
      </x:c>
      <x:c r="B310" t="str">
        <x:v>TP</x:v>
      </x:c>
      <x:c r="C310" t="str">
        <x:v>Freddy</x:v>
      </x:c>
      <x:c r="D310" t="str">
        <x:v>Inglaterra</x:v>
      </x:c>
      <x:c r="E310" t="str">
        <x:v>Francia</x:v>
      </x:c>
      <x:c r="F310" t="n">
        <x:v>1</x:v>
      </x:c>
      <x:c r="G310" t="n">
        <x:v>2</x:v>
      </x:c>
      <x:c r="H310" t="str">
        <x:v>Francia</x:v>
      </x:c>
      <x:c r="I310" t="str">
        <x:v>90 minutos</x:v>
      </x:c>
      <x:c r="J310" t="n">
        <x:v>6</x:v>
      </x:c>
      <x:c r="K310" t="n">
        <x:v>4</x:v>
      </x:c>
      <x:c r="L310" t="str">
        <x:v>Inglaterra</x:v>
      </x:c>
      <x:c r="M310" t="str">
        <x:v>90 minutos</x:v>
      </x:c>
      <x:c r="N310" t="n">
        <x:f>IF(AND(AND(ISNUMBER($F310),ISNUMBER($G310),$H310=$L310),IF($I310="90 minutos",IF($F310&gt;$G310,"A",IF($G310&gt;$F310,"B","E")),"E")=IF($M310="90 minutos",IF($J310&gt;$K310,"A",IF($K310&gt;$J310,"B","E")),"E")),Reglas!$B$2,0)</x:f>
        <x:v>0</x:v>
      </x:c>
      <x:c r="O310" t="n">
        <x:f>IF(AND(ISNUMBER($F310),ISNUMBER($G310),$H310=$L310),Reglas!$B$3,0)</x:f>
        <x:v>0</x:v>
      </x:c>
      <x:c r="P310" t="n">
        <x:f>IF(AND(AND(ISNUMBER($F310),ISNUMBER($G310),$H310=$L310),$I310=$M310),Reglas!$B$4,0)</x:f>
        <x:v>0</x:v>
      </x:c>
      <x:c r="Q310" t="n">
        <x:f>IF(AND(AND(AND(ISNUMBER($F310),ISNUMBER($G310),$H310=$L310),$I310=$M310,NOT(AND($I310="Penales",$F310&lt;&gt;$G310))),$F310=$J310,$G310=$K310),Reglas!$B$5,0)</x:f>
        <x:v>0</x:v>
      </x:c>
      <x:c r="R310" t="n">
        <x:f>IF(AND(AND(AND(ISNUMBER($F310),ISNUMBER($G310),$H310=$L310),$I310=$M310,NOT(AND($I310="Penales",$F310&lt;&gt;$G310))),$F310-$G310=$J310-$K310),Reglas!$B$6,0)</x:f>
        <x:v>0</x:v>
      </x:c>
      <x:c r="S310" t="n">
        <x:f>IF(AND(AND(AND(ISNUMBER($F310),ISNUMBER($G310),$H310=$L310),$I310=$M310,NOT(AND($I310="Penales",$F310&lt;&gt;$G310))),$F310=$J310),Reglas!$B$7,0)</x:f>
        <x:v>0</x:v>
      </x:c>
      <x:c r="T310" t="n">
        <x:f>IF(AND(AND(AND(ISNUMBER($F310),ISNUMBER($G310),$H310=$L310),$I310=$M310,NOT(AND($I310="Penales",$F310&lt;&gt;$G310))),$G310=$K310),Reglas!$B$8,0)</x:f>
        <x:v>0</x:v>
      </x:c>
      <x:c r="U310" t="n">
        <x:f>SUM(N310:T310)</x:f>
        <x:v>0</x:v>
      </x:c>
      <x:c r="V310" t="str">
        <x:f>IF($W310="Sin respuesta","Sin envio",IF($U310&gt;0,"OK","Sin puntos"))</x:f>
        <x:v>Sin puntos</x:v>
      </x:c>
      <x:c r="W310" t="str">
        <x:v>Google Forms</x:v>
      </x:c>
    </x:row>
    <x:row r="311" ht="15" hidden="0" customHeight="1">
      <x:c r="A311" t="str">
        <x:v>Tercer puesto</x:v>
      </x:c>
      <x:c r="B311" t="str">
        <x:v>TP</x:v>
      </x:c>
      <x:c r="C311" t="str">
        <x:v>Gabriela</x:v>
      </x:c>
      <x:c r="D311" t="str">
        <x:v>Inglaterra</x:v>
      </x:c>
      <x:c r="E311" t="str">
        <x:v>Francia</x:v>
      </x:c>
      <x:c r="F311" t="n">
        <x:v>2</x:v>
      </x:c>
      <x:c r="G311" t="n">
        <x:v>1</x:v>
      </x:c>
      <x:c r="H311" t="str">
        <x:v>Inglaterra</x:v>
      </x:c>
      <x:c r="I311" t="str">
        <x:v>90 minutos</x:v>
      </x:c>
      <x:c r="J311" t="n">
        <x:v>6</x:v>
      </x:c>
      <x:c r="K311" t="n">
        <x:v>4</x:v>
      </x:c>
      <x:c r="L311" t="str">
        <x:v>Inglaterra</x:v>
      </x:c>
      <x:c r="M311" t="str">
        <x:v>90 minutos</x:v>
      </x:c>
      <x:c r="N311" t="n">
        <x:f>IF(AND(AND(ISNUMBER($F311),ISNUMBER($G311),$H311=$L311),IF($I311="90 minutos",IF($F311&gt;$G311,"A",IF($G311&gt;$F311,"B","E")),"E")=IF($M311="90 minutos",IF($J311&gt;$K311,"A",IF($K311&gt;$J311,"B","E")),"E")),Reglas!$B$2,0)</x:f>
        <x:v>5</x:v>
      </x:c>
      <x:c r="O311" t="n">
        <x:f>IF(AND(ISNUMBER($F311),ISNUMBER($G311),$H311=$L311),Reglas!$B$3,0)</x:f>
        <x:v>3</x:v>
      </x:c>
      <x:c r="P311" t="n">
        <x:f>IF(AND(AND(ISNUMBER($F311),ISNUMBER($G311),$H311=$L311),$I311=$M311),Reglas!$B$4,0)</x:f>
        <x:v>2</x:v>
      </x:c>
      <x:c r="Q311" t="n">
        <x:f>IF(AND(AND(AND(ISNUMBER($F311),ISNUMBER($G311),$H311=$L311),$I311=$M311,NOT(AND($I311="Penales",$F311&lt;&gt;$G311))),$F311=$J311,$G311=$K311),Reglas!$B$5,0)</x:f>
        <x:v>0</x:v>
      </x:c>
      <x:c r="R311" t="n">
        <x:f>IF(AND(AND(AND(ISNUMBER($F311),ISNUMBER($G311),$H311=$L311),$I311=$M311,NOT(AND($I311="Penales",$F311&lt;&gt;$G311))),$F311-$G311=$J311-$K311),Reglas!$B$6,0)</x:f>
        <x:v>0</x:v>
      </x:c>
      <x:c r="S311" t="n">
        <x:f>IF(AND(AND(AND(ISNUMBER($F311),ISNUMBER($G311),$H311=$L311),$I311=$M311,NOT(AND($I311="Penales",$F311&lt;&gt;$G311))),$F311=$J311),Reglas!$B$7,0)</x:f>
        <x:v>0</x:v>
      </x:c>
      <x:c r="T311" t="n">
        <x:f>IF(AND(AND(AND(ISNUMBER($F311),ISNUMBER($G311),$H311=$L311),$I311=$M311,NOT(AND($I311="Penales",$F311&lt;&gt;$G311))),$G311=$K311),Reglas!$B$8,0)</x:f>
        <x:v>0</x:v>
      </x:c>
      <x:c r="U311" t="n">
        <x:f>SUM(N311:T311)</x:f>
        <x:v>10</x:v>
      </x:c>
      <x:c r="V311" t="str">
        <x:f>IF($W311="Sin respuesta","Sin envio",IF($U311&gt;0,"OK","Sin puntos"))</x:f>
        <x:v>OK</x:v>
      </x:c>
      <x:c r="W311" t="str">
        <x:v>Google Forms</x:v>
      </x:c>
    </x:row>
    <x:row r="312" ht="15" hidden="0" customHeight="1">
      <x:c r="A312" t="str">
        <x:v>Tercer puesto</x:v>
      </x:c>
      <x:c r="B312" t="str">
        <x:v>TP</x:v>
      </x:c>
      <x:c r="C312" t="str">
        <x:v>Jean</x:v>
      </x:c>
      <x:c r="D312" t="str">
        <x:v>Inglaterra</x:v>
      </x:c>
      <x:c r="E312" t="str">
        <x:v>Francia</x:v>
      </x:c>
      <x:c r="F312" t="n">
        <x:v>1</x:v>
      </x:c>
      <x:c r="G312" t="n">
        <x:v>2</x:v>
      </x:c>
      <x:c r="H312" t="str">
        <x:v>Francia</x:v>
      </x:c>
      <x:c r="I312" t="str">
        <x:v>90 minutos</x:v>
      </x:c>
      <x:c r="J312" t="n">
        <x:v>6</x:v>
      </x:c>
      <x:c r="K312" t="n">
        <x:v>4</x:v>
      </x:c>
      <x:c r="L312" t="str">
        <x:v>Inglaterra</x:v>
      </x:c>
      <x:c r="M312" t="str">
        <x:v>90 minutos</x:v>
      </x:c>
      <x:c r="N312" t="n">
        <x:f>IF(AND(AND(ISNUMBER($F312),ISNUMBER($G312),$H312=$L312),IF($I312="90 minutos",IF($F312&gt;$G312,"A",IF($G312&gt;$F312,"B","E")),"E")=IF($M312="90 minutos",IF($J312&gt;$K312,"A",IF($K312&gt;$J312,"B","E")),"E")),Reglas!$B$2,0)</x:f>
        <x:v>0</x:v>
      </x:c>
      <x:c r="O312" t="n">
        <x:f>IF(AND(ISNUMBER($F312),ISNUMBER($G312),$H312=$L312),Reglas!$B$3,0)</x:f>
        <x:v>0</x:v>
      </x:c>
      <x:c r="P312" t="n">
        <x:f>IF(AND(AND(ISNUMBER($F312),ISNUMBER($G312),$H312=$L312),$I312=$M312),Reglas!$B$4,0)</x:f>
        <x:v>0</x:v>
      </x:c>
      <x:c r="Q312" t="n">
        <x:f>IF(AND(AND(AND(ISNUMBER($F312),ISNUMBER($G312),$H312=$L312),$I312=$M312,NOT(AND($I312="Penales",$F312&lt;&gt;$G312))),$F312=$J312,$G312=$K312),Reglas!$B$5,0)</x:f>
        <x:v>0</x:v>
      </x:c>
      <x:c r="R312" t="n">
        <x:f>IF(AND(AND(AND(ISNUMBER($F312),ISNUMBER($G312),$H312=$L312),$I312=$M312,NOT(AND($I312="Penales",$F312&lt;&gt;$G312))),$F312-$G312=$J312-$K312),Reglas!$B$6,0)</x:f>
        <x:v>0</x:v>
      </x:c>
      <x:c r="S312" t="n">
        <x:f>IF(AND(AND(AND(ISNUMBER($F312),ISNUMBER($G312),$H312=$L312),$I312=$M312,NOT(AND($I312="Penales",$F312&lt;&gt;$G312))),$F312=$J312),Reglas!$B$7,0)</x:f>
        <x:v>0</x:v>
      </x:c>
      <x:c r="T312" t="n">
        <x:f>IF(AND(AND(AND(ISNUMBER($F312),ISNUMBER($G312),$H312=$L312),$I312=$M312,NOT(AND($I312="Penales",$F312&lt;&gt;$G312))),$G312=$K312),Reglas!$B$8,0)</x:f>
        <x:v>0</x:v>
      </x:c>
      <x:c r="U312" t="n">
        <x:f>SUM(N312:T312)</x:f>
        <x:v>0</x:v>
      </x:c>
      <x:c r="V312" t="str">
        <x:f>IF($W312="Sin respuesta","Sin envio",IF($U312&gt;0,"OK","Sin puntos"))</x:f>
        <x:v>Sin puntos</x:v>
      </x:c>
      <x:c r="W312" t="str">
        <x:v>Google Forms</x:v>
      </x:c>
    </x:row>
    <x:row r="313" ht="15" hidden="0" customHeight="1">
      <x:c r="A313" t="str">
        <x:v>Tercer puesto</x:v>
      </x:c>
      <x:c r="B313" t="str">
        <x:v>TP</x:v>
      </x:c>
      <x:c r="C313" t="str">
        <x:v>Juan</x:v>
      </x:c>
      <x:c r="D313" t="str">
        <x:v>Inglaterra</x:v>
      </x:c>
      <x:c r="E313" t="str">
        <x:v>Francia</x:v>
      </x:c>
      <x:c r="F313" t="n">
        <x:v>2</x:v>
      </x:c>
      <x:c r="G313" t="n">
        <x:v>3</x:v>
      </x:c>
      <x:c r="H313" t="str">
        <x:v>Francia</x:v>
      </x:c>
      <x:c r="I313" t="str">
        <x:v>90 minutos</x:v>
      </x:c>
      <x:c r="J313" t="n">
        <x:v>6</x:v>
      </x:c>
      <x:c r="K313" t="n">
        <x:v>4</x:v>
      </x:c>
      <x:c r="L313" t="str">
        <x:v>Inglaterra</x:v>
      </x:c>
      <x:c r="M313" t="str">
        <x:v>90 minutos</x:v>
      </x:c>
      <x:c r="N313" t="n">
        <x:f>IF(AND(AND(ISNUMBER($F313),ISNUMBER($G313),$H313=$L313),IF($I313="90 minutos",IF($F313&gt;$G313,"A",IF($G313&gt;$F313,"B","E")),"E")=IF($M313="90 minutos",IF($J313&gt;$K313,"A",IF($K313&gt;$J313,"B","E")),"E")),Reglas!$B$2,0)</x:f>
        <x:v>0</x:v>
      </x:c>
      <x:c r="O313" t="n">
        <x:f>IF(AND(ISNUMBER($F313),ISNUMBER($G313),$H313=$L313),Reglas!$B$3,0)</x:f>
        <x:v>0</x:v>
      </x:c>
      <x:c r="P313" t="n">
        <x:f>IF(AND(AND(ISNUMBER($F313),ISNUMBER($G313),$H313=$L313),$I313=$M313),Reglas!$B$4,0)</x:f>
        <x:v>0</x:v>
      </x:c>
      <x:c r="Q313" t="n">
        <x:f>IF(AND(AND(AND(ISNUMBER($F313),ISNUMBER($G313),$H313=$L313),$I313=$M313,NOT(AND($I313="Penales",$F313&lt;&gt;$G313))),$F313=$J313,$G313=$K313),Reglas!$B$5,0)</x:f>
        <x:v>0</x:v>
      </x:c>
      <x:c r="R313" t="n">
        <x:f>IF(AND(AND(AND(ISNUMBER($F313),ISNUMBER($G313),$H313=$L313),$I313=$M313,NOT(AND($I313="Penales",$F313&lt;&gt;$G313))),$F313-$G313=$J313-$K313),Reglas!$B$6,0)</x:f>
        <x:v>0</x:v>
      </x:c>
      <x:c r="S313" t="n">
        <x:f>IF(AND(AND(AND(ISNUMBER($F313),ISNUMBER($G313),$H313=$L313),$I313=$M313,NOT(AND($I313="Penales",$F313&lt;&gt;$G313))),$F313=$J313),Reglas!$B$7,0)</x:f>
        <x:v>0</x:v>
      </x:c>
      <x:c r="T313" t="n">
        <x:f>IF(AND(AND(AND(ISNUMBER($F313),ISNUMBER($G313),$H313=$L313),$I313=$M313,NOT(AND($I313="Penales",$F313&lt;&gt;$G313))),$G313=$K313),Reglas!$B$8,0)</x:f>
        <x:v>0</x:v>
      </x:c>
      <x:c r="U313" t="n">
        <x:f>SUM(N313:T313)</x:f>
        <x:v>0</x:v>
      </x:c>
      <x:c r="V313" t="str">
        <x:f>IF($W313="Sin respuesta","Sin envio",IF($U313&gt;0,"OK","Sin puntos"))</x:f>
        <x:v>Sin puntos</x:v>
      </x:c>
      <x:c r="W313" t="str">
        <x:v>Google Forms</x:v>
      </x:c>
    </x:row>
    <x:row r="314" ht="15" hidden="0" customHeight="1">
      <x:c r="A314" t="str">
        <x:v>Tercer puesto</x:v>
      </x:c>
      <x:c r="B314" t="str">
        <x:v>TP</x:v>
      </x:c>
      <x:c r="C314" t="str">
        <x:v>Jesús</x:v>
      </x:c>
      <x:c r="D314" t="str">
        <x:v>Inglaterra</x:v>
      </x:c>
      <x:c r="E314" t="str">
        <x:v>Francia</x:v>
      </x:c>
      <x:c r="F314" t="n">
        <x:v>2</x:v>
      </x:c>
      <x:c r="G314" t="n">
        <x:v>1</x:v>
      </x:c>
      <x:c r="H314" t="str">
        <x:v>Francia</x:v>
      </x:c>
      <x:c r="I314" t="str">
        <x:v>90 minutos</x:v>
      </x:c>
      <x:c r="J314" t="n">
        <x:v>6</x:v>
      </x:c>
      <x:c r="K314" t="n">
        <x:v>4</x:v>
      </x:c>
      <x:c r="L314" t="str">
        <x:v>Inglaterra</x:v>
      </x:c>
      <x:c r="M314" t="str">
        <x:v>90 minutos</x:v>
      </x:c>
      <x:c r="N314" t="n">
        <x:f>IF(AND(AND(ISNUMBER($F314),ISNUMBER($G314),$H314=$L314),IF($I314="90 minutos",IF($F314&gt;$G314,"A",IF($G314&gt;$F314,"B","E")),"E")=IF($M314="90 minutos",IF($J314&gt;$K314,"A",IF($K314&gt;$J314,"B","E")),"E")),Reglas!$B$2,0)</x:f>
        <x:v>0</x:v>
      </x:c>
      <x:c r="O314" t="n">
        <x:f>IF(AND(ISNUMBER($F314),ISNUMBER($G314),$H314=$L314),Reglas!$B$3,0)</x:f>
        <x:v>0</x:v>
      </x:c>
      <x:c r="P314" t="n">
        <x:f>IF(AND(AND(ISNUMBER($F314),ISNUMBER($G314),$H314=$L314),$I314=$M314),Reglas!$B$4,0)</x:f>
        <x:v>0</x:v>
      </x:c>
      <x:c r="Q314" t="n">
        <x:f>IF(AND(AND(AND(ISNUMBER($F314),ISNUMBER($G314),$H314=$L314),$I314=$M314,NOT(AND($I314="Penales",$F314&lt;&gt;$G314))),$F314=$J314,$G314=$K314),Reglas!$B$5,0)</x:f>
        <x:v>0</x:v>
      </x:c>
      <x:c r="R314" t="n">
        <x:f>IF(AND(AND(AND(ISNUMBER($F314),ISNUMBER($G314),$H314=$L314),$I314=$M314,NOT(AND($I314="Penales",$F314&lt;&gt;$G314))),$F314-$G314=$J314-$K314),Reglas!$B$6,0)</x:f>
        <x:v>0</x:v>
      </x:c>
      <x:c r="S314" t="n">
        <x:f>IF(AND(AND(AND(ISNUMBER($F314),ISNUMBER($G314),$H314=$L314),$I314=$M314,NOT(AND($I314="Penales",$F314&lt;&gt;$G314))),$F314=$J314),Reglas!$B$7,0)</x:f>
        <x:v>0</x:v>
      </x:c>
      <x:c r="T314" t="n">
        <x:f>IF(AND(AND(AND(ISNUMBER($F314),ISNUMBER($G314),$H314=$L314),$I314=$M314,NOT(AND($I314="Penales",$F314&lt;&gt;$G314))),$G314=$K314),Reglas!$B$8,0)</x:f>
        <x:v>0</x:v>
      </x:c>
      <x:c r="U314" t="n">
        <x:f>SUM(N314:T314)</x:f>
        <x:v>0</x:v>
      </x:c>
      <x:c r="V314" t="str">
        <x:f>IF($W314="Sin respuesta","Sin envio",IF($U314&gt;0,"OK","Sin puntos"))</x:f>
        <x:v>Sin puntos</x:v>
      </x:c>
      <x:c r="W314" t="str">
        <x:v>Google Forms</x:v>
      </x:c>
    </x:row>
    <x:row r="315" ht="15" hidden="0" customHeight="1">
      <x:c r="A315" t="str">
        <x:v>Tercer puesto</x:v>
      </x:c>
      <x:c r="B315" t="str">
        <x:v>TP</x:v>
      </x:c>
      <x:c r="C315" t="str">
        <x:v>Diego</x:v>
      </x:c>
      <x:c r="D315" t="str">
        <x:v>Inglaterra</x:v>
      </x:c>
      <x:c r="E315" t="str">
        <x:v>Francia</x:v>
      </x:c>
      <x:c r="F315" t="n">
        <x:v>1</x:v>
      </x:c>
      <x:c r="G315" t="n">
        <x:v>3</x:v>
      </x:c>
      <x:c r="H315" t="str">
        <x:v>Francia</x:v>
      </x:c>
      <x:c r="I315" t="str">
        <x:v>90 minutos</x:v>
      </x:c>
      <x:c r="J315" t="n">
        <x:v>6</x:v>
      </x:c>
      <x:c r="K315" t="n">
        <x:v>4</x:v>
      </x:c>
      <x:c r="L315" t="str">
        <x:v>Inglaterra</x:v>
      </x:c>
      <x:c r="M315" t="str">
        <x:v>90 minutos</x:v>
      </x:c>
      <x:c r="N315" t="n">
        <x:f>IF(AND(AND(ISNUMBER($F315),ISNUMBER($G315),$H315=$L315),IF($I315="90 minutos",IF($F315&gt;$G315,"A",IF($G315&gt;$F315,"B","E")),"E")=IF($M315="90 minutos",IF($J315&gt;$K315,"A",IF($K315&gt;$J315,"B","E")),"E")),Reglas!$B$2,0)</x:f>
        <x:v>0</x:v>
      </x:c>
      <x:c r="O315" t="n">
        <x:f>IF(AND(ISNUMBER($F315),ISNUMBER($G315),$H315=$L315),Reglas!$B$3,0)</x:f>
        <x:v>0</x:v>
      </x:c>
      <x:c r="P315" t="n">
        <x:f>IF(AND(AND(ISNUMBER($F315),ISNUMBER($G315),$H315=$L315),$I315=$M315),Reglas!$B$4,0)</x:f>
        <x:v>0</x:v>
      </x:c>
      <x:c r="Q315" t="n">
        <x:f>IF(AND(AND(AND(ISNUMBER($F315),ISNUMBER($G315),$H315=$L315),$I315=$M315,NOT(AND($I315="Penales",$F315&lt;&gt;$G315))),$F315=$J315,$G315=$K315),Reglas!$B$5,0)</x:f>
        <x:v>0</x:v>
      </x:c>
      <x:c r="R315" t="n">
        <x:f>IF(AND(AND(AND(ISNUMBER($F315),ISNUMBER($G315),$H315=$L315),$I315=$M315,NOT(AND($I315="Penales",$F315&lt;&gt;$G315))),$F315-$G315=$J315-$K315),Reglas!$B$6,0)</x:f>
        <x:v>0</x:v>
      </x:c>
      <x:c r="S315" t="n">
        <x:f>IF(AND(AND(AND(ISNUMBER($F315),ISNUMBER($G315),$H315=$L315),$I315=$M315,NOT(AND($I315="Penales",$F315&lt;&gt;$G315))),$F315=$J315),Reglas!$B$7,0)</x:f>
        <x:v>0</x:v>
      </x:c>
      <x:c r="T315" t="n">
        <x:f>IF(AND(AND(AND(ISNUMBER($F315),ISNUMBER($G315),$H315=$L315),$I315=$M315,NOT(AND($I315="Penales",$F315&lt;&gt;$G315))),$G315=$K315),Reglas!$B$8,0)</x:f>
        <x:v>0</x:v>
      </x:c>
      <x:c r="U315" t="n">
        <x:f>SUM(N315:T315)</x:f>
        <x:v>0</x:v>
      </x:c>
      <x:c r="V315" t="str">
        <x:f>IF($W315="Sin respuesta","Sin envio",IF($U315&gt;0,"OK","Sin puntos"))</x:f>
        <x:v>Sin puntos</x:v>
      </x:c>
      <x:c r="W315" t="str">
        <x:v>Google Forms</x:v>
      </x:c>
    </x:row>
    <x:row r="316" ht="15" hidden="0" customHeight="1">
      <x:c r="A316" t="str">
        <x:v>Tercer puesto</x:v>
      </x:c>
      <x:c r="B316" t="str">
        <x:v>TP</x:v>
      </x:c>
      <x:c r="C316" t="str">
        <x:v>Aldo</x:v>
      </x:c>
      <x:c r="D316" t="str">
        <x:v>Inglaterra</x:v>
      </x:c>
      <x:c r="E316" t="str">
        <x:v>Francia</x:v>
      </x:c>
      <x:c r="F316" t="n">
        <x:v>2</x:v>
      </x:c>
      <x:c r="G316" t="n">
        <x:v>1</x:v>
      </x:c>
      <x:c r="H316" t="str">
        <x:v>Inglaterra</x:v>
      </x:c>
      <x:c r="I316" t="str">
        <x:v>Suplementario</x:v>
      </x:c>
      <x:c r="J316" t="n">
        <x:v>6</x:v>
      </x:c>
      <x:c r="K316" t="n">
        <x:v>4</x:v>
      </x:c>
      <x:c r="L316" t="str">
        <x:v>Inglaterra</x:v>
      </x:c>
      <x:c r="M316" t="str">
        <x:v>90 minutos</x:v>
      </x:c>
      <x:c r="N316" t="n">
        <x:f>IF(AND(AND(ISNUMBER($F316),ISNUMBER($G316),$H316=$L316),IF($I316="90 minutos",IF($F316&gt;$G316,"A",IF($G316&gt;$F316,"B","E")),"E")=IF($M316="90 minutos",IF($J316&gt;$K316,"A",IF($K316&gt;$J316,"B","E")),"E")),Reglas!$B$2,0)</x:f>
        <x:v>0</x:v>
      </x:c>
      <x:c r="O316" t="n">
        <x:f>IF(AND(ISNUMBER($F316),ISNUMBER($G316),$H316=$L316),Reglas!$B$3,0)</x:f>
        <x:v>3</x:v>
      </x:c>
      <x:c r="P316" t="n">
        <x:f>IF(AND(AND(ISNUMBER($F316),ISNUMBER($G316),$H316=$L316),$I316=$M316),Reglas!$B$4,0)</x:f>
        <x:v>0</x:v>
      </x:c>
      <x:c r="Q316" t="n">
        <x:f>IF(AND(AND(AND(ISNUMBER($F316),ISNUMBER($G316),$H316=$L316),$I316=$M316,NOT(AND($I316="Penales",$F316&lt;&gt;$G316))),$F316=$J316,$G316=$K316),Reglas!$B$5,0)</x:f>
        <x:v>0</x:v>
      </x:c>
      <x:c r="R316" t="n">
        <x:f>IF(AND(AND(AND(ISNUMBER($F316),ISNUMBER($G316),$H316=$L316),$I316=$M316,NOT(AND($I316="Penales",$F316&lt;&gt;$G316))),$F316-$G316=$J316-$K316),Reglas!$B$6,0)</x:f>
        <x:v>0</x:v>
      </x:c>
      <x:c r="S316" t="n">
        <x:f>IF(AND(AND(AND(ISNUMBER($F316),ISNUMBER($G316),$H316=$L316),$I316=$M316,NOT(AND($I316="Penales",$F316&lt;&gt;$G316))),$F316=$J316),Reglas!$B$7,0)</x:f>
        <x:v>0</x:v>
      </x:c>
      <x:c r="T316" t="n">
        <x:f>IF(AND(AND(AND(ISNUMBER($F316),ISNUMBER($G316),$H316=$L316),$I316=$M316,NOT(AND($I316="Penales",$F316&lt;&gt;$G316))),$G316=$K316),Reglas!$B$8,0)</x:f>
        <x:v>0</x:v>
      </x:c>
      <x:c r="U316" t="n">
        <x:f>SUM(N316:T316)</x:f>
        <x:v>3</x:v>
      </x:c>
      <x:c r="V316" t="str">
        <x:f>IF($W316="Sin respuesta","Sin envio",IF($U316&gt;0,"OK","Sin puntos"))</x:f>
        <x:v>OK</x:v>
      </x:c>
      <x:c r="W316" t="str">
        <x:v>Google Forms</x:v>
      </x:c>
    </x:row>
    <x:row r="317" ht="15" hidden="0" customHeight="1">
      <x:c r="A317" t="str">
        <x:v>Tercer puesto</x:v>
      </x:c>
      <x:c r="B317" t="str">
        <x:v>TP</x:v>
      </x:c>
      <x:c r="C317" t="str">
        <x:v>Javier</x:v>
      </x:c>
      <x:c r="D317" t="str">
        <x:v>Inglaterra</x:v>
      </x:c>
      <x:c r="E317" t="str">
        <x:v>Francia</x:v>
      </x:c>
      <x:c r="F317"/>
      <x:c r="G317"/>
      <x:c r="H317" t="str">
        <x:v>Sin envio</x:v>
      </x:c>
      <x:c r="I317" t="str">
        <x:v>Sin envio</x:v>
      </x:c>
      <x:c r="J317" t="n">
        <x:v>6</x:v>
      </x:c>
      <x:c r="K317" t="n">
        <x:v>4</x:v>
      </x:c>
      <x:c r="L317" t="str">
        <x:v>Inglaterra</x:v>
      </x:c>
      <x:c r="M317" t="str">
        <x:v>90 minutos</x:v>
      </x:c>
      <x:c r="N317" t="n">
        <x:f>IF(AND(AND(ISNUMBER($F317),ISNUMBER($G317),$H317=$L317),IF($I317="90 minutos",IF($F317&gt;$G317,"A",IF($G317&gt;$F317,"B","E")),"E")=IF($M317="90 minutos",IF($J317&gt;$K317,"A",IF($K317&gt;$J317,"B","E")),"E")),Reglas!$B$2,0)</x:f>
        <x:v>0</x:v>
      </x:c>
      <x:c r="O317" t="n">
        <x:f>IF(AND(ISNUMBER($F317),ISNUMBER($G317),$H317=$L317),Reglas!$B$3,0)</x:f>
        <x:v>0</x:v>
      </x:c>
      <x:c r="P317" t="n">
        <x:f>IF(AND(AND(ISNUMBER($F317),ISNUMBER($G317),$H317=$L317),$I317=$M317),Reglas!$B$4,0)</x:f>
        <x:v>0</x:v>
      </x:c>
      <x:c r="Q317" t="n">
        <x:f>IF(AND(AND(AND(ISNUMBER($F317),ISNUMBER($G317),$H317=$L317),$I317=$M317,NOT(AND($I317="Penales",$F317&lt;&gt;$G317))),$F317=$J317,$G317=$K317),Reglas!$B$5,0)</x:f>
        <x:v>0</x:v>
      </x:c>
      <x:c r="R317" t="n">
        <x:f>IF(AND(AND(AND(ISNUMBER($F317),ISNUMBER($G317),$H317=$L317),$I317=$M317,NOT(AND($I317="Penales",$F317&lt;&gt;$G317))),$F317-$G317=$J317-$K317),Reglas!$B$6,0)</x:f>
        <x:v>0</x:v>
      </x:c>
      <x:c r="S317" t="n">
        <x:f>IF(AND(AND(AND(ISNUMBER($F317),ISNUMBER($G317),$H317=$L317),$I317=$M317,NOT(AND($I317="Penales",$F317&lt;&gt;$G317))),$F317=$J317),Reglas!$B$7,0)</x:f>
        <x:v>0</x:v>
      </x:c>
      <x:c r="T317" t="n">
        <x:f>IF(AND(AND(AND(ISNUMBER($F317),ISNUMBER($G317),$H317=$L317),$I317=$M317,NOT(AND($I317="Penales",$F317&lt;&gt;$G317))),$G317=$K317),Reglas!$B$8,0)</x:f>
        <x:v>0</x:v>
      </x:c>
      <x:c r="U317" t="n">
        <x:f>SUM(N317:T317)</x:f>
        <x:v>0</x:v>
      </x:c>
      <x:c r="V317" t="str">
        <x:f>IF($W317="Sin respuesta","Sin envio",IF($U317&gt;0,"OK","Sin puntos"))</x:f>
        <x:v>Sin envio</x:v>
      </x:c>
      <x:c r="W317" t="str">
        <x:v>Sin respuesta</x:v>
      </x:c>
    </x:row>
    <x:row r="318" ht="15" hidden="0" customHeight="1">
      <x:c r="A318" t="str">
        <x:v>Tercer puesto</x:v>
      </x:c>
      <x:c r="B318" t="str">
        <x:v>TP</x:v>
      </x:c>
      <x:c r="C318" t="str">
        <x:v>Gino</x:v>
      </x:c>
      <x:c r="D318" t="str">
        <x:v>Inglaterra</x:v>
      </x:c>
      <x:c r="E318" t="str">
        <x:v>Francia</x:v>
      </x:c>
      <x:c r="F318" t="n">
        <x:v>1</x:v>
      </x:c>
      <x:c r="G318" t="n">
        <x:v>3</x:v>
      </x:c>
      <x:c r="H318" t="str">
        <x:v>Francia</x:v>
      </x:c>
      <x:c r="I318" t="str">
        <x:v>90 minutos</x:v>
      </x:c>
      <x:c r="J318" t="n">
        <x:v>6</x:v>
      </x:c>
      <x:c r="K318" t="n">
        <x:v>4</x:v>
      </x:c>
      <x:c r="L318" t="str">
        <x:v>Inglaterra</x:v>
      </x:c>
      <x:c r="M318" t="str">
        <x:v>90 minutos</x:v>
      </x:c>
      <x:c r="N318" t="n">
        <x:f>IF(AND(AND(ISNUMBER($F318),ISNUMBER($G318),$H318=$L318),IF($I318="90 minutos",IF($F318&gt;$G318,"A",IF($G318&gt;$F318,"B","E")),"E")=IF($M318="90 minutos",IF($J318&gt;$K318,"A",IF($K318&gt;$J318,"B","E")),"E")),Reglas!$B$2,0)</x:f>
        <x:v>0</x:v>
      </x:c>
      <x:c r="O318" t="n">
        <x:f>IF(AND(ISNUMBER($F318),ISNUMBER($G318),$H318=$L318),Reglas!$B$3,0)</x:f>
        <x:v>0</x:v>
      </x:c>
      <x:c r="P318" t="n">
        <x:f>IF(AND(AND(ISNUMBER($F318),ISNUMBER($G318),$H318=$L318),$I318=$M318),Reglas!$B$4,0)</x:f>
        <x:v>0</x:v>
      </x:c>
      <x:c r="Q318" t="n">
        <x:f>IF(AND(AND(AND(ISNUMBER($F318),ISNUMBER($G318),$H318=$L318),$I318=$M318,NOT(AND($I318="Penales",$F318&lt;&gt;$G318))),$F318=$J318,$G318=$K318),Reglas!$B$5,0)</x:f>
        <x:v>0</x:v>
      </x:c>
      <x:c r="R318" t="n">
        <x:f>IF(AND(AND(AND(ISNUMBER($F318),ISNUMBER($G318),$H318=$L318),$I318=$M318,NOT(AND($I318="Penales",$F318&lt;&gt;$G318))),$F318-$G318=$J318-$K318),Reglas!$B$6,0)</x:f>
        <x:v>0</x:v>
      </x:c>
      <x:c r="S318" t="n">
        <x:f>IF(AND(AND(AND(ISNUMBER($F318),ISNUMBER($G318),$H318=$L318),$I318=$M318,NOT(AND($I318="Penales",$F318&lt;&gt;$G318))),$F318=$J318),Reglas!$B$7,0)</x:f>
        <x:v>0</x:v>
      </x:c>
      <x:c r="T318" t="n">
        <x:f>IF(AND(AND(AND(ISNUMBER($F318),ISNUMBER($G318),$H318=$L318),$I318=$M318,NOT(AND($I318="Penales",$F318&lt;&gt;$G318))),$G318=$K318),Reglas!$B$8,0)</x:f>
        <x:v>0</x:v>
      </x:c>
      <x:c r="U318" t="n">
        <x:f>SUM(N318:T318)</x:f>
        <x:v>0</x:v>
      </x:c>
      <x:c r="V318" t="str">
        <x:f>IF($W318="Sin respuesta","Sin envio",IF($U318&gt;0,"OK","Sin puntos"))</x:f>
        <x:v>Sin puntos</x:v>
      </x:c>
      <x:c r="W318" t="str">
        <x:v>Google Forms</x:v>
      </x:c>
    </x:row>
    <x:row r="319" ht="15" hidden="0" customHeight="1">
      <x:c r="A319" t="str">
        <x:v>Tercer puesto</x:v>
      </x:c>
      <x:c r="B319" t="str">
        <x:v>TP</x:v>
      </x:c>
      <x:c r="C319" t="str">
        <x:v>Manuel</x:v>
      </x:c>
      <x:c r="D319" t="str">
        <x:v>Inglaterra</x:v>
      </x:c>
      <x:c r="E319" t="str">
        <x:v>Francia</x:v>
      </x:c>
      <x:c r="F319"/>
      <x:c r="G319"/>
      <x:c r="H319" t="str">
        <x:v>Sin envio</x:v>
      </x:c>
      <x:c r="I319" t="str">
        <x:v>Sin envio</x:v>
      </x:c>
      <x:c r="J319" t="n">
        <x:v>6</x:v>
      </x:c>
      <x:c r="K319" t="n">
        <x:v>4</x:v>
      </x:c>
      <x:c r="L319" t="str">
        <x:v>Inglaterra</x:v>
      </x:c>
      <x:c r="M319" t="str">
        <x:v>90 minutos</x:v>
      </x:c>
      <x:c r="N319" t="n">
        <x:f>IF(AND(AND(ISNUMBER($F319),ISNUMBER($G319),$H319=$L319),IF($I319="90 minutos",IF($F319&gt;$G319,"A",IF($G319&gt;$F319,"B","E")),"E")=IF($M319="90 minutos",IF($J319&gt;$K319,"A",IF($K319&gt;$J319,"B","E")),"E")),Reglas!$B$2,0)</x:f>
        <x:v>0</x:v>
      </x:c>
      <x:c r="O319" t="n">
        <x:f>IF(AND(ISNUMBER($F319),ISNUMBER($G319),$H319=$L319),Reglas!$B$3,0)</x:f>
        <x:v>0</x:v>
      </x:c>
      <x:c r="P319" t="n">
        <x:f>IF(AND(AND(ISNUMBER($F319),ISNUMBER($G319),$H319=$L319),$I319=$M319),Reglas!$B$4,0)</x:f>
        <x:v>0</x:v>
      </x:c>
      <x:c r="Q319" t="n">
        <x:f>IF(AND(AND(AND(ISNUMBER($F319),ISNUMBER($G319),$H319=$L319),$I319=$M319,NOT(AND($I319="Penales",$F319&lt;&gt;$G319))),$F319=$J319,$G319=$K319),Reglas!$B$5,0)</x:f>
        <x:v>0</x:v>
      </x:c>
      <x:c r="R319" t="n">
        <x:f>IF(AND(AND(AND(ISNUMBER($F319),ISNUMBER($G319),$H319=$L319),$I319=$M319,NOT(AND($I319="Penales",$F319&lt;&gt;$G319))),$F319-$G319=$J319-$K319),Reglas!$B$6,0)</x:f>
        <x:v>0</x:v>
      </x:c>
      <x:c r="S319" t="n">
        <x:f>IF(AND(AND(AND(ISNUMBER($F319),ISNUMBER($G319),$H319=$L319),$I319=$M319,NOT(AND($I319="Penales",$F319&lt;&gt;$G319))),$F319=$J319),Reglas!$B$7,0)</x:f>
        <x:v>0</x:v>
      </x:c>
      <x:c r="T319" t="n">
        <x:f>IF(AND(AND(AND(ISNUMBER($F319),ISNUMBER($G319),$H319=$L319),$I319=$M319,NOT(AND($I319="Penales",$F319&lt;&gt;$G319))),$G319=$K319),Reglas!$B$8,0)</x:f>
        <x:v>0</x:v>
      </x:c>
      <x:c r="U319" t="n">
        <x:f>SUM(N319:T319)</x:f>
        <x:v>0</x:v>
      </x:c>
      <x:c r="V319" t="str">
        <x:f>IF($W319="Sin respuesta","Sin envio",IF($U319&gt;0,"OK","Sin puntos"))</x:f>
        <x:v>Sin envio</x:v>
      </x:c>
      <x:c r="W319" t="str">
        <x:v>Sin respuesta</x:v>
      </x:c>
    </x:row>
    <x:row r="320" ht="15" hidden="0" customHeight="1">
      <x:c r="A320" t="str">
        <x:v>Tercer puesto</x:v>
      </x:c>
      <x:c r="B320" t="str">
        <x:v>TP</x:v>
      </x:c>
      <x:c r="C320" t="str">
        <x:v>Jorge</x:v>
      </x:c>
      <x:c r="D320" t="str">
        <x:v>Inglaterra</x:v>
      </x:c>
      <x:c r="E320" t="str">
        <x:v>Francia</x:v>
      </x:c>
      <x:c r="F320" t="n">
        <x:v>2</x:v>
      </x:c>
      <x:c r="G320" t="n">
        <x:v>4</x:v>
      </x:c>
      <x:c r="H320" t="str">
        <x:v>Francia</x:v>
      </x:c>
      <x:c r="I320" t="str">
        <x:v>90 minutos</x:v>
      </x:c>
      <x:c r="J320" t="n">
        <x:v>6</x:v>
      </x:c>
      <x:c r="K320" t="n">
        <x:v>4</x:v>
      </x:c>
      <x:c r="L320" t="str">
        <x:v>Inglaterra</x:v>
      </x:c>
      <x:c r="M320" t="str">
        <x:v>90 minutos</x:v>
      </x:c>
      <x:c r="N320" t="n">
        <x:f>IF(AND(AND(ISNUMBER($F320),ISNUMBER($G320),$H320=$L320),IF($I320="90 minutos",IF($F320&gt;$G320,"A",IF($G320&gt;$F320,"B","E")),"E")=IF($M320="90 minutos",IF($J320&gt;$K320,"A",IF($K320&gt;$J320,"B","E")),"E")),Reglas!$B$2,0)</x:f>
        <x:v>0</x:v>
      </x:c>
      <x:c r="O320" t="n">
        <x:f>IF(AND(ISNUMBER($F320),ISNUMBER($G320),$H320=$L320),Reglas!$B$3,0)</x:f>
        <x:v>0</x:v>
      </x:c>
      <x:c r="P320" t="n">
        <x:f>IF(AND(AND(ISNUMBER($F320),ISNUMBER($G320),$H320=$L320),$I320=$M320),Reglas!$B$4,0)</x:f>
        <x:v>0</x:v>
      </x:c>
      <x:c r="Q320" t="n">
        <x:f>IF(AND(AND(AND(ISNUMBER($F320),ISNUMBER($G320),$H320=$L320),$I320=$M320,NOT(AND($I320="Penales",$F320&lt;&gt;$G320))),$F320=$J320,$G320=$K320),Reglas!$B$5,0)</x:f>
        <x:v>0</x:v>
      </x:c>
      <x:c r="R320" t="n">
        <x:f>IF(AND(AND(AND(ISNUMBER($F320),ISNUMBER($G320),$H320=$L320),$I320=$M320,NOT(AND($I320="Penales",$F320&lt;&gt;$G320))),$F320-$G320=$J320-$K320),Reglas!$B$6,0)</x:f>
        <x:v>0</x:v>
      </x:c>
      <x:c r="S320" t="n">
        <x:f>IF(AND(AND(AND(ISNUMBER($F320),ISNUMBER($G320),$H320=$L320),$I320=$M320,NOT(AND($I320="Penales",$F320&lt;&gt;$G320))),$F320=$J320),Reglas!$B$7,0)</x:f>
        <x:v>0</x:v>
      </x:c>
      <x:c r="T320" t="n">
        <x:f>IF(AND(AND(AND(ISNUMBER($F320),ISNUMBER($G320),$H320=$L320),$I320=$M320,NOT(AND($I320="Penales",$F320&lt;&gt;$G320))),$G320=$K320),Reglas!$B$8,0)</x:f>
        <x:v>0</x:v>
      </x:c>
      <x:c r="U320" t="n">
        <x:f>SUM(N320:T320)</x:f>
        <x:v>0</x:v>
      </x:c>
      <x:c r="V320" t="str">
        <x:f>IF($W320="Sin respuesta","Sin envio",IF($U320&gt;0,"OK","Sin puntos"))</x:f>
        <x:v>Sin puntos</x:v>
      </x:c>
      <x:c r="W320" t="str">
        <x:v>Google Forms</x:v>
      </x:c>
    </x:row>
    <x:row r="321" ht="15" hidden="0" customHeight="1">
      <x:c r="A321" t="str">
        <x:v>Tercer puesto</x:v>
      </x:c>
      <x:c r="B321" t="str">
        <x:v>TP</x:v>
      </x:c>
      <x:c r="C321" t="str">
        <x:v>Daniel</x:v>
      </x:c>
      <x:c r="D321" t="str">
        <x:v>Inglaterra</x:v>
      </x:c>
      <x:c r="E321" t="str">
        <x:v>Francia</x:v>
      </x:c>
      <x:c r="F321"/>
      <x:c r="G321"/>
      <x:c r="H321" t="str">
        <x:v>Sin envio</x:v>
      </x:c>
      <x:c r="I321" t="str">
        <x:v>Sin envio</x:v>
      </x:c>
      <x:c r="J321" t="n">
        <x:v>6</x:v>
      </x:c>
      <x:c r="K321" t="n">
        <x:v>4</x:v>
      </x:c>
      <x:c r="L321" t="str">
        <x:v>Inglaterra</x:v>
      </x:c>
      <x:c r="M321" t="str">
        <x:v>90 minutos</x:v>
      </x:c>
      <x:c r="N321" t="n">
        <x:f>IF(AND(AND(ISNUMBER($F321),ISNUMBER($G321),$H321=$L321),IF($I321="90 minutos",IF($F321&gt;$G321,"A",IF($G321&gt;$F321,"B","E")),"E")=IF($M321="90 minutos",IF($J321&gt;$K321,"A",IF($K321&gt;$J321,"B","E")),"E")),Reglas!$B$2,0)</x:f>
        <x:v>0</x:v>
      </x:c>
      <x:c r="O321" t="n">
        <x:f>IF(AND(ISNUMBER($F321),ISNUMBER($G321),$H321=$L321),Reglas!$B$3,0)</x:f>
        <x:v>0</x:v>
      </x:c>
      <x:c r="P321" t="n">
        <x:f>IF(AND(AND(ISNUMBER($F321),ISNUMBER($G321),$H321=$L321),$I321=$M321),Reglas!$B$4,0)</x:f>
        <x:v>0</x:v>
      </x:c>
      <x:c r="Q321" t="n">
        <x:f>IF(AND(AND(AND(ISNUMBER($F321),ISNUMBER($G321),$H321=$L321),$I321=$M321,NOT(AND($I321="Penales",$F321&lt;&gt;$G321))),$F321=$J321,$G321=$K321),Reglas!$B$5,0)</x:f>
        <x:v>0</x:v>
      </x:c>
      <x:c r="R321" t="n">
        <x:f>IF(AND(AND(AND(ISNUMBER($F321),ISNUMBER($G321),$H321=$L321),$I321=$M321,NOT(AND($I321="Penales",$F321&lt;&gt;$G321))),$F321-$G321=$J321-$K321),Reglas!$B$6,0)</x:f>
        <x:v>0</x:v>
      </x:c>
      <x:c r="S321" t="n">
        <x:f>IF(AND(AND(AND(ISNUMBER($F321),ISNUMBER($G321),$H321=$L321),$I321=$M321,NOT(AND($I321="Penales",$F321&lt;&gt;$G321))),$F321=$J321),Reglas!$B$7,0)</x:f>
        <x:v>0</x:v>
      </x:c>
      <x:c r="T321" t="n">
        <x:f>IF(AND(AND(AND(ISNUMBER($F321),ISNUMBER($G321),$H321=$L321),$I321=$M321,NOT(AND($I321="Penales",$F321&lt;&gt;$G321))),$G321=$K321),Reglas!$B$8,0)</x:f>
        <x:v>0</x:v>
      </x:c>
      <x:c r="U321" t="n">
        <x:f>SUM(N321:T321)</x:f>
        <x:v>0</x:v>
      </x:c>
      <x:c r="V321" t="str">
        <x:f>IF($W321="Sin respuesta","Sin envio",IF($U321&gt;0,"OK","Sin puntos"))</x:f>
        <x:v>Sin envio</x:v>
      </x:c>
      <x:c r="W321" t="str">
        <x:v>Sin respuesta</x:v>
      </x:c>
    </x:row>
    <x:row r="322" ht="15" hidden="0" customHeight="1">
      <x:c r="A322" t="str">
        <x:v>Tercer puesto</x:v>
      </x:c>
      <x:c r="B322" t="str">
        <x:v>TP</x:v>
      </x:c>
      <x:c r="C322" t="str">
        <x:v>Arthur</x:v>
      </x:c>
      <x:c r="D322" t="str">
        <x:v>Inglaterra</x:v>
      </x:c>
      <x:c r="E322" t="str">
        <x:v>Francia</x:v>
      </x:c>
      <x:c r="F322" t="n">
        <x:v>1</x:v>
      </x:c>
      <x:c r="G322" t="n">
        <x:v>2</x:v>
      </x:c>
      <x:c r="H322" t="str">
        <x:v>Francia</x:v>
      </x:c>
      <x:c r="I322" t="str">
        <x:v>90 minutos</x:v>
      </x:c>
      <x:c r="J322" t="n">
        <x:v>6</x:v>
      </x:c>
      <x:c r="K322" t="n">
        <x:v>4</x:v>
      </x:c>
      <x:c r="L322" t="str">
        <x:v>Inglaterra</x:v>
      </x:c>
      <x:c r="M322" t="str">
        <x:v>90 minutos</x:v>
      </x:c>
      <x:c r="N322" t="n">
        <x:f>IF(AND(AND(ISNUMBER($F322),ISNUMBER($G322),$H322=$L322),IF($I322="90 minutos",IF($F322&gt;$G322,"A",IF($G322&gt;$F322,"B","E")),"E")=IF($M322="90 minutos",IF($J322&gt;$K322,"A",IF($K322&gt;$J322,"B","E")),"E")),Reglas!$B$2,0)</x:f>
        <x:v>0</x:v>
      </x:c>
      <x:c r="O322" t="n">
        <x:f>IF(AND(ISNUMBER($F322),ISNUMBER($G322),$H322=$L322),Reglas!$B$3,0)</x:f>
        <x:v>0</x:v>
      </x:c>
      <x:c r="P322" t="n">
        <x:f>IF(AND(AND(ISNUMBER($F322),ISNUMBER($G322),$H322=$L322),$I322=$M322),Reglas!$B$4,0)</x:f>
        <x:v>0</x:v>
      </x:c>
      <x:c r="Q322" t="n">
        <x:f>IF(AND(AND(AND(ISNUMBER($F322),ISNUMBER($G322),$H322=$L322),$I322=$M322,NOT(AND($I322="Penales",$F322&lt;&gt;$G322))),$F322=$J322,$G322=$K322),Reglas!$B$5,0)</x:f>
        <x:v>0</x:v>
      </x:c>
      <x:c r="R322" t="n">
        <x:f>IF(AND(AND(AND(ISNUMBER($F322),ISNUMBER($G322),$H322=$L322),$I322=$M322,NOT(AND($I322="Penales",$F322&lt;&gt;$G322))),$F322-$G322=$J322-$K322),Reglas!$B$6,0)</x:f>
        <x:v>0</x:v>
      </x:c>
      <x:c r="S322" t="n">
        <x:f>IF(AND(AND(AND(ISNUMBER($F322),ISNUMBER($G322),$H322=$L322),$I322=$M322,NOT(AND($I322="Penales",$F322&lt;&gt;$G322))),$F322=$J322),Reglas!$B$7,0)</x:f>
        <x:v>0</x:v>
      </x:c>
      <x:c r="T322" t="n">
        <x:f>IF(AND(AND(AND(ISNUMBER($F322),ISNUMBER($G322),$H322=$L322),$I322=$M322,NOT(AND($I322="Penales",$F322&lt;&gt;$G322))),$G322=$K322),Reglas!$B$8,0)</x:f>
        <x:v>0</x:v>
      </x:c>
      <x:c r="U322" t="n">
        <x:f>SUM(N322:T322)</x:f>
        <x:v>0</x:v>
      </x:c>
      <x:c r="V322" t="str">
        <x:f>IF($W322="Sin respuesta","Sin envio",IF($U322&gt;0,"OK","Sin puntos"))</x:f>
        <x:v>Sin puntos</x:v>
      </x:c>
      <x:c r="W322" t="str">
        <x:v>Google Forms</x:v>
      </x:c>
    </x:row>
    <x:row r="323" ht="15" hidden="0" customHeight="1">
      <x:c r="A323" t="str">
        <x:v>Tercer puesto</x:v>
      </x:c>
      <x:c r="B323" t="str">
        <x:v>TP</x:v>
      </x:c>
      <x:c r="C323" t="str">
        <x:v>José Luis</x:v>
      </x:c>
      <x:c r="D323" t="str">
        <x:v>Inglaterra</x:v>
      </x:c>
      <x:c r="E323" t="str">
        <x:v>Francia</x:v>
      </x:c>
      <x:c r="F323"/>
      <x:c r="G323"/>
      <x:c r="H323" t="str">
        <x:v>Sin envio</x:v>
      </x:c>
      <x:c r="I323" t="str">
        <x:v>Sin envio</x:v>
      </x:c>
      <x:c r="J323" t="n">
        <x:v>6</x:v>
      </x:c>
      <x:c r="K323" t="n">
        <x:v>4</x:v>
      </x:c>
      <x:c r="L323" t="str">
        <x:v>Inglaterra</x:v>
      </x:c>
      <x:c r="M323" t="str">
        <x:v>90 minutos</x:v>
      </x:c>
      <x:c r="N323" t="n">
        <x:f>IF(AND(AND(ISNUMBER($F323),ISNUMBER($G323),$H323=$L323),IF($I323="90 minutos",IF($F323&gt;$G323,"A",IF($G323&gt;$F323,"B","E")),"E")=IF($M323="90 minutos",IF($J323&gt;$K323,"A",IF($K323&gt;$J323,"B","E")),"E")),Reglas!$B$2,0)</x:f>
        <x:v>0</x:v>
      </x:c>
      <x:c r="O323" t="n">
        <x:f>IF(AND(ISNUMBER($F323),ISNUMBER($G323),$H323=$L323),Reglas!$B$3,0)</x:f>
        <x:v>0</x:v>
      </x:c>
      <x:c r="P323" t="n">
        <x:f>IF(AND(AND(ISNUMBER($F323),ISNUMBER($G323),$H323=$L323),$I323=$M323),Reglas!$B$4,0)</x:f>
        <x:v>0</x:v>
      </x:c>
      <x:c r="Q323" t="n">
        <x:f>IF(AND(AND(AND(ISNUMBER($F323),ISNUMBER($G323),$H323=$L323),$I323=$M323,NOT(AND($I323="Penales",$F323&lt;&gt;$G323))),$F323=$J323,$G323=$K323),Reglas!$B$5,0)</x:f>
        <x:v>0</x:v>
      </x:c>
      <x:c r="R323" t="n">
        <x:f>IF(AND(AND(AND(ISNUMBER($F323),ISNUMBER($G323),$H323=$L323),$I323=$M323,NOT(AND($I323="Penales",$F323&lt;&gt;$G323))),$F323-$G323=$J323-$K323),Reglas!$B$6,0)</x:f>
        <x:v>0</x:v>
      </x:c>
      <x:c r="S323" t="n">
        <x:f>IF(AND(AND(AND(ISNUMBER($F323),ISNUMBER($G323),$H323=$L323),$I323=$M323,NOT(AND($I323="Penales",$F323&lt;&gt;$G323))),$F323=$J323),Reglas!$B$7,0)</x:f>
        <x:v>0</x:v>
      </x:c>
      <x:c r="T323" t="n">
        <x:f>IF(AND(AND(AND(ISNUMBER($F323),ISNUMBER($G323),$H323=$L323),$I323=$M323,NOT(AND($I323="Penales",$F323&lt;&gt;$G323))),$G323=$K323),Reglas!$B$8,0)</x:f>
        <x:v>0</x:v>
      </x:c>
      <x:c r="U323" t="n">
        <x:f>SUM(N323:T323)</x:f>
        <x:v>0</x:v>
      </x:c>
      <x:c r="V323" t="str">
        <x:f>IF($W323="Sin respuesta","Sin envio",IF($U323&gt;0,"OK","Sin puntos"))</x:f>
        <x:v>Sin envio</x:v>
      </x:c>
      <x:c r="W323" t="str">
        <x:v>Sin respuesta</x:v>
      </x:c>
    </x:row>
    <x:row r="324" ht="15" hidden="0" customHeight="1">
      <x:c r="A324" t="str">
        <x:v>Tercer puesto</x:v>
      </x:c>
      <x:c r="B324" t="str">
        <x:v>TP</x:v>
      </x:c>
      <x:c r="C324" t="str">
        <x:v>Marcelo</x:v>
      </x:c>
      <x:c r="D324" t="str">
        <x:v>Inglaterra</x:v>
      </x:c>
      <x:c r="E324" t="str">
        <x:v>Francia</x:v>
      </x:c>
      <x:c r="F324"/>
      <x:c r="G324"/>
      <x:c r="H324" t="str">
        <x:v>Sin envio</x:v>
      </x:c>
      <x:c r="I324" t="str">
        <x:v>Sin envio</x:v>
      </x:c>
      <x:c r="J324" t="n">
        <x:v>6</x:v>
      </x:c>
      <x:c r="K324" t="n">
        <x:v>4</x:v>
      </x:c>
      <x:c r="L324" t="str">
        <x:v>Inglaterra</x:v>
      </x:c>
      <x:c r="M324" t="str">
        <x:v>90 minutos</x:v>
      </x:c>
      <x:c r="N324" t="n">
        <x:f>IF(AND(AND(ISNUMBER($F324),ISNUMBER($G324),$H324=$L324),IF($I324="90 minutos",IF($F324&gt;$G324,"A",IF($G324&gt;$F324,"B","E")),"E")=IF($M324="90 minutos",IF($J324&gt;$K324,"A",IF($K324&gt;$J324,"B","E")),"E")),Reglas!$B$2,0)</x:f>
        <x:v>0</x:v>
      </x:c>
      <x:c r="O324" t="n">
        <x:f>IF(AND(ISNUMBER($F324),ISNUMBER($G324),$H324=$L324),Reglas!$B$3,0)</x:f>
        <x:v>0</x:v>
      </x:c>
      <x:c r="P324" t="n">
        <x:f>IF(AND(AND(ISNUMBER($F324),ISNUMBER($G324),$H324=$L324),$I324=$M324),Reglas!$B$4,0)</x:f>
        <x:v>0</x:v>
      </x:c>
      <x:c r="Q324" t="n">
        <x:f>IF(AND(AND(AND(ISNUMBER($F324),ISNUMBER($G324),$H324=$L324),$I324=$M324,NOT(AND($I324="Penales",$F324&lt;&gt;$G324))),$F324=$J324,$G324=$K324),Reglas!$B$5,0)</x:f>
        <x:v>0</x:v>
      </x:c>
      <x:c r="R324" t="n">
        <x:f>IF(AND(AND(AND(ISNUMBER($F324),ISNUMBER($G324),$H324=$L324),$I324=$M324,NOT(AND($I324="Penales",$F324&lt;&gt;$G324))),$F324-$G324=$J324-$K324),Reglas!$B$6,0)</x:f>
        <x:v>0</x:v>
      </x:c>
      <x:c r="S324" t="n">
        <x:f>IF(AND(AND(AND(ISNUMBER($F324),ISNUMBER($G324),$H324=$L324),$I324=$M324,NOT(AND($I324="Penales",$F324&lt;&gt;$G324))),$F324=$J324),Reglas!$B$7,0)</x:f>
        <x:v>0</x:v>
      </x:c>
      <x:c r="T324" t="n">
        <x:f>IF(AND(AND(AND(ISNUMBER($F324),ISNUMBER($G324),$H324=$L324),$I324=$M324,NOT(AND($I324="Penales",$F324&lt;&gt;$G324))),$G324=$K324),Reglas!$B$8,0)</x:f>
        <x:v>0</x:v>
      </x:c>
      <x:c r="U324" t="n">
        <x:f>SUM(N324:T324)</x:f>
        <x:v>0</x:v>
      </x:c>
      <x:c r="V324" t="str">
        <x:f>IF($W324="Sin respuesta","Sin envio",IF($U324&gt;0,"OK","Sin puntos"))</x:f>
        <x:v>Sin envio</x:v>
      </x:c>
      <x:c r="W324" t="str">
        <x:v>Sin respuesta</x:v>
      </x:c>
    </x:row>
    <x:row r="325" ht="15" hidden="0" customHeight="1">
      <x:c r="A325" t="str">
        <x:v>Tercer puesto</x:v>
      </x:c>
      <x:c r="B325" t="str">
        <x:v>TP</x:v>
      </x:c>
      <x:c r="C325" t="str">
        <x:v>Anny</x:v>
      </x:c>
      <x:c r="D325" t="str">
        <x:v>Inglaterra</x:v>
      </x:c>
      <x:c r="E325" t="str">
        <x:v>Francia</x:v>
      </x:c>
      <x:c r="F325" t="n">
        <x:v>2</x:v>
      </x:c>
      <x:c r="G325" t="n">
        <x:v>1</x:v>
      </x:c>
      <x:c r="H325" t="str">
        <x:v>Inglaterra</x:v>
      </x:c>
      <x:c r="I325" t="str">
        <x:v>90 minutos</x:v>
      </x:c>
      <x:c r="J325" t="n">
        <x:v>6</x:v>
      </x:c>
      <x:c r="K325" t="n">
        <x:v>4</x:v>
      </x:c>
      <x:c r="L325" t="str">
        <x:v>Inglaterra</x:v>
      </x:c>
      <x:c r="M325" t="str">
        <x:v>90 minutos</x:v>
      </x:c>
      <x:c r="N325" t="n">
        <x:f>IF(AND(AND(ISNUMBER($F325),ISNUMBER($G325),$H325=$L325),IF($I325="90 minutos",IF($F325&gt;$G325,"A",IF($G325&gt;$F325,"B","E")),"E")=IF($M325="90 minutos",IF($J325&gt;$K325,"A",IF($K325&gt;$J325,"B","E")),"E")),Reglas!$B$2,0)</x:f>
        <x:v>5</x:v>
      </x:c>
      <x:c r="O325" t="n">
        <x:f>IF(AND(ISNUMBER($F325),ISNUMBER($G325),$H325=$L325),Reglas!$B$3,0)</x:f>
        <x:v>3</x:v>
      </x:c>
      <x:c r="P325" t="n">
        <x:f>IF(AND(AND(ISNUMBER($F325),ISNUMBER($G325),$H325=$L325),$I325=$M325),Reglas!$B$4,0)</x:f>
        <x:v>2</x:v>
      </x:c>
      <x:c r="Q325" t="n">
        <x:f>IF(AND(AND(AND(ISNUMBER($F325),ISNUMBER($G325),$H325=$L325),$I325=$M325,NOT(AND($I325="Penales",$F325&lt;&gt;$G325))),$F325=$J325,$G325=$K325),Reglas!$B$5,0)</x:f>
        <x:v>0</x:v>
      </x:c>
      <x:c r="R325" t="n">
        <x:f>IF(AND(AND(AND(ISNUMBER($F325),ISNUMBER($G325),$H325=$L325),$I325=$M325,NOT(AND($I325="Penales",$F325&lt;&gt;$G325))),$F325-$G325=$J325-$K325),Reglas!$B$6,0)</x:f>
        <x:v>0</x:v>
      </x:c>
      <x:c r="S325" t="n">
        <x:f>IF(AND(AND(AND(ISNUMBER($F325),ISNUMBER($G325),$H325=$L325),$I325=$M325,NOT(AND($I325="Penales",$F325&lt;&gt;$G325))),$F325=$J325),Reglas!$B$7,0)</x:f>
        <x:v>0</x:v>
      </x:c>
      <x:c r="T325" t="n">
        <x:f>IF(AND(AND(AND(ISNUMBER($F325),ISNUMBER($G325),$H325=$L325),$I325=$M325,NOT(AND($I325="Penales",$F325&lt;&gt;$G325))),$G325=$K325),Reglas!$B$8,0)</x:f>
        <x:v>0</x:v>
      </x:c>
      <x:c r="U325" t="n">
        <x:f>SUM(N325:T325)</x:f>
        <x:v>10</x:v>
      </x:c>
      <x:c r="V325" t="str">
        <x:f>IF($W325="Sin respuesta","Sin envio",IF($U325&gt;0,"OK","Sin puntos"))</x:f>
        <x:v>OK</x:v>
      </x:c>
      <x:c r="W325" t="str">
        <x:v>Google Forms</x:v>
      </x:c>
    </x:row>
    <x:row r="326" ht="15" hidden="0" customHeight="1">
      <x:c r="A326" t="str">
        <x:v>Tercer puesto</x:v>
      </x:c>
      <x:c r="B326" t="str">
        <x:v>TP</x:v>
      </x:c>
      <x:c r="C326" t="str">
        <x:v>Moisés</x:v>
      </x:c>
      <x:c r="D326" t="str">
        <x:v>Inglaterra</x:v>
      </x:c>
      <x:c r="E326" t="str">
        <x:v>Francia</x:v>
      </x:c>
      <x:c r="F326"/>
      <x:c r="G326"/>
      <x:c r="H326" t="str">
        <x:v>Sin envio</x:v>
      </x:c>
      <x:c r="I326" t="str">
        <x:v>Sin envio</x:v>
      </x:c>
      <x:c r="J326" t="n">
        <x:v>6</x:v>
      </x:c>
      <x:c r="K326" t="n">
        <x:v>4</x:v>
      </x:c>
      <x:c r="L326" t="str">
        <x:v>Inglaterra</x:v>
      </x:c>
      <x:c r="M326" t="str">
        <x:v>90 minutos</x:v>
      </x:c>
      <x:c r="N326" t="n">
        <x:f>IF(AND(AND(ISNUMBER($F326),ISNUMBER($G326),$H326=$L326),IF($I326="90 minutos",IF($F326&gt;$G326,"A",IF($G326&gt;$F326,"B","E")),"E")=IF($M326="90 minutos",IF($J326&gt;$K326,"A",IF($K326&gt;$J326,"B","E")),"E")),Reglas!$B$2,0)</x:f>
        <x:v>0</x:v>
      </x:c>
      <x:c r="O326" t="n">
        <x:f>IF(AND(ISNUMBER($F326),ISNUMBER($G326),$H326=$L326),Reglas!$B$3,0)</x:f>
        <x:v>0</x:v>
      </x:c>
      <x:c r="P326" t="n">
        <x:f>IF(AND(AND(ISNUMBER($F326),ISNUMBER($G326),$H326=$L326),$I326=$M326),Reglas!$B$4,0)</x:f>
        <x:v>0</x:v>
      </x:c>
      <x:c r="Q326" t="n">
        <x:f>IF(AND(AND(AND(ISNUMBER($F326),ISNUMBER($G326),$H326=$L326),$I326=$M326,NOT(AND($I326="Penales",$F326&lt;&gt;$G326))),$F326=$J326,$G326=$K326),Reglas!$B$5,0)</x:f>
        <x:v>0</x:v>
      </x:c>
      <x:c r="R326" t="n">
        <x:f>IF(AND(AND(AND(ISNUMBER($F326),ISNUMBER($G326),$H326=$L326),$I326=$M326,NOT(AND($I326="Penales",$F326&lt;&gt;$G326))),$F326-$G326=$J326-$K326),Reglas!$B$6,0)</x:f>
        <x:v>0</x:v>
      </x:c>
      <x:c r="S326" t="n">
        <x:f>IF(AND(AND(AND(ISNUMBER($F326),ISNUMBER($G326),$H326=$L326),$I326=$M326,NOT(AND($I326="Penales",$F326&lt;&gt;$G326))),$F326=$J326),Reglas!$B$7,0)</x:f>
        <x:v>0</x:v>
      </x:c>
      <x:c r="T326" t="n">
        <x:f>IF(AND(AND(AND(ISNUMBER($F326),ISNUMBER($G326),$H326=$L326),$I326=$M326,NOT(AND($I326="Penales",$F326&lt;&gt;$G326))),$G326=$K326),Reglas!$B$8,0)</x:f>
        <x:v>0</x:v>
      </x:c>
      <x:c r="U326" t="n">
        <x:f>SUM(N326:T326)</x:f>
        <x:v>0</x:v>
      </x:c>
      <x:c r="V326" t="str">
        <x:f>IF($W326="Sin respuesta","Sin envio",IF($U326&gt;0,"OK","Sin puntos"))</x:f>
        <x:v>Sin envio</x:v>
      </x:c>
      <x:c r="W326" t="str">
        <x:v>Sin respuesta</x:v>
      </x:c>
    </x:row>
    <x:row r="327" ht="15" hidden="0" customHeight="1">
      <x:c r="A327" t="str">
        <x:v>Tercer puesto</x:v>
      </x:c>
      <x:c r="B327" t="str">
        <x:v>TP</x:v>
      </x:c>
      <x:c r="C327" t="str">
        <x:v>Alex</x:v>
      </x:c>
      <x:c r="D327" t="str">
        <x:v>Inglaterra</x:v>
      </x:c>
      <x:c r="E327" t="str">
        <x:v>Francia</x:v>
      </x:c>
      <x:c r="F327" t="n">
        <x:v>3</x:v>
      </x:c>
      <x:c r="G327" t="n">
        <x:v>1</x:v>
      </x:c>
      <x:c r="H327" t="str">
        <x:v>Inglaterra</x:v>
      </x:c>
      <x:c r="I327" t="str">
        <x:v>90 minutos</x:v>
      </x:c>
      <x:c r="J327" t="n">
        <x:v>6</x:v>
      </x:c>
      <x:c r="K327" t="n">
        <x:v>4</x:v>
      </x:c>
      <x:c r="L327" t="str">
        <x:v>Inglaterra</x:v>
      </x:c>
      <x:c r="M327" t="str">
        <x:v>90 minutos</x:v>
      </x:c>
      <x:c r="N327" t="n">
        <x:f>IF(AND(AND(ISNUMBER($F327),ISNUMBER($G327),$H327=$L327),IF($I327="90 minutos",IF($F327&gt;$G327,"A",IF($G327&gt;$F327,"B","E")),"E")=IF($M327="90 minutos",IF($J327&gt;$K327,"A",IF($K327&gt;$J327,"B","E")),"E")),Reglas!$B$2,0)</x:f>
        <x:v>5</x:v>
      </x:c>
      <x:c r="O327" t="n">
        <x:f>IF(AND(ISNUMBER($F327),ISNUMBER($G327),$H327=$L327),Reglas!$B$3,0)</x:f>
        <x:v>3</x:v>
      </x:c>
      <x:c r="P327" t="n">
        <x:f>IF(AND(AND(ISNUMBER($F327),ISNUMBER($G327),$H327=$L327),$I327=$M327),Reglas!$B$4,0)</x:f>
        <x:v>2</x:v>
      </x:c>
      <x:c r="Q327" t="n">
        <x:f>IF(AND(AND(AND(ISNUMBER($F327),ISNUMBER($G327),$H327=$L327),$I327=$M327,NOT(AND($I327="Penales",$F327&lt;&gt;$G327))),$F327=$J327,$G327=$K327),Reglas!$B$5,0)</x:f>
        <x:v>0</x:v>
      </x:c>
      <x:c r="R327" t="n">
        <x:f>IF(AND(AND(AND(ISNUMBER($F327),ISNUMBER($G327),$H327=$L327),$I327=$M327,NOT(AND($I327="Penales",$F327&lt;&gt;$G327))),$F327-$G327=$J327-$K327),Reglas!$B$6,0)</x:f>
        <x:v>2</x:v>
      </x:c>
      <x:c r="S327" t="n">
        <x:f>IF(AND(AND(AND(ISNUMBER($F327),ISNUMBER($G327),$H327=$L327),$I327=$M327,NOT(AND($I327="Penales",$F327&lt;&gt;$G327))),$F327=$J327),Reglas!$B$7,0)</x:f>
        <x:v>0</x:v>
      </x:c>
      <x:c r="T327" t="n">
        <x:f>IF(AND(AND(AND(ISNUMBER($F327),ISNUMBER($G327),$H327=$L327),$I327=$M327,NOT(AND($I327="Penales",$F327&lt;&gt;$G327))),$G327=$K327),Reglas!$B$8,0)</x:f>
        <x:v>0</x:v>
      </x:c>
      <x:c r="U327" t="n">
        <x:f>SUM(N327:T327)</x:f>
        <x:v>12</x:v>
      </x:c>
      <x:c r="V327" t="str">
        <x:f>IF($W327="Sin respuesta","Sin envio",IF($U327&gt;0,"OK","Sin puntos"))</x:f>
        <x:v>OK</x:v>
      </x:c>
      <x:c r="W327" t="str">
        <x:v>Google Forms</x:v>
      </x:c>
    </x:row>
    <x:row r="328" ht="15" hidden="0" customHeight="1">
      <x:c r="A328" t="str">
        <x:v>Tercer puesto</x:v>
      </x:c>
      <x:c r="B328" t="str">
        <x:v>TP</x:v>
      </x:c>
      <x:c r="C328" t="str">
        <x:v>Omar</x:v>
      </x:c>
      <x:c r="D328" t="str">
        <x:v>Inglaterra</x:v>
      </x:c>
      <x:c r="E328" t="str">
        <x:v>Francia</x:v>
      </x:c>
      <x:c r="F328"/>
      <x:c r="G328"/>
      <x:c r="H328" t="str">
        <x:v>Sin envio</x:v>
      </x:c>
      <x:c r="I328" t="str">
        <x:v>Sin envio</x:v>
      </x:c>
      <x:c r="J328" t="n">
        <x:v>6</x:v>
      </x:c>
      <x:c r="K328" t="n">
        <x:v>4</x:v>
      </x:c>
      <x:c r="L328" t="str">
        <x:v>Inglaterra</x:v>
      </x:c>
      <x:c r="M328" t="str">
        <x:v>90 minutos</x:v>
      </x:c>
      <x:c r="N328" t="n">
        <x:f>IF(AND(AND(ISNUMBER($F328),ISNUMBER($G328),$H328=$L328),IF($I328="90 minutos",IF($F328&gt;$G328,"A",IF($G328&gt;$F328,"B","E")),"E")=IF($M328="90 minutos",IF($J328&gt;$K328,"A",IF($K328&gt;$J328,"B","E")),"E")),Reglas!$B$2,0)</x:f>
        <x:v>0</x:v>
      </x:c>
      <x:c r="O328" t="n">
        <x:f>IF(AND(ISNUMBER($F328),ISNUMBER($G328),$H328=$L328),Reglas!$B$3,0)</x:f>
        <x:v>0</x:v>
      </x:c>
      <x:c r="P328" t="n">
        <x:f>IF(AND(AND(ISNUMBER($F328),ISNUMBER($G328),$H328=$L328),$I328=$M328),Reglas!$B$4,0)</x:f>
        <x:v>0</x:v>
      </x:c>
      <x:c r="Q328" t="n">
        <x:f>IF(AND(AND(AND(ISNUMBER($F328),ISNUMBER($G328),$H328=$L328),$I328=$M328,NOT(AND($I328="Penales",$F328&lt;&gt;$G328))),$F328=$J328,$G328=$K328),Reglas!$B$5,0)</x:f>
        <x:v>0</x:v>
      </x:c>
      <x:c r="R328" t="n">
        <x:f>IF(AND(AND(AND(ISNUMBER($F328),ISNUMBER($G328),$H328=$L328),$I328=$M328,NOT(AND($I328="Penales",$F328&lt;&gt;$G328))),$F328-$G328=$J328-$K328),Reglas!$B$6,0)</x:f>
        <x:v>0</x:v>
      </x:c>
      <x:c r="S328" t="n">
        <x:f>IF(AND(AND(AND(ISNUMBER($F328),ISNUMBER($G328),$H328=$L328),$I328=$M328,NOT(AND($I328="Penales",$F328&lt;&gt;$G328))),$F328=$J328),Reglas!$B$7,0)</x:f>
        <x:v>0</x:v>
      </x:c>
      <x:c r="T328" t="n">
        <x:f>IF(AND(AND(AND(ISNUMBER($F328),ISNUMBER($G328),$H328=$L328),$I328=$M328,NOT(AND($I328="Penales",$F328&lt;&gt;$G328))),$G328=$K328),Reglas!$B$8,0)</x:f>
        <x:v>0</x:v>
      </x:c>
      <x:c r="U328" t="n">
        <x:f>SUM(N328:T328)</x:f>
        <x:v>0</x:v>
      </x:c>
      <x:c r="V328" t="str">
        <x:f>IF($W328="Sin respuesta","Sin envio",IF($U328&gt;0,"OK","Sin puntos"))</x:f>
        <x:v>Sin envio</x:v>
      </x:c>
      <x:c r="W328" t="str">
        <x:v>Sin respuesta</x:v>
      </x:c>
    </x:row>
    <x:row r="329" ht="15" hidden="0" customHeight="1">
      <x:c r="A329" t="str">
        <x:v>Tercer puesto</x:v>
      </x:c>
      <x:c r="B329" t="str">
        <x:v>TP</x:v>
      </x:c>
      <x:c r="C329" t="str">
        <x:v>Fernando</x:v>
      </x:c>
      <x:c r="D329" t="str">
        <x:v>Inglaterra</x:v>
      </x:c>
      <x:c r="E329" t="str">
        <x:v>Francia</x:v>
      </x:c>
      <x:c r="F329" t="n">
        <x:v>1</x:v>
      </x:c>
      <x:c r="G329" t="n">
        <x:v>3</x:v>
      </x:c>
      <x:c r="H329" t="str">
        <x:v>Inglaterra</x:v>
      </x:c>
      <x:c r="I329" t="str">
        <x:v>90 minutos</x:v>
      </x:c>
      <x:c r="J329" t="n">
        <x:v>6</x:v>
      </x:c>
      <x:c r="K329" t="n">
        <x:v>4</x:v>
      </x:c>
      <x:c r="L329" t="str">
        <x:v>Inglaterra</x:v>
      </x:c>
      <x:c r="M329" t="str">
        <x:v>90 minutos</x:v>
      </x:c>
      <x:c r="N329" t="n">
        <x:f>IF(AND(AND(ISNUMBER($F329),ISNUMBER($G329),$H329=$L329),IF($I329="90 minutos",IF($F329&gt;$G329,"A",IF($G329&gt;$F329,"B","E")),"E")=IF($M329="90 minutos",IF($J329&gt;$K329,"A",IF($K329&gt;$J329,"B","E")),"E")),Reglas!$B$2,0)</x:f>
        <x:v>0</x:v>
      </x:c>
      <x:c r="O329" t="n">
        <x:f>IF(AND(ISNUMBER($F329),ISNUMBER($G329),$H329=$L329),Reglas!$B$3,0)</x:f>
        <x:v>3</x:v>
      </x:c>
      <x:c r="P329" t="n">
        <x:f>IF(AND(AND(ISNUMBER($F329),ISNUMBER($G329),$H329=$L329),$I329=$M329),Reglas!$B$4,0)</x:f>
        <x:v>2</x:v>
      </x:c>
      <x:c r="Q329" t="n">
        <x:f>IF(AND(AND(AND(ISNUMBER($F329),ISNUMBER($G329),$H329=$L329),$I329=$M329,NOT(AND($I329="Penales",$F329&lt;&gt;$G329))),$F329=$J329,$G329=$K329),Reglas!$B$5,0)</x:f>
        <x:v>0</x:v>
      </x:c>
      <x:c r="R329" t="n">
        <x:f>IF(AND(AND(AND(ISNUMBER($F329),ISNUMBER($G329),$H329=$L329),$I329=$M329,NOT(AND($I329="Penales",$F329&lt;&gt;$G329))),$F329-$G329=$J329-$K329),Reglas!$B$6,0)</x:f>
        <x:v>0</x:v>
      </x:c>
      <x:c r="S329" t="n">
        <x:f>IF(AND(AND(AND(ISNUMBER($F329),ISNUMBER($G329),$H329=$L329),$I329=$M329,NOT(AND($I329="Penales",$F329&lt;&gt;$G329))),$F329=$J329),Reglas!$B$7,0)</x:f>
        <x:v>0</x:v>
      </x:c>
      <x:c r="T329" t="n">
        <x:f>IF(AND(AND(AND(ISNUMBER($F329),ISNUMBER($G329),$H329=$L329),$I329=$M329,NOT(AND($I329="Penales",$F329&lt;&gt;$G329))),$G329=$K329),Reglas!$B$8,0)</x:f>
        <x:v>0</x:v>
      </x:c>
      <x:c r="U329" t="n">
        <x:f>SUM(N329:T329)</x:f>
        <x:v>5</x:v>
      </x:c>
      <x:c r="V329" t="str">
        <x:f>IF($W329="Sin respuesta","Sin envio",IF($U329&gt;0,"OK","Sin puntos"))</x:f>
        <x:v>OK</x:v>
      </x:c>
      <x:c r="W329" t="str">
        <x:v>Google Forms</x:v>
      </x:c>
    </x:row>
    <x:row r="330" ht="15" hidden="0" customHeight="1">
      <x:c r="A330" t="str">
        <x:v>Tercer puesto</x:v>
      </x:c>
      <x:c r="B330" t="str">
        <x:v>TP</x:v>
      </x:c>
      <x:c r="C330" t="str">
        <x:v>Diana</x:v>
      </x:c>
      <x:c r="D330" t="str">
        <x:v>Inglaterra</x:v>
      </x:c>
      <x:c r="E330" t="str">
        <x:v>Francia</x:v>
      </x:c>
      <x:c r="F330"/>
      <x:c r="G330"/>
      <x:c r="H330" t="str">
        <x:v>Sin envio</x:v>
      </x:c>
      <x:c r="I330" t="str">
        <x:v>Sin envio</x:v>
      </x:c>
      <x:c r="J330" t="n">
        <x:v>6</x:v>
      </x:c>
      <x:c r="K330" t="n">
        <x:v>4</x:v>
      </x:c>
      <x:c r="L330" t="str">
        <x:v>Inglaterra</x:v>
      </x:c>
      <x:c r="M330" t="str">
        <x:v>90 minutos</x:v>
      </x:c>
      <x:c r="N330" t="n">
        <x:f>IF(AND(AND(ISNUMBER($F330),ISNUMBER($G330),$H330=$L330),IF($I330="90 minutos",IF($F330&gt;$G330,"A",IF($G330&gt;$F330,"B","E")),"E")=IF($M330="90 minutos",IF($J330&gt;$K330,"A",IF($K330&gt;$J330,"B","E")),"E")),Reglas!$B$2,0)</x:f>
        <x:v>0</x:v>
      </x:c>
      <x:c r="O330" t="n">
        <x:f>IF(AND(ISNUMBER($F330),ISNUMBER($G330),$H330=$L330),Reglas!$B$3,0)</x:f>
        <x:v>0</x:v>
      </x:c>
      <x:c r="P330" t="n">
        <x:f>IF(AND(AND(ISNUMBER($F330),ISNUMBER($G330),$H330=$L330),$I330=$M330),Reglas!$B$4,0)</x:f>
        <x:v>0</x:v>
      </x:c>
      <x:c r="Q330" t="n">
        <x:f>IF(AND(AND(AND(ISNUMBER($F330),ISNUMBER($G330),$H330=$L330),$I330=$M330,NOT(AND($I330="Penales",$F330&lt;&gt;$G330))),$F330=$J330,$G330=$K330),Reglas!$B$5,0)</x:f>
        <x:v>0</x:v>
      </x:c>
      <x:c r="R330" t="n">
        <x:f>IF(AND(AND(AND(ISNUMBER($F330),ISNUMBER($G330),$H330=$L330),$I330=$M330,NOT(AND($I330="Penales",$F330&lt;&gt;$G330))),$F330-$G330=$J330-$K330),Reglas!$B$6,0)</x:f>
        <x:v>0</x:v>
      </x:c>
      <x:c r="S330" t="n">
        <x:f>IF(AND(AND(AND(ISNUMBER($F330),ISNUMBER($G330),$H330=$L330),$I330=$M330,NOT(AND($I330="Penales",$F330&lt;&gt;$G330))),$F330=$J330),Reglas!$B$7,0)</x:f>
        <x:v>0</x:v>
      </x:c>
      <x:c r="T330" t="n">
        <x:f>IF(AND(AND(AND(ISNUMBER($F330),ISNUMBER($G330),$H330=$L330),$I330=$M330,NOT(AND($I330="Penales",$F330&lt;&gt;$G330))),$G330=$K330),Reglas!$B$8,0)</x:f>
        <x:v>0</x:v>
      </x:c>
      <x:c r="U330" t="n">
        <x:f>SUM(N330:T330)</x:f>
        <x:v>0</x:v>
      </x:c>
      <x:c r="V330" t="str">
        <x:f>IF($W330="Sin respuesta","Sin envio",IF($U330&gt;0,"OK","Sin puntos"))</x:f>
        <x:v>Sin envio</x:v>
      </x:c>
      <x:c r="W330" t="str">
        <x:v>Sin respuesta</x:v>
      </x:c>
    </x:row>
    <x:row r="331" ht="15" hidden="0" customHeight="1">
      <x:c r="A331" t="str">
        <x:v>Tercer puesto</x:v>
      </x:c>
      <x:c r="B331" t="str">
        <x:v>TP</x:v>
      </x:c>
      <x:c r="C331" t="str">
        <x:v>Óscar</x:v>
      </x:c>
      <x:c r="D331" t="str">
        <x:v>Inglaterra</x:v>
      </x:c>
      <x:c r="E331" t="str">
        <x:v>Francia</x:v>
      </x:c>
      <x:c r="F331" t="n">
        <x:v>1</x:v>
      </x:c>
      <x:c r="G331" t="n">
        <x:v>2</x:v>
      </x:c>
      <x:c r="H331" t="str">
        <x:v>Francia</x:v>
      </x:c>
      <x:c r="I331" t="str">
        <x:v>90 minutos</x:v>
      </x:c>
      <x:c r="J331" t="n">
        <x:v>6</x:v>
      </x:c>
      <x:c r="K331" t="n">
        <x:v>4</x:v>
      </x:c>
      <x:c r="L331" t="str">
        <x:v>Inglaterra</x:v>
      </x:c>
      <x:c r="M331" t="str">
        <x:v>90 minutos</x:v>
      </x:c>
      <x:c r="N331" t="n">
        <x:f>IF(AND(AND(ISNUMBER($F331),ISNUMBER($G331),$H331=$L331),IF($I331="90 minutos",IF($F331&gt;$G331,"A",IF($G331&gt;$F331,"B","E")),"E")=IF($M331="90 minutos",IF($J331&gt;$K331,"A",IF($K331&gt;$J331,"B","E")),"E")),Reglas!$B$2,0)</x:f>
        <x:v>0</x:v>
      </x:c>
      <x:c r="O331" t="n">
        <x:f>IF(AND(ISNUMBER($F331),ISNUMBER($G331),$H331=$L331),Reglas!$B$3,0)</x:f>
        <x:v>0</x:v>
      </x:c>
      <x:c r="P331" t="n">
        <x:f>IF(AND(AND(ISNUMBER($F331),ISNUMBER($G331),$H331=$L331),$I331=$M331),Reglas!$B$4,0)</x:f>
        <x:v>0</x:v>
      </x:c>
      <x:c r="Q331" t="n">
        <x:f>IF(AND(AND(AND(ISNUMBER($F331),ISNUMBER($G331),$H331=$L331),$I331=$M331,NOT(AND($I331="Penales",$F331&lt;&gt;$G331))),$F331=$J331,$G331=$K331),Reglas!$B$5,0)</x:f>
        <x:v>0</x:v>
      </x:c>
      <x:c r="R331" t="n">
        <x:f>IF(AND(AND(AND(ISNUMBER($F331),ISNUMBER($G331),$H331=$L331),$I331=$M331,NOT(AND($I331="Penales",$F331&lt;&gt;$G331))),$F331-$G331=$J331-$K331),Reglas!$B$6,0)</x:f>
        <x:v>0</x:v>
      </x:c>
      <x:c r="S331" t="n">
        <x:f>IF(AND(AND(AND(ISNUMBER($F331),ISNUMBER($G331),$H331=$L331),$I331=$M331,NOT(AND($I331="Penales",$F331&lt;&gt;$G331))),$F331=$J331),Reglas!$B$7,0)</x:f>
        <x:v>0</x:v>
      </x:c>
      <x:c r="T331" t="n">
        <x:f>IF(AND(AND(AND(ISNUMBER($F331),ISNUMBER($G331),$H331=$L331),$I331=$M331,NOT(AND($I331="Penales",$F331&lt;&gt;$G331))),$G331=$K331),Reglas!$B$8,0)</x:f>
        <x:v>0</x:v>
      </x:c>
      <x:c r="U331" t="n">
        <x:f>SUM(N331:T331)</x:f>
        <x:v>0</x:v>
      </x:c>
      <x:c r="V331" t="str">
        <x:f>IF($W331="Sin respuesta","Sin envio",IF($U331&gt;0,"OK","Sin puntos"))</x:f>
        <x:v>Sin puntos</x:v>
      </x:c>
      <x:c r="W331" t="str">
        <x:v>Google Forms</x:v>
      </x:c>
    </x:row>
    <x:row r="332" ht="15" hidden="0" customHeight="1">
      <x:c r="A332" t="str">
        <x:v>Final</x:v>
      </x:c>
      <x:c r="B332" t="str">
        <x:v>F</x:v>
      </x:c>
      <x:c r="C332" t="str">
        <x:v>Freddy</x:v>
      </x:c>
      <x:c r="D332" t="str">
        <x:v>España</x:v>
      </x:c>
      <x:c r="E332" t="str">
        <x:v>Argentina</x:v>
      </x:c>
      <x:c r="F332" t="n">
        <x:v>2</x:v>
      </x:c>
      <x:c r="G332" t="n">
        <x:v>3</x:v>
      </x:c>
      <x:c r="H332" t="str">
        <x:v>Argentina</x:v>
      </x:c>
      <x:c r="I332" t="str">
        <x:v>90 minutos</x:v>
      </x:c>
      <x:c r="J332" t="n">
        <x:v>1</x:v>
      </x:c>
      <x:c r="K332" t="n">
        <x:v>0</x:v>
      </x:c>
      <x:c r="L332" t="str">
        <x:v>España</x:v>
      </x:c>
      <x:c r="M332" t="str">
        <x:v>Suplementario</x:v>
      </x:c>
      <x:c r="N332" t="n">
        <x:f>IF(AND(AND(ISNUMBER($F332),ISNUMBER($G332),$H332=$L332),IF($I332="90 minutos",IF($F332&gt;$G332,"A",IF($G332&gt;$F332,"B","E")),"E")=IF($M332="90 minutos",IF($J332&gt;$K332,"A",IF($K332&gt;$J332,"B","E")),"E")),Reglas!$B$2,0)</x:f>
        <x:v>0</x:v>
      </x:c>
      <x:c r="O332" t="n">
        <x:f>IF(AND(ISNUMBER($F332),ISNUMBER($G332),$H332=$L332),Reglas!$B$3,0)</x:f>
        <x:v>0</x:v>
      </x:c>
      <x:c r="P332" t="n">
        <x:f>IF(AND(AND(ISNUMBER($F332),ISNUMBER($G332),$H332=$L332),$I332=$M332),Reglas!$B$4,0)</x:f>
        <x:v>0</x:v>
      </x:c>
      <x:c r="Q332" t="n">
        <x:f>IF(AND(AND(AND(ISNUMBER($F332),ISNUMBER($G332),$H332=$L332),$I332=$M332,NOT(AND($I332="Penales",$F332&lt;&gt;$G332))),$F332=$J332,$G332=$K332),Reglas!$B$5,0)</x:f>
        <x:v>0</x:v>
      </x:c>
      <x:c r="R332" t="n">
        <x:f>IF(AND(AND(AND(ISNUMBER($F332),ISNUMBER($G332),$H332=$L332),$I332=$M332,NOT(AND($I332="Penales",$F332&lt;&gt;$G332))),$F332-$G332=$J332-$K332),Reglas!$B$6,0)</x:f>
        <x:v>0</x:v>
      </x:c>
      <x:c r="S332" t="n">
        <x:f>IF(AND(AND(AND(ISNUMBER($F332),ISNUMBER($G332),$H332=$L332),$I332=$M332,NOT(AND($I332="Penales",$F332&lt;&gt;$G332))),$F332=$J332),Reglas!$B$7,0)</x:f>
        <x:v>0</x:v>
      </x:c>
      <x:c r="T332" t="n">
        <x:f>IF(AND(AND(AND(ISNUMBER($F332),ISNUMBER($G332),$H332=$L332),$I332=$M332,NOT(AND($I332="Penales",$F332&lt;&gt;$G332))),$G332=$K332),Reglas!$B$8,0)</x:f>
        <x:v>0</x:v>
      </x:c>
      <x:c r="U332" t="n">
        <x:f>SUM(N332:T332)</x:f>
        <x:v>0</x:v>
      </x:c>
      <x:c r="V332" t="str">
        <x:f>IF($W332="Sin respuesta","Sin envio",IF($U332&gt;0,"OK","Sin puntos"))</x:f>
        <x:v>Sin puntos</x:v>
      </x:c>
      <x:c r="W332" t="str">
        <x:v>Google Forms</x:v>
      </x:c>
    </x:row>
    <x:row r="333" ht="15" hidden="0" customHeight="1">
      <x:c r="A333" t="str">
        <x:v>Final</x:v>
      </x:c>
      <x:c r="B333" t="str">
        <x:v>F</x:v>
      </x:c>
      <x:c r="C333" t="str">
        <x:v>Gabriela</x:v>
      </x:c>
      <x:c r="D333" t="str">
        <x:v>España</x:v>
      </x:c>
      <x:c r="E333" t="str">
        <x:v>Argentina</x:v>
      </x:c>
      <x:c r="F333" t="n">
        <x:v>3</x:v>
      </x:c>
      <x:c r="G333" t="n">
        <x:v>1</x:v>
      </x:c>
      <x:c r="H333" t="str">
        <x:v>España</x:v>
      </x:c>
      <x:c r="I333" t="str">
        <x:v>Suplementario</x:v>
      </x:c>
      <x:c r="J333" t="n">
        <x:v>1</x:v>
      </x:c>
      <x:c r="K333" t="n">
        <x:v>0</x:v>
      </x:c>
      <x:c r="L333" t="str">
        <x:v>España</x:v>
      </x:c>
      <x:c r="M333" t="str">
        <x:v>Suplementario</x:v>
      </x:c>
      <x:c r="N333" t="n">
        <x:f>IF(AND(AND(ISNUMBER($F333),ISNUMBER($G333),$H333=$L333),IF($I333="90 minutos",IF($F333&gt;$G333,"A",IF($G333&gt;$F333,"B","E")),"E")=IF($M333="90 minutos",IF($J333&gt;$K333,"A",IF($K333&gt;$J333,"B","E")),"E")),Reglas!$B$2,0)</x:f>
        <x:v>5</x:v>
      </x:c>
      <x:c r="O333" t="n">
        <x:f>IF(AND(ISNUMBER($F333),ISNUMBER($G333),$H333=$L333),Reglas!$B$3,0)</x:f>
        <x:v>3</x:v>
      </x:c>
      <x:c r="P333" t="n">
        <x:f>IF(AND(AND(ISNUMBER($F333),ISNUMBER($G333),$H333=$L333),$I333=$M333),Reglas!$B$4,0)</x:f>
        <x:v>2</x:v>
      </x:c>
      <x:c r="Q333" t="n">
        <x:f>IF(AND(AND(AND(ISNUMBER($F333),ISNUMBER($G333),$H333=$L333),$I333=$M333,NOT(AND($I333="Penales",$F333&lt;&gt;$G333))),$F333=$J333,$G333=$K333),Reglas!$B$5,0)</x:f>
        <x:v>0</x:v>
      </x:c>
      <x:c r="R333" t="n">
        <x:f>IF(AND(AND(AND(ISNUMBER($F333),ISNUMBER($G333),$H333=$L333),$I333=$M333,NOT(AND($I333="Penales",$F333&lt;&gt;$G333))),$F333-$G333=$J333-$K333),Reglas!$B$6,0)</x:f>
        <x:v>0</x:v>
      </x:c>
      <x:c r="S333" t="n">
        <x:f>IF(AND(AND(AND(ISNUMBER($F333),ISNUMBER($G333),$H333=$L333),$I333=$M333,NOT(AND($I333="Penales",$F333&lt;&gt;$G333))),$F333=$J333),Reglas!$B$7,0)</x:f>
        <x:v>0</x:v>
      </x:c>
      <x:c r="T333" t="n">
        <x:f>IF(AND(AND(AND(ISNUMBER($F333),ISNUMBER($G333),$H333=$L333),$I333=$M333,NOT(AND($I333="Penales",$F333&lt;&gt;$G333))),$G333=$K333),Reglas!$B$8,0)</x:f>
        <x:v>0</x:v>
      </x:c>
      <x:c r="U333" t="n">
        <x:f>SUM(N333:T333)</x:f>
        <x:v>10</x:v>
      </x:c>
      <x:c r="V333" t="str">
        <x:f>IF($W333="Sin respuesta","Sin envio",IF($U333&gt;0,"OK","Sin puntos"))</x:f>
        <x:v>OK</x:v>
      </x:c>
      <x:c r="W333" t="str">
        <x:v>Google Forms</x:v>
      </x:c>
    </x:row>
    <x:row r="334" ht="15" hidden="0" customHeight="1">
      <x:c r="A334" t="str">
        <x:v>Final</x:v>
      </x:c>
      <x:c r="B334" t="str">
        <x:v>F</x:v>
      </x:c>
      <x:c r="C334" t="str">
        <x:v>Jean</x:v>
      </x:c>
      <x:c r="D334" t="str">
        <x:v>España</x:v>
      </x:c>
      <x:c r="E334" t="str">
        <x:v>Argentina</x:v>
      </x:c>
      <x:c r="F334" t="n">
        <x:v>1</x:v>
      </x:c>
      <x:c r="G334" t="n">
        <x:v>2</x:v>
      </x:c>
      <x:c r="H334" t="str">
        <x:v>Argentina</x:v>
      </x:c>
      <x:c r="I334" t="str">
        <x:v>90 minutos</x:v>
      </x:c>
      <x:c r="J334" t="n">
        <x:v>1</x:v>
      </x:c>
      <x:c r="K334" t="n">
        <x:v>0</x:v>
      </x:c>
      <x:c r="L334" t="str">
        <x:v>España</x:v>
      </x:c>
      <x:c r="M334" t="str">
        <x:v>Suplementario</x:v>
      </x:c>
      <x:c r="N334" t="n">
        <x:f>IF(AND(AND(ISNUMBER($F334),ISNUMBER($G334),$H334=$L334),IF($I334="90 minutos",IF($F334&gt;$G334,"A",IF($G334&gt;$F334,"B","E")),"E")=IF($M334="90 minutos",IF($J334&gt;$K334,"A",IF($K334&gt;$J334,"B","E")),"E")),Reglas!$B$2,0)</x:f>
        <x:v>0</x:v>
      </x:c>
      <x:c r="O334" t="n">
        <x:f>IF(AND(ISNUMBER($F334),ISNUMBER($G334),$H334=$L334),Reglas!$B$3,0)</x:f>
        <x:v>0</x:v>
      </x:c>
      <x:c r="P334" t="n">
        <x:f>IF(AND(AND(ISNUMBER($F334),ISNUMBER($G334),$H334=$L334),$I334=$M334),Reglas!$B$4,0)</x:f>
        <x:v>0</x:v>
      </x:c>
      <x:c r="Q334" t="n">
        <x:f>IF(AND(AND(AND(ISNUMBER($F334),ISNUMBER($G334),$H334=$L334),$I334=$M334,NOT(AND($I334="Penales",$F334&lt;&gt;$G334))),$F334=$J334,$G334=$K334),Reglas!$B$5,0)</x:f>
        <x:v>0</x:v>
      </x:c>
      <x:c r="R334" t="n">
        <x:f>IF(AND(AND(AND(ISNUMBER($F334),ISNUMBER($G334),$H334=$L334),$I334=$M334,NOT(AND($I334="Penales",$F334&lt;&gt;$G334))),$F334-$G334=$J334-$K334),Reglas!$B$6,0)</x:f>
        <x:v>0</x:v>
      </x:c>
      <x:c r="S334" t="n">
        <x:f>IF(AND(AND(AND(ISNUMBER($F334),ISNUMBER($G334),$H334=$L334),$I334=$M334,NOT(AND($I334="Penales",$F334&lt;&gt;$G334))),$F334=$J334),Reglas!$B$7,0)</x:f>
        <x:v>0</x:v>
      </x:c>
      <x:c r="T334" t="n">
        <x:f>IF(AND(AND(AND(ISNUMBER($F334),ISNUMBER($G334),$H334=$L334),$I334=$M334,NOT(AND($I334="Penales",$F334&lt;&gt;$G334))),$G334=$K334),Reglas!$B$8,0)</x:f>
        <x:v>0</x:v>
      </x:c>
      <x:c r="U334" t="n">
        <x:f>SUM(N334:T334)</x:f>
        <x:v>0</x:v>
      </x:c>
      <x:c r="V334" t="str">
        <x:f>IF($W334="Sin respuesta","Sin envio",IF($U334&gt;0,"OK","Sin puntos"))</x:f>
        <x:v>Sin puntos</x:v>
      </x:c>
      <x:c r="W334" t="str">
        <x:v>Google Forms</x:v>
      </x:c>
    </x:row>
    <x:row r="335" ht="15" hidden="0" customHeight="1">
      <x:c r="A335" t="str">
        <x:v>Final</x:v>
      </x:c>
      <x:c r="B335" t="str">
        <x:v>F</x:v>
      </x:c>
      <x:c r="C335" t="str">
        <x:v>Juan</x:v>
      </x:c>
      <x:c r="D335" t="str">
        <x:v>España</x:v>
      </x:c>
      <x:c r="E335" t="str">
        <x:v>Argentina</x:v>
      </x:c>
      <x:c r="F335" t="n">
        <x:v>1</x:v>
      </x:c>
      <x:c r="G335" t="n">
        <x:v>2</x:v>
      </x:c>
      <x:c r="H335" t="str">
        <x:v>Argentina</x:v>
      </x:c>
      <x:c r="I335" t="str">
        <x:v>90 minutos</x:v>
      </x:c>
      <x:c r="J335" t="n">
        <x:v>1</x:v>
      </x:c>
      <x:c r="K335" t="n">
        <x:v>0</x:v>
      </x:c>
      <x:c r="L335" t="str">
        <x:v>España</x:v>
      </x:c>
      <x:c r="M335" t="str">
        <x:v>Suplementario</x:v>
      </x:c>
      <x:c r="N335" t="n">
        <x:f>IF(AND(AND(ISNUMBER($F335),ISNUMBER($G335),$H335=$L335),IF($I335="90 minutos",IF($F335&gt;$G335,"A",IF($G335&gt;$F335,"B","E")),"E")=IF($M335="90 minutos",IF($J335&gt;$K335,"A",IF($K335&gt;$J335,"B","E")),"E")),Reglas!$B$2,0)</x:f>
        <x:v>0</x:v>
      </x:c>
      <x:c r="O335" t="n">
        <x:f>IF(AND(ISNUMBER($F335),ISNUMBER($G335),$H335=$L335),Reglas!$B$3,0)</x:f>
        <x:v>0</x:v>
      </x:c>
      <x:c r="P335" t="n">
        <x:f>IF(AND(AND(ISNUMBER($F335),ISNUMBER($G335),$H335=$L335),$I335=$M335),Reglas!$B$4,0)</x:f>
        <x:v>0</x:v>
      </x:c>
      <x:c r="Q335" t="n">
        <x:f>IF(AND(AND(AND(ISNUMBER($F335),ISNUMBER($G335),$H335=$L335),$I335=$M335,NOT(AND($I335="Penales",$F335&lt;&gt;$G335))),$F335=$J335,$G335=$K335),Reglas!$B$5,0)</x:f>
        <x:v>0</x:v>
      </x:c>
      <x:c r="R335" t="n">
        <x:f>IF(AND(AND(AND(ISNUMBER($F335),ISNUMBER($G335),$H335=$L335),$I335=$M335,NOT(AND($I335="Penales",$F335&lt;&gt;$G335))),$F335-$G335=$J335-$K335),Reglas!$B$6,0)</x:f>
        <x:v>0</x:v>
      </x:c>
      <x:c r="S335" t="n">
        <x:f>IF(AND(AND(AND(ISNUMBER($F335),ISNUMBER($G335),$H335=$L335),$I335=$M335,NOT(AND($I335="Penales",$F335&lt;&gt;$G335))),$F335=$J335),Reglas!$B$7,0)</x:f>
        <x:v>0</x:v>
      </x:c>
      <x:c r="T335" t="n">
        <x:f>IF(AND(AND(AND(ISNUMBER($F335),ISNUMBER($G335),$H335=$L335),$I335=$M335,NOT(AND($I335="Penales",$F335&lt;&gt;$G335))),$G335=$K335),Reglas!$B$8,0)</x:f>
        <x:v>0</x:v>
      </x:c>
      <x:c r="U335" t="n">
        <x:f>SUM(N335:T335)</x:f>
        <x:v>0</x:v>
      </x:c>
      <x:c r="V335" t="str">
        <x:f>IF($W335="Sin respuesta","Sin envio",IF($U335&gt;0,"OK","Sin puntos"))</x:f>
        <x:v>Sin puntos</x:v>
      </x:c>
      <x:c r="W335" t="str">
        <x:v>Google Forms</x:v>
      </x:c>
    </x:row>
    <x:row r="336" ht="15" hidden="0" customHeight="1">
      <x:c r="A336" t="str">
        <x:v>Final</x:v>
      </x:c>
      <x:c r="B336" t="str">
        <x:v>F</x:v>
      </x:c>
      <x:c r="C336" t="str">
        <x:v>Jesús</x:v>
      </x:c>
      <x:c r="D336" t="str">
        <x:v>España</x:v>
      </x:c>
      <x:c r="E336" t="str">
        <x:v>Argentina</x:v>
      </x:c>
      <x:c r="F336" t="n">
        <x:v>2</x:v>
      </x:c>
      <x:c r="G336" t="n">
        <x:v>1</x:v>
      </x:c>
      <x:c r="H336" t="str">
        <x:v>España</x:v>
      </x:c>
      <x:c r="I336" t="str">
        <x:v>90 minutos</x:v>
      </x:c>
      <x:c r="J336" t="n">
        <x:v>1</x:v>
      </x:c>
      <x:c r="K336" t="n">
        <x:v>0</x:v>
      </x:c>
      <x:c r="L336" t="str">
        <x:v>España</x:v>
      </x:c>
      <x:c r="M336" t="str">
        <x:v>Suplementario</x:v>
      </x:c>
      <x:c r="N336" t="n">
        <x:f>IF(AND(AND(ISNUMBER($F336),ISNUMBER($G336),$H336=$L336),IF($I336="90 minutos",IF($F336&gt;$G336,"A",IF($G336&gt;$F336,"B","E")),"E")=IF($M336="90 minutos",IF($J336&gt;$K336,"A",IF($K336&gt;$J336,"B","E")),"E")),Reglas!$B$2,0)</x:f>
        <x:v>0</x:v>
      </x:c>
      <x:c r="O336" t="n">
        <x:f>IF(AND(ISNUMBER($F336),ISNUMBER($G336),$H336=$L336),Reglas!$B$3,0)</x:f>
        <x:v>3</x:v>
      </x:c>
      <x:c r="P336" t="n">
        <x:f>IF(AND(AND(ISNUMBER($F336),ISNUMBER($G336),$H336=$L336),$I336=$M336),Reglas!$B$4,0)</x:f>
        <x:v>0</x:v>
      </x:c>
      <x:c r="Q336" t="n">
        <x:f>IF(AND(AND(AND(ISNUMBER($F336),ISNUMBER($G336),$H336=$L336),$I336=$M336,NOT(AND($I336="Penales",$F336&lt;&gt;$G336))),$F336=$J336,$G336=$K336),Reglas!$B$5,0)</x:f>
        <x:v>0</x:v>
      </x:c>
      <x:c r="R336" t="n">
        <x:f>IF(AND(AND(AND(ISNUMBER($F336),ISNUMBER($G336),$H336=$L336),$I336=$M336,NOT(AND($I336="Penales",$F336&lt;&gt;$G336))),$F336-$G336=$J336-$K336),Reglas!$B$6,0)</x:f>
        <x:v>0</x:v>
      </x:c>
      <x:c r="S336" t="n">
        <x:f>IF(AND(AND(AND(ISNUMBER($F336),ISNUMBER($G336),$H336=$L336),$I336=$M336,NOT(AND($I336="Penales",$F336&lt;&gt;$G336))),$F336=$J336),Reglas!$B$7,0)</x:f>
        <x:v>0</x:v>
      </x:c>
      <x:c r="T336" t="n">
        <x:f>IF(AND(AND(AND(ISNUMBER($F336),ISNUMBER($G336),$H336=$L336),$I336=$M336,NOT(AND($I336="Penales",$F336&lt;&gt;$G336))),$G336=$K336),Reglas!$B$8,0)</x:f>
        <x:v>0</x:v>
      </x:c>
      <x:c r="U336" t="n">
        <x:f>SUM(N336:T336)</x:f>
        <x:v>3</x:v>
      </x:c>
      <x:c r="V336" t="str">
        <x:f>IF($W336="Sin respuesta","Sin envio",IF($U336&gt;0,"OK","Sin puntos"))</x:f>
        <x:v>OK</x:v>
      </x:c>
      <x:c r="W336" t="str">
        <x:v>Google Forms</x:v>
      </x:c>
    </x:row>
    <x:row r="337" ht="15" hidden="0" customHeight="1">
      <x:c r="A337" t="str">
        <x:v>Final</x:v>
      </x:c>
      <x:c r="B337" t="str">
        <x:v>F</x:v>
      </x:c>
      <x:c r="C337" t="str">
        <x:v>Diego</x:v>
      </x:c>
      <x:c r="D337" t="str">
        <x:v>España</x:v>
      </x:c>
      <x:c r="E337" t="str">
        <x:v>Argentina</x:v>
      </x:c>
      <x:c r="F337" t="n">
        <x:v>1</x:v>
      </x:c>
      <x:c r="G337" t="n">
        <x:v>2</x:v>
      </x:c>
      <x:c r="H337" t="str">
        <x:v>Argentina</x:v>
      </x:c>
      <x:c r="I337" t="str">
        <x:v>90 minutos</x:v>
      </x:c>
      <x:c r="J337" t="n">
        <x:v>1</x:v>
      </x:c>
      <x:c r="K337" t="n">
        <x:v>0</x:v>
      </x:c>
      <x:c r="L337" t="str">
        <x:v>España</x:v>
      </x:c>
      <x:c r="M337" t="str">
        <x:v>Suplementario</x:v>
      </x:c>
      <x:c r="N337" t="n">
        <x:f>IF(AND(AND(ISNUMBER($F337),ISNUMBER($G337),$H337=$L337),IF($I337="90 minutos",IF($F337&gt;$G337,"A",IF($G337&gt;$F337,"B","E")),"E")=IF($M337="90 minutos",IF($J337&gt;$K337,"A",IF($K337&gt;$J337,"B","E")),"E")),Reglas!$B$2,0)</x:f>
        <x:v>0</x:v>
      </x:c>
      <x:c r="O337" t="n">
        <x:f>IF(AND(ISNUMBER($F337),ISNUMBER($G337),$H337=$L337),Reglas!$B$3,0)</x:f>
        <x:v>0</x:v>
      </x:c>
      <x:c r="P337" t="n">
        <x:f>IF(AND(AND(ISNUMBER($F337),ISNUMBER($G337),$H337=$L337),$I337=$M337),Reglas!$B$4,0)</x:f>
        <x:v>0</x:v>
      </x:c>
      <x:c r="Q337" t="n">
        <x:f>IF(AND(AND(AND(ISNUMBER($F337),ISNUMBER($G337),$H337=$L337),$I337=$M337,NOT(AND($I337="Penales",$F337&lt;&gt;$G337))),$F337=$J337,$G337=$K337),Reglas!$B$5,0)</x:f>
        <x:v>0</x:v>
      </x:c>
      <x:c r="R337" t="n">
        <x:f>IF(AND(AND(AND(ISNUMBER($F337),ISNUMBER($G337),$H337=$L337),$I337=$M337,NOT(AND($I337="Penales",$F337&lt;&gt;$G337))),$F337-$G337=$J337-$K337),Reglas!$B$6,0)</x:f>
        <x:v>0</x:v>
      </x:c>
      <x:c r="S337" t="n">
        <x:f>IF(AND(AND(AND(ISNUMBER($F337),ISNUMBER($G337),$H337=$L337),$I337=$M337,NOT(AND($I337="Penales",$F337&lt;&gt;$G337))),$F337=$J337),Reglas!$B$7,0)</x:f>
        <x:v>0</x:v>
      </x:c>
      <x:c r="T337" t="n">
        <x:f>IF(AND(AND(AND(ISNUMBER($F337),ISNUMBER($G337),$H337=$L337),$I337=$M337,NOT(AND($I337="Penales",$F337&lt;&gt;$G337))),$G337=$K337),Reglas!$B$8,0)</x:f>
        <x:v>0</x:v>
      </x:c>
      <x:c r="U337" t="n">
        <x:f>SUM(N337:T337)</x:f>
        <x:v>0</x:v>
      </x:c>
      <x:c r="V337" t="str">
        <x:f>IF($W337="Sin respuesta","Sin envio",IF($U337&gt;0,"OK","Sin puntos"))</x:f>
        <x:v>Sin puntos</x:v>
      </x:c>
      <x:c r="W337" t="str">
        <x:v>Google Forms</x:v>
      </x:c>
    </x:row>
    <x:row r="338" ht="15" hidden="0" customHeight="1">
      <x:c r="A338" t="str">
        <x:v>Final</x:v>
      </x:c>
      <x:c r="B338" t="str">
        <x:v>F</x:v>
      </x:c>
      <x:c r="C338" t="str">
        <x:v>Aldo</x:v>
      </x:c>
      <x:c r="D338" t="str">
        <x:v>España</x:v>
      </x:c>
      <x:c r="E338" t="str">
        <x:v>Argentina</x:v>
      </x:c>
      <x:c r="F338" t="n">
        <x:v>2</x:v>
      </x:c>
      <x:c r="G338" t="n">
        <x:v>1</x:v>
      </x:c>
      <x:c r="H338" t="str">
        <x:v>España</x:v>
      </x:c>
      <x:c r="I338" t="str">
        <x:v>Suplementario</x:v>
      </x:c>
      <x:c r="J338" t="n">
        <x:v>1</x:v>
      </x:c>
      <x:c r="K338" t="n">
        <x:v>0</x:v>
      </x:c>
      <x:c r="L338" t="str">
        <x:v>España</x:v>
      </x:c>
      <x:c r="M338" t="str">
        <x:v>Suplementario</x:v>
      </x:c>
      <x:c r="N338" t="n">
        <x:f>IF(AND(AND(ISNUMBER($F338),ISNUMBER($G338),$H338=$L338),IF($I338="90 minutos",IF($F338&gt;$G338,"A",IF($G338&gt;$F338,"B","E")),"E")=IF($M338="90 minutos",IF($J338&gt;$K338,"A",IF($K338&gt;$J338,"B","E")),"E")),Reglas!$B$2,0)</x:f>
        <x:v>5</x:v>
      </x:c>
      <x:c r="O338" t="n">
        <x:f>IF(AND(ISNUMBER($F338),ISNUMBER($G338),$H338=$L338),Reglas!$B$3,0)</x:f>
        <x:v>3</x:v>
      </x:c>
      <x:c r="P338" t="n">
        <x:f>IF(AND(AND(ISNUMBER($F338),ISNUMBER($G338),$H338=$L338),$I338=$M338),Reglas!$B$4,0)</x:f>
        <x:v>2</x:v>
      </x:c>
      <x:c r="Q338" t="n">
        <x:f>IF(AND(AND(AND(ISNUMBER($F338),ISNUMBER($G338),$H338=$L338),$I338=$M338,NOT(AND($I338="Penales",$F338&lt;&gt;$G338))),$F338=$J338,$G338=$K338),Reglas!$B$5,0)</x:f>
        <x:v>0</x:v>
      </x:c>
      <x:c r="R338" t="n">
        <x:f>IF(AND(AND(AND(ISNUMBER($F338),ISNUMBER($G338),$H338=$L338),$I338=$M338,NOT(AND($I338="Penales",$F338&lt;&gt;$G338))),$F338-$G338=$J338-$K338),Reglas!$B$6,0)</x:f>
        <x:v>2</x:v>
      </x:c>
      <x:c r="S338" t="n">
        <x:f>IF(AND(AND(AND(ISNUMBER($F338),ISNUMBER($G338),$H338=$L338),$I338=$M338,NOT(AND($I338="Penales",$F338&lt;&gt;$G338))),$F338=$J338),Reglas!$B$7,0)</x:f>
        <x:v>0</x:v>
      </x:c>
      <x:c r="T338" t="n">
        <x:f>IF(AND(AND(AND(ISNUMBER($F338),ISNUMBER($G338),$H338=$L338),$I338=$M338,NOT(AND($I338="Penales",$F338&lt;&gt;$G338))),$G338=$K338),Reglas!$B$8,0)</x:f>
        <x:v>0</x:v>
      </x:c>
      <x:c r="U338" t="n">
        <x:f>SUM(N338:T338)</x:f>
        <x:v>12</x:v>
      </x:c>
      <x:c r="V338" t="str">
        <x:f>IF($W338="Sin respuesta","Sin envio",IF($U338&gt;0,"OK","Sin puntos"))</x:f>
        <x:v>OK</x:v>
      </x:c>
      <x:c r="W338" t="str">
        <x:v>Google Forms</x:v>
      </x:c>
    </x:row>
    <x:row r="339" ht="15" hidden="0" customHeight="1">
      <x:c r="A339" t="str">
        <x:v>Final</x:v>
      </x:c>
      <x:c r="B339" t="str">
        <x:v>F</x:v>
      </x:c>
      <x:c r="C339" t="str">
        <x:v>Javier</x:v>
      </x:c>
      <x:c r="D339" t="str">
        <x:v>España</x:v>
      </x:c>
      <x:c r="E339" t="str">
        <x:v>Argentina</x:v>
      </x:c>
      <x:c r="F339"/>
      <x:c r="G339"/>
      <x:c r="H339" t="str">
        <x:v>Sin envio</x:v>
      </x:c>
      <x:c r="I339" t="str">
        <x:v>Sin envio</x:v>
      </x:c>
      <x:c r="J339" t="n">
        <x:v>1</x:v>
      </x:c>
      <x:c r="K339" t="n">
        <x:v>0</x:v>
      </x:c>
      <x:c r="L339" t="str">
        <x:v>España</x:v>
      </x:c>
      <x:c r="M339" t="str">
        <x:v>Suplementario</x:v>
      </x:c>
      <x:c r="N339" t="n">
        <x:f>IF(AND(AND(ISNUMBER($F339),ISNUMBER($G339),$H339=$L339),IF($I339="90 minutos",IF($F339&gt;$G339,"A",IF($G339&gt;$F339,"B","E")),"E")=IF($M339="90 minutos",IF($J339&gt;$K339,"A",IF($K339&gt;$J339,"B","E")),"E")),Reglas!$B$2,0)</x:f>
        <x:v>0</x:v>
      </x:c>
      <x:c r="O339" t="n">
        <x:f>IF(AND(ISNUMBER($F339),ISNUMBER($G339),$H339=$L339),Reglas!$B$3,0)</x:f>
        <x:v>0</x:v>
      </x:c>
      <x:c r="P339" t="n">
        <x:f>IF(AND(AND(ISNUMBER($F339),ISNUMBER($G339),$H339=$L339),$I339=$M339),Reglas!$B$4,0)</x:f>
        <x:v>0</x:v>
      </x:c>
      <x:c r="Q339" t="n">
        <x:f>IF(AND(AND(AND(ISNUMBER($F339),ISNUMBER($G339),$H339=$L339),$I339=$M339,NOT(AND($I339="Penales",$F339&lt;&gt;$G339))),$F339=$J339,$G339=$K339),Reglas!$B$5,0)</x:f>
        <x:v>0</x:v>
      </x:c>
      <x:c r="R339" t="n">
        <x:f>IF(AND(AND(AND(ISNUMBER($F339),ISNUMBER($G339),$H339=$L339),$I339=$M339,NOT(AND($I339="Penales",$F339&lt;&gt;$G339))),$F339-$G339=$J339-$K339),Reglas!$B$6,0)</x:f>
        <x:v>0</x:v>
      </x:c>
      <x:c r="S339" t="n">
        <x:f>IF(AND(AND(AND(ISNUMBER($F339),ISNUMBER($G339),$H339=$L339),$I339=$M339,NOT(AND($I339="Penales",$F339&lt;&gt;$G339))),$F339=$J339),Reglas!$B$7,0)</x:f>
        <x:v>0</x:v>
      </x:c>
      <x:c r="T339" t="n">
        <x:f>IF(AND(AND(AND(ISNUMBER($F339),ISNUMBER($G339),$H339=$L339),$I339=$M339,NOT(AND($I339="Penales",$F339&lt;&gt;$G339))),$G339=$K339),Reglas!$B$8,0)</x:f>
        <x:v>0</x:v>
      </x:c>
      <x:c r="U339" t="n">
        <x:f>SUM(N339:T339)</x:f>
        <x:v>0</x:v>
      </x:c>
      <x:c r="V339" t="str">
        <x:f>IF($W339="Sin respuesta","Sin envio",IF($U339&gt;0,"OK","Sin puntos"))</x:f>
        <x:v>Sin envio</x:v>
      </x:c>
      <x:c r="W339" t="str">
        <x:v>Sin respuesta</x:v>
      </x:c>
    </x:row>
    <x:row r="340" ht="15" hidden="0" customHeight="1">
      <x:c r="A340" t="str">
        <x:v>Final</x:v>
      </x:c>
      <x:c r="B340" t="str">
        <x:v>F</x:v>
      </x:c>
      <x:c r="C340" t="str">
        <x:v>Gino</x:v>
      </x:c>
      <x:c r="D340" t="str">
        <x:v>España</x:v>
      </x:c>
      <x:c r="E340" t="str">
        <x:v>Argentina</x:v>
      </x:c>
      <x:c r="F340" t="n">
        <x:v>1</x:v>
      </x:c>
      <x:c r="G340" t="n">
        <x:v>2</x:v>
      </x:c>
      <x:c r="H340" t="str">
        <x:v>Argentina</x:v>
      </x:c>
      <x:c r="I340" t="str">
        <x:v>90 minutos</x:v>
      </x:c>
      <x:c r="J340" t="n">
        <x:v>1</x:v>
      </x:c>
      <x:c r="K340" t="n">
        <x:v>0</x:v>
      </x:c>
      <x:c r="L340" t="str">
        <x:v>España</x:v>
      </x:c>
      <x:c r="M340" t="str">
        <x:v>Suplementario</x:v>
      </x:c>
      <x:c r="N340" t="n">
        <x:f>IF(AND(AND(ISNUMBER($F340),ISNUMBER($G340),$H340=$L340),IF($I340="90 minutos",IF($F340&gt;$G340,"A",IF($G340&gt;$F340,"B","E")),"E")=IF($M340="90 minutos",IF($J340&gt;$K340,"A",IF($K340&gt;$J340,"B","E")),"E")),Reglas!$B$2,0)</x:f>
        <x:v>0</x:v>
      </x:c>
      <x:c r="O340" t="n">
        <x:f>IF(AND(ISNUMBER($F340),ISNUMBER($G340),$H340=$L340),Reglas!$B$3,0)</x:f>
        <x:v>0</x:v>
      </x:c>
      <x:c r="P340" t="n">
        <x:f>IF(AND(AND(ISNUMBER($F340),ISNUMBER($G340),$H340=$L340),$I340=$M340),Reglas!$B$4,0)</x:f>
        <x:v>0</x:v>
      </x:c>
      <x:c r="Q340" t="n">
        <x:f>IF(AND(AND(AND(ISNUMBER($F340),ISNUMBER($G340),$H340=$L340),$I340=$M340,NOT(AND($I340="Penales",$F340&lt;&gt;$G340))),$F340=$J340,$G340=$K340),Reglas!$B$5,0)</x:f>
        <x:v>0</x:v>
      </x:c>
      <x:c r="R340" t="n">
        <x:f>IF(AND(AND(AND(ISNUMBER($F340),ISNUMBER($G340),$H340=$L340),$I340=$M340,NOT(AND($I340="Penales",$F340&lt;&gt;$G340))),$F340-$G340=$J340-$K340),Reglas!$B$6,0)</x:f>
        <x:v>0</x:v>
      </x:c>
      <x:c r="S340" t="n">
        <x:f>IF(AND(AND(AND(ISNUMBER($F340),ISNUMBER($G340),$H340=$L340),$I340=$M340,NOT(AND($I340="Penales",$F340&lt;&gt;$G340))),$F340=$J340),Reglas!$B$7,0)</x:f>
        <x:v>0</x:v>
      </x:c>
      <x:c r="T340" t="n">
        <x:f>IF(AND(AND(AND(ISNUMBER($F340),ISNUMBER($G340),$H340=$L340),$I340=$M340,NOT(AND($I340="Penales",$F340&lt;&gt;$G340))),$G340=$K340),Reglas!$B$8,0)</x:f>
        <x:v>0</x:v>
      </x:c>
      <x:c r="U340" t="n">
        <x:f>SUM(N340:T340)</x:f>
        <x:v>0</x:v>
      </x:c>
      <x:c r="V340" t="str">
        <x:f>IF($W340="Sin respuesta","Sin envio",IF($U340&gt;0,"OK","Sin puntos"))</x:f>
        <x:v>Sin puntos</x:v>
      </x:c>
      <x:c r="W340" t="str">
        <x:v>Google Forms</x:v>
      </x:c>
    </x:row>
    <x:row r="341" ht="15" hidden="0" customHeight="1">
      <x:c r="A341" t="str">
        <x:v>Final</x:v>
      </x:c>
      <x:c r="B341" t="str">
        <x:v>F</x:v>
      </x:c>
      <x:c r="C341" t="str">
        <x:v>Manuel</x:v>
      </x:c>
      <x:c r="D341" t="str">
        <x:v>España</x:v>
      </x:c>
      <x:c r="E341" t="str">
        <x:v>Argentina</x:v>
      </x:c>
      <x:c r="F341"/>
      <x:c r="G341"/>
      <x:c r="H341" t="str">
        <x:v>Sin envio</x:v>
      </x:c>
      <x:c r="I341" t="str">
        <x:v>Sin envio</x:v>
      </x:c>
      <x:c r="J341" t="n">
        <x:v>1</x:v>
      </x:c>
      <x:c r="K341" t="n">
        <x:v>0</x:v>
      </x:c>
      <x:c r="L341" t="str">
        <x:v>España</x:v>
      </x:c>
      <x:c r="M341" t="str">
        <x:v>Suplementario</x:v>
      </x:c>
      <x:c r="N341" t="n">
        <x:f>IF(AND(AND(ISNUMBER($F341),ISNUMBER($G341),$H341=$L341),IF($I341="90 minutos",IF($F341&gt;$G341,"A",IF($G341&gt;$F341,"B","E")),"E")=IF($M341="90 minutos",IF($J341&gt;$K341,"A",IF($K341&gt;$J341,"B","E")),"E")),Reglas!$B$2,0)</x:f>
        <x:v>0</x:v>
      </x:c>
      <x:c r="O341" t="n">
        <x:f>IF(AND(ISNUMBER($F341),ISNUMBER($G341),$H341=$L341),Reglas!$B$3,0)</x:f>
        <x:v>0</x:v>
      </x:c>
      <x:c r="P341" t="n">
        <x:f>IF(AND(AND(ISNUMBER($F341),ISNUMBER($G341),$H341=$L341),$I341=$M341),Reglas!$B$4,0)</x:f>
        <x:v>0</x:v>
      </x:c>
      <x:c r="Q341" t="n">
        <x:f>IF(AND(AND(AND(ISNUMBER($F341),ISNUMBER($G341),$H341=$L341),$I341=$M341,NOT(AND($I341="Penales",$F341&lt;&gt;$G341))),$F341=$J341,$G341=$K341),Reglas!$B$5,0)</x:f>
        <x:v>0</x:v>
      </x:c>
      <x:c r="R341" t="n">
        <x:f>IF(AND(AND(AND(ISNUMBER($F341),ISNUMBER($G341),$H341=$L341),$I341=$M341,NOT(AND($I341="Penales",$F341&lt;&gt;$G341))),$F341-$G341=$J341-$K341),Reglas!$B$6,0)</x:f>
        <x:v>0</x:v>
      </x:c>
      <x:c r="S341" t="n">
        <x:f>IF(AND(AND(AND(ISNUMBER($F341),ISNUMBER($G341),$H341=$L341),$I341=$M341,NOT(AND($I341="Penales",$F341&lt;&gt;$G341))),$F341=$J341),Reglas!$B$7,0)</x:f>
        <x:v>0</x:v>
      </x:c>
      <x:c r="T341" t="n">
        <x:f>IF(AND(AND(AND(ISNUMBER($F341),ISNUMBER($G341),$H341=$L341),$I341=$M341,NOT(AND($I341="Penales",$F341&lt;&gt;$G341))),$G341=$K341),Reglas!$B$8,0)</x:f>
        <x:v>0</x:v>
      </x:c>
      <x:c r="U341" t="n">
        <x:f>SUM(N341:T341)</x:f>
        <x:v>0</x:v>
      </x:c>
      <x:c r="V341" t="str">
        <x:f>IF($W341="Sin respuesta","Sin envio",IF($U341&gt;0,"OK","Sin puntos"))</x:f>
        <x:v>Sin envio</x:v>
      </x:c>
      <x:c r="W341" t="str">
        <x:v>Sin respuesta</x:v>
      </x:c>
    </x:row>
    <x:row r="342" ht="15" hidden="0" customHeight="1">
      <x:c r="A342" t="str">
        <x:v>Final</x:v>
      </x:c>
      <x:c r="B342" t="str">
        <x:v>F</x:v>
      </x:c>
      <x:c r="C342" t="str">
        <x:v>Jorge</x:v>
      </x:c>
      <x:c r="D342" t="str">
        <x:v>España</x:v>
      </x:c>
      <x:c r="E342" t="str">
        <x:v>Argentina</x:v>
      </x:c>
      <x:c r="F342" t="n">
        <x:v>3</x:v>
      </x:c>
      <x:c r="G342" t="n">
        <x:v>1</x:v>
      </x:c>
      <x:c r="H342" t="str">
        <x:v>España</x:v>
      </x:c>
      <x:c r="I342" t="str">
        <x:v>90 minutos</x:v>
      </x:c>
      <x:c r="J342" t="n">
        <x:v>1</x:v>
      </x:c>
      <x:c r="K342" t="n">
        <x:v>0</x:v>
      </x:c>
      <x:c r="L342" t="str">
        <x:v>España</x:v>
      </x:c>
      <x:c r="M342" t="str">
        <x:v>Suplementario</x:v>
      </x:c>
      <x:c r="N342" t="n">
        <x:f>IF(AND(AND(ISNUMBER($F342),ISNUMBER($G342),$H342=$L342),IF($I342="90 minutos",IF($F342&gt;$G342,"A",IF($G342&gt;$F342,"B","E")),"E")=IF($M342="90 minutos",IF($J342&gt;$K342,"A",IF($K342&gt;$J342,"B","E")),"E")),Reglas!$B$2,0)</x:f>
        <x:v>0</x:v>
      </x:c>
      <x:c r="O342" t="n">
        <x:f>IF(AND(ISNUMBER($F342),ISNUMBER($G342),$H342=$L342),Reglas!$B$3,0)</x:f>
        <x:v>3</x:v>
      </x:c>
      <x:c r="P342" t="n">
        <x:f>IF(AND(AND(ISNUMBER($F342),ISNUMBER($G342),$H342=$L342),$I342=$M342),Reglas!$B$4,0)</x:f>
        <x:v>0</x:v>
      </x:c>
      <x:c r="Q342" t="n">
        <x:f>IF(AND(AND(AND(ISNUMBER($F342),ISNUMBER($G342),$H342=$L342),$I342=$M342,NOT(AND($I342="Penales",$F342&lt;&gt;$G342))),$F342=$J342,$G342=$K342),Reglas!$B$5,0)</x:f>
        <x:v>0</x:v>
      </x:c>
      <x:c r="R342" t="n">
        <x:f>IF(AND(AND(AND(ISNUMBER($F342),ISNUMBER($G342),$H342=$L342),$I342=$M342,NOT(AND($I342="Penales",$F342&lt;&gt;$G342))),$F342-$G342=$J342-$K342),Reglas!$B$6,0)</x:f>
        <x:v>0</x:v>
      </x:c>
      <x:c r="S342" t="n">
        <x:f>IF(AND(AND(AND(ISNUMBER($F342),ISNUMBER($G342),$H342=$L342),$I342=$M342,NOT(AND($I342="Penales",$F342&lt;&gt;$G342))),$F342=$J342),Reglas!$B$7,0)</x:f>
        <x:v>0</x:v>
      </x:c>
      <x:c r="T342" t="n">
        <x:f>IF(AND(AND(AND(ISNUMBER($F342),ISNUMBER($G342),$H342=$L342),$I342=$M342,NOT(AND($I342="Penales",$F342&lt;&gt;$G342))),$G342=$K342),Reglas!$B$8,0)</x:f>
        <x:v>0</x:v>
      </x:c>
      <x:c r="U342" t="n">
        <x:f>SUM(N342:T342)</x:f>
        <x:v>3</x:v>
      </x:c>
      <x:c r="V342" t="str">
        <x:f>IF($W342="Sin respuesta","Sin envio",IF($U342&gt;0,"OK","Sin puntos"))</x:f>
        <x:v>OK</x:v>
      </x:c>
      <x:c r="W342" t="str">
        <x:v>Google Forms</x:v>
      </x:c>
    </x:row>
    <x:row r="343" ht="15" hidden="0" customHeight="1">
      <x:c r="A343" t="str">
        <x:v>Final</x:v>
      </x:c>
      <x:c r="B343" t="str">
        <x:v>F</x:v>
      </x:c>
      <x:c r="C343" t="str">
        <x:v>Daniel</x:v>
      </x:c>
      <x:c r="D343" t="str">
        <x:v>España</x:v>
      </x:c>
      <x:c r="E343" t="str">
        <x:v>Argentina</x:v>
      </x:c>
      <x:c r="F343"/>
      <x:c r="G343"/>
      <x:c r="H343" t="str">
        <x:v>Sin envio</x:v>
      </x:c>
      <x:c r="I343" t="str">
        <x:v>Sin envio</x:v>
      </x:c>
      <x:c r="J343" t="n">
        <x:v>1</x:v>
      </x:c>
      <x:c r="K343" t="n">
        <x:v>0</x:v>
      </x:c>
      <x:c r="L343" t="str">
        <x:v>España</x:v>
      </x:c>
      <x:c r="M343" t="str">
        <x:v>Suplementario</x:v>
      </x:c>
      <x:c r="N343" t="n">
        <x:f>IF(AND(AND(ISNUMBER($F343),ISNUMBER($G343),$H343=$L343),IF($I343="90 minutos",IF($F343&gt;$G343,"A",IF($G343&gt;$F343,"B","E")),"E")=IF($M343="90 minutos",IF($J343&gt;$K343,"A",IF($K343&gt;$J343,"B","E")),"E")),Reglas!$B$2,0)</x:f>
        <x:v>0</x:v>
      </x:c>
      <x:c r="O343" t="n">
        <x:f>IF(AND(ISNUMBER($F343),ISNUMBER($G343),$H343=$L343),Reglas!$B$3,0)</x:f>
        <x:v>0</x:v>
      </x:c>
      <x:c r="P343" t="n">
        <x:f>IF(AND(AND(ISNUMBER($F343),ISNUMBER($G343),$H343=$L343),$I343=$M343),Reglas!$B$4,0)</x:f>
        <x:v>0</x:v>
      </x:c>
      <x:c r="Q343" t="n">
        <x:f>IF(AND(AND(AND(ISNUMBER($F343),ISNUMBER($G343),$H343=$L343),$I343=$M343,NOT(AND($I343="Penales",$F343&lt;&gt;$G343))),$F343=$J343,$G343=$K343),Reglas!$B$5,0)</x:f>
        <x:v>0</x:v>
      </x:c>
      <x:c r="R343" t="n">
        <x:f>IF(AND(AND(AND(ISNUMBER($F343),ISNUMBER($G343),$H343=$L343),$I343=$M343,NOT(AND($I343="Penales",$F343&lt;&gt;$G343))),$F343-$G343=$J343-$K343),Reglas!$B$6,0)</x:f>
        <x:v>0</x:v>
      </x:c>
      <x:c r="S343" t="n">
        <x:f>IF(AND(AND(AND(ISNUMBER($F343),ISNUMBER($G343),$H343=$L343),$I343=$M343,NOT(AND($I343="Penales",$F343&lt;&gt;$G343))),$F343=$J343),Reglas!$B$7,0)</x:f>
        <x:v>0</x:v>
      </x:c>
      <x:c r="T343" t="n">
        <x:f>IF(AND(AND(AND(ISNUMBER($F343),ISNUMBER($G343),$H343=$L343),$I343=$M343,NOT(AND($I343="Penales",$F343&lt;&gt;$G343))),$G343=$K343),Reglas!$B$8,0)</x:f>
        <x:v>0</x:v>
      </x:c>
      <x:c r="U343" t="n">
        <x:f>SUM(N343:T343)</x:f>
        <x:v>0</x:v>
      </x:c>
      <x:c r="V343" t="str">
        <x:f>IF($W343="Sin respuesta","Sin envio",IF($U343&gt;0,"OK","Sin puntos"))</x:f>
        <x:v>Sin envio</x:v>
      </x:c>
      <x:c r="W343" t="str">
        <x:v>Sin respuesta</x:v>
      </x:c>
    </x:row>
    <x:row r="344" ht="15" hidden="0" customHeight="1">
      <x:c r="A344" t="str">
        <x:v>Final</x:v>
      </x:c>
      <x:c r="B344" t="str">
        <x:v>F</x:v>
      </x:c>
      <x:c r="C344" t="str">
        <x:v>Arthur</x:v>
      </x:c>
      <x:c r="D344" t="str">
        <x:v>España</x:v>
      </x:c>
      <x:c r="E344" t="str">
        <x:v>Argentina</x:v>
      </x:c>
      <x:c r="F344" t="n">
        <x:v>3</x:v>
      </x:c>
      <x:c r="G344" t="n">
        <x:v>2</x:v>
      </x:c>
      <x:c r="H344" t="str">
        <x:v>España</x:v>
      </x:c>
      <x:c r="I344" t="str">
        <x:v>Suplementario</x:v>
      </x:c>
      <x:c r="J344" t="n">
        <x:v>1</x:v>
      </x:c>
      <x:c r="K344" t="n">
        <x:v>0</x:v>
      </x:c>
      <x:c r="L344" t="str">
        <x:v>España</x:v>
      </x:c>
      <x:c r="M344" t="str">
        <x:v>Suplementario</x:v>
      </x:c>
      <x:c r="N344" t="n">
        <x:f>IF(AND(AND(ISNUMBER($F344),ISNUMBER($G344),$H344=$L344),IF($I344="90 minutos",IF($F344&gt;$G344,"A",IF($G344&gt;$F344,"B","E")),"E")=IF($M344="90 minutos",IF($J344&gt;$K344,"A",IF($K344&gt;$J344,"B","E")),"E")),Reglas!$B$2,0)</x:f>
        <x:v>5</x:v>
      </x:c>
      <x:c r="O344" t="n">
        <x:f>IF(AND(ISNUMBER($F344),ISNUMBER($G344),$H344=$L344),Reglas!$B$3,0)</x:f>
        <x:v>3</x:v>
      </x:c>
      <x:c r="P344" t="n">
        <x:f>IF(AND(AND(ISNUMBER($F344),ISNUMBER($G344),$H344=$L344),$I344=$M344),Reglas!$B$4,0)</x:f>
        <x:v>2</x:v>
      </x:c>
      <x:c r="Q344" t="n">
        <x:f>IF(AND(AND(AND(ISNUMBER($F344),ISNUMBER($G344),$H344=$L344),$I344=$M344,NOT(AND($I344="Penales",$F344&lt;&gt;$G344))),$F344=$J344,$G344=$K344),Reglas!$B$5,0)</x:f>
        <x:v>0</x:v>
      </x:c>
      <x:c r="R344" t="n">
        <x:f>IF(AND(AND(AND(ISNUMBER($F344),ISNUMBER($G344),$H344=$L344),$I344=$M344,NOT(AND($I344="Penales",$F344&lt;&gt;$G344))),$F344-$G344=$J344-$K344),Reglas!$B$6,0)</x:f>
        <x:v>2</x:v>
      </x:c>
      <x:c r="S344" t="n">
        <x:f>IF(AND(AND(AND(ISNUMBER($F344),ISNUMBER($G344),$H344=$L344),$I344=$M344,NOT(AND($I344="Penales",$F344&lt;&gt;$G344))),$F344=$J344),Reglas!$B$7,0)</x:f>
        <x:v>0</x:v>
      </x:c>
      <x:c r="T344" t="n">
        <x:f>IF(AND(AND(AND(ISNUMBER($F344),ISNUMBER($G344),$H344=$L344),$I344=$M344,NOT(AND($I344="Penales",$F344&lt;&gt;$G344))),$G344=$K344),Reglas!$B$8,0)</x:f>
        <x:v>0</x:v>
      </x:c>
      <x:c r="U344" t="n">
        <x:f>SUM(N344:T344)</x:f>
        <x:v>12</x:v>
      </x:c>
      <x:c r="V344" t="str">
        <x:f>IF($W344="Sin respuesta","Sin envio",IF($U344&gt;0,"OK","Sin puntos"))</x:f>
        <x:v>OK</x:v>
      </x:c>
      <x:c r="W344" t="str">
        <x:v>Google Forms</x:v>
      </x:c>
    </x:row>
    <x:row r="345" ht="15" hidden="0" customHeight="1">
      <x:c r="A345" t="str">
        <x:v>Final</x:v>
      </x:c>
      <x:c r="B345" t="str">
        <x:v>F</x:v>
      </x:c>
      <x:c r="C345" t="str">
        <x:v>José Luis</x:v>
      </x:c>
      <x:c r="D345" t="str">
        <x:v>España</x:v>
      </x:c>
      <x:c r="E345" t="str">
        <x:v>Argentina</x:v>
      </x:c>
      <x:c r="F345"/>
      <x:c r="G345"/>
      <x:c r="H345" t="str">
        <x:v>Sin envio</x:v>
      </x:c>
      <x:c r="I345" t="str">
        <x:v>Sin envio</x:v>
      </x:c>
      <x:c r="J345" t="n">
        <x:v>1</x:v>
      </x:c>
      <x:c r="K345" t="n">
        <x:v>0</x:v>
      </x:c>
      <x:c r="L345" t="str">
        <x:v>España</x:v>
      </x:c>
      <x:c r="M345" t="str">
        <x:v>Suplementario</x:v>
      </x:c>
      <x:c r="N345" t="n">
        <x:f>IF(AND(AND(ISNUMBER($F345),ISNUMBER($G345),$H345=$L345),IF($I345="90 minutos",IF($F345&gt;$G345,"A",IF($G345&gt;$F345,"B","E")),"E")=IF($M345="90 minutos",IF($J345&gt;$K345,"A",IF($K345&gt;$J345,"B","E")),"E")),Reglas!$B$2,0)</x:f>
        <x:v>0</x:v>
      </x:c>
      <x:c r="O345" t="n">
        <x:f>IF(AND(ISNUMBER($F345),ISNUMBER($G345),$H345=$L345),Reglas!$B$3,0)</x:f>
        <x:v>0</x:v>
      </x:c>
      <x:c r="P345" t="n">
        <x:f>IF(AND(AND(ISNUMBER($F345),ISNUMBER($G345),$H345=$L345),$I345=$M345),Reglas!$B$4,0)</x:f>
        <x:v>0</x:v>
      </x:c>
      <x:c r="Q345" t="n">
        <x:f>IF(AND(AND(AND(ISNUMBER($F345),ISNUMBER($G345),$H345=$L345),$I345=$M345,NOT(AND($I345="Penales",$F345&lt;&gt;$G345))),$F345=$J345,$G345=$K345),Reglas!$B$5,0)</x:f>
        <x:v>0</x:v>
      </x:c>
      <x:c r="R345" t="n">
        <x:f>IF(AND(AND(AND(ISNUMBER($F345),ISNUMBER($G345),$H345=$L345),$I345=$M345,NOT(AND($I345="Penales",$F345&lt;&gt;$G345))),$F345-$G345=$J345-$K345),Reglas!$B$6,0)</x:f>
        <x:v>0</x:v>
      </x:c>
      <x:c r="S345" t="n">
        <x:f>IF(AND(AND(AND(ISNUMBER($F345),ISNUMBER($G345),$H345=$L345),$I345=$M345,NOT(AND($I345="Penales",$F345&lt;&gt;$G345))),$F345=$J345),Reglas!$B$7,0)</x:f>
        <x:v>0</x:v>
      </x:c>
      <x:c r="T345" t="n">
        <x:f>IF(AND(AND(AND(ISNUMBER($F345),ISNUMBER($G345),$H345=$L345),$I345=$M345,NOT(AND($I345="Penales",$F345&lt;&gt;$G345))),$G345=$K345),Reglas!$B$8,0)</x:f>
        <x:v>0</x:v>
      </x:c>
      <x:c r="U345" t="n">
        <x:f>SUM(N345:T345)</x:f>
        <x:v>0</x:v>
      </x:c>
      <x:c r="V345" t="str">
        <x:f>IF($W345="Sin respuesta","Sin envio",IF($U345&gt;0,"OK","Sin puntos"))</x:f>
        <x:v>Sin envio</x:v>
      </x:c>
      <x:c r="W345" t="str">
        <x:v>Sin respuesta</x:v>
      </x:c>
    </x:row>
    <x:row r="346" ht="15" hidden="0" customHeight="1">
      <x:c r="A346" t="str">
        <x:v>Final</x:v>
      </x:c>
      <x:c r="B346" t="str">
        <x:v>F</x:v>
      </x:c>
      <x:c r="C346" t="str">
        <x:v>Marcelo</x:v>
      </x:c>
      <x:c r="D346" t="str">
        <x:v>España</x:v>
      </x:c>
      <x:c r="E346" t="str">
        <x:v>Argentina</x:v>
      </x:c>
      <x:c r="F346"/>
      <x:c r="G346"/>
      <x:c r="H346" t="str">
        <x:v>Sin envio</x:v>
      </x:c>
      <x:c r="I346" t="str">
        <x:v>Sin envio</x:v>
      </x:c>
      <x:c r="J346" t="n">
        <x:v>1</x:v>
      </x:c>
      <x:c r="K346" t="n">
        <x:v>0</x:v>
      </x:c>
      <x:c r="L346" t="str">
        <x:v>España</x:v>
      </x:c>
      <x:c r="M346" t="str">
        <x:v>Suplementario</x:v>
      </x:c>
      <x:c r="N346" t="n">
        <x:f>IF(AND(AND(ISNUMBER($F346),ISNUMBER($G346),$H346=$L346),IF($I346="90 minutos",IF($F346&gt;$G346,"A",IF($G346&gt;$F346,"B","E")),"E")=IF($M346="90 minutos",IF($J346&gt;$K346,"A",IF($K346&gt;$J346,"B","E")),"E")),Reglas!$B$2,0)</x:f>
        <x:v>0</x:v>
      </x:c>
      <x:c r="O346" t="n">
        <x:f>IF(AND(ISNUMBER($F346),ISNUMBER($G346),$H346=$L346),Reglas!$B$3,0)</x:f>
        <x:v>0</x:v>
      </x:c>
      <x:c r="P346" t="n">
        <x:f>IF(AND(AND(ISNUMBER($F346),ISNUMBER($G346),$H346=$L346),$I346=$M346),Reglas!$B$4,0)</x:f>
        <x:v>0</x:v>
      </x:c>
      <x:c r="Q346" t="n">
        <x:f>IF(AND(AND(AND(ISNUMBER($F346),ISNUMBER($G346),$H346=$L346),$I346=$M346,NOT(AND($I346="Penales",$F346&lt;&gt;$G346))),$F346=$J346,$G346=$K346),Reglas!$B$5,0)</x:f>
        <x:v>0</x:v>
      </x:c>
      <x:c r="R346" t="n">
        <x:f>IF(AND(AND(AND(ISNUMBER($F346),ISNUMBER($G346),$H346=$L346),$I346=$M346,NOT(AND($I346="Penales",$F346&lt;&gt;$G346))),$F346-$G346=$J346-$K346),Reglas!$B$6,0)</x:f>
        <x:v>0</x:v>
      </x:c>
      <x:c r="S346" t="n">
        <x:f>IF(AND(AND(AND(ISNUMBER($F346),ISNUMBER($G346),$H346=$L346),$I346=$M346,NOT(AND($I346="Penales",$F346&lt;&gt;$G346))),$F346=$J346),Reglas!$B$7,0)</x:f>
        <x:v>0</x:v>
      </x:c>
      <x:c r="T346" t="n">
        <x:f>IF(AND(AND(AND(ISNUMBER($F346),ISNUMBER($G346),$H346=$L346),$I346=$M346,NOT(AND($I346="Penales",$F346&lt;&gt;$G346))),$G346=$K346),Reglas!$B$8,0)</x:f>
        <x:v>0</x:v>
      </x:c>
      <x:c r="U346" t="n">
        <x:f>SUM(N346:T346)</x:f>
        <x:v>0</x:v>
      </x:c>
      <x:c r="V346" t="str">
        <x:f>IF($W346="Sin respuesta","Sin envio",IF($U346&gt;0,"OK","Sin puntos"))</x:f>
        <x:v>Sin envio</x:v>
      </x:c>
      <x:c r="W346" t="str">
        <x:v>Sin respuesta</x:v>
      </x:c>
    </x:row>
    <x:row r="347" ht="15" hidden="0" customHeight="1">
      <x:c r="A347" t="str">
        <x:v>Final</x:v>
      </x:c>
      <x:c r="B347" t="str">
        <x:v>F</x:v>
      </x:c>
      <x:c r="C347" t="str">
        <x:v>Anny</x:v>
      </x:c>
      <x:c r="D347" t="str">
        <x:v>España</x:v>
      </x:c>
      <x:c r="E347" t="str">
        <x:v>Argentina</x:v>
      </x:c>
      <x:c r="F347" t="n">
        <x:v>1</x:v>
      </x:c>
      <x:c r="G347" t="n">
        <x:v>3</x:v>
      </x:c>
      <x:c r="H347" t="str">
        <x:v>Argentina</x:v>
      </x:c>
      <x:c r="I347" t="str">
        <x:v>90 minutos</x:v>
      </x:c>
      <x:c r="J347" t="n">
        <x:v>1</x:v>
      </x:c>
      <x:c r="K347" t="n">
        <x:v>0</x:v>
      </x:c>
      <x:c r="L347" t="str">
        <x:v>España</x:v>
      </x:c>
      <x:c r="M347" t="str">
        <x:v>Suplementario</x:v>
      </x:c>
      <x:c r="N347" t="n">
        <x:f>IF(AND(AND(ISNUMBER($F347),ISNUMBER($G347),$H347=$L347),IF($I347="90 minutos",IF($F347&gt;$G347,"A",IF($G347&gt;$F347,"B","E")),"E")=IF($M347="90 minutos",IF($J347&gt;$K347,"A",IF($K347&gt;$J347,"B","E")),"E")),Reglas!$B$2,0)</x:f>
        <x:v>0</x:v>
      </x:c>
      <x:c r="O347" t="n">
        <x:f>IF(AND(ISNUMBER($F347),ISNUMBER($G347),$H347=$L347),Reglas!$B$3,0)</x:f>
        <x:v>0</x:v>
      </x:c>
      <x:c r="P347" t="n">
        <x:f>IF(AND(AND(ISNUMBER($F347),ISNUMBER($G347),$H347=$L347),$I347=$M347),Reglas!$B$4,0)</x:f>
        <x:v>0</x:v>
      </x:c>
      <x:c r="Q347" t="n">
        <x:f>IF(AND(AND(AND(ISNUMBER($F347),ISNUMBER($G347),$H347=$L347),$I347=$M347,NOT(AND($I347="Penales",$F347&lt;&gt;$G347))),$F347=$J347,$G347=$K347),Reglas!$B$5,0)</x:f>
        <x:v>0</x:v>
      </x:c>
      <x:c r="R347" t="n">
        <x:f>IF(AND(AND(AND(ISNUMBER($F347),ISNUMBER($G347),$H347=$L347),$I347=$M347,NOT(AND($I347="Penales",$F347&lt;&gt;$G347))),$F347-$G347=$J347-$K347),Reglas!$B$6,0)</x:f>
        <x:v>0</x:v>
      </x:c>
      <x:c r="S347" t="n">
        <x:f>IF(AND(AND(AND(ISNUMBER($F347),ISNUMBER($G347),$H347=$L347),$I347=$M347,NOT(AND($I347="Penales",$F347&lt;&gt;$G347))),$F347=$J347),Reglas!$B$7,0)</x:f>
        <x:v>0</x:v>
      </x:c>
      <x:c r="T347" t="n">
        <x:f>IF(AND(AND(AND(ISNUMBER($F347),ISNUMBER($G347),$H347=$L347),$I347=$M347,NOT(AND($I347="Penales",$F347&lt;&gt;$G347))),$G347=$K347),Reglas!$B$8,0)</x:f>
        <x:v>0</x:v>
      </x:c>
      <x:c r="U347" t="n">
        <x:f>SUM(N347:T347)</x:f>
        <x:v>0</x:v>
      </x:c>
      <x:c r="V347" t="str">
        <x:f>IF($W347="Sin respuesta","Sin envio",IF($U347&gt;0,"OK","Sin puntos"))</x:f>
        <x:v>Sin puntos</x:v>
      </x:c>
      <x:c r="W347" t="str">
        <x:v>Google Forms</x:v>
      </x:c>
    </x:row>
    <x:row r="348" ht="15" hidden="0" customHeight="1">
      <x:c r="A348" t="str">
        <x:v>Final</x:v>
      </x:c>
      <x:c r="B348" t="str">
        <x:v>F</x:v>
      </x:c>
      <x:c r="C348" t="str">
        <x:v>Moisés</x:v>
      </x:c>
      <x:c r="D348" t="str">
        <x:v>España</x:v>
      </x:c>
      <x:c r="E348" t="str">
        <x:v>Argentina</x:v>
      </x:c>
      <x:c r="F348"/>
      <x:c r="G348"/>
      <x:c r="H348" t="str">
        <x:v>Sin envio</x:v>
      </x:c>
      <x:c r="I348" t="str">
        <x:v>Sin envio</x:v>
      </x:c>
      <x:c r="J348" t="n">
        <x:v>1</x:v>
      </x:c>
      <x:c r="K348" t="n">
        <x:v>0</x:v>
      </x:c>
      <x:c r="L348" t="str">
        <x:v>España</x:v>
      </x:c>
      <x:c r="M348" t="str">
        <x:v>Suplementario</x:v>
      </x:c>
      <x:c r="N348" t="n">
        <x:f>IF(AND(AND(ISNUMBER($F348),ISNUMBER($G348),$H348=$L348),IF($I348="90 minutos",IF($F348&gt;$G348,"A",IF($G348&gt;$F348,"B","E")),"E")=IF($M348="90 minutos",IF($J348&gt;$K348,"A",IF($K348&gt;$J348,"B","E")),"E")),Reglas!$B$2,0)</x:f>
        <x:v>0</x:v>
      </x:c>
      <x:c r="O348" t="n">
        <x:f>IF(AND(ISNUMBER($F348),ISNUMBER($G348),$H348=$L348),Reglas!$B$3,0)</x:f>
        <x:v>0</x:v>
      </x:c>
      <x:c r="P348" t="n">
        <x:f>IF(AND(AND(ISNUMBER($F348),ISNUMBER($G348),$H348=$L348),$I348=$M348),Reglas!$B$4,0)</x:f>
        <x:v>0</x:v>
      </x:c>
      <x:c r="Q348" t="n">
        <x:f>IF(AND(AND(AND(ISNUMBER($F348),ISNUMBER($G348),$H348=$L348),$I348=$M348,NOT(AND($I348="Penales",$F348&lt;&gt;$G348))),$F348=$J348,$G348=$K348),Reglas!$B$5,0)</x:f>
        <x:v>0</x:v>
      </x:c>
      <x:c r="R348" t="n">
        <x:f>IF(AND(AND(AND(ISNUMBER($F348),ISNUMBER($G348),$H348=$L348),$I348=$M348,NOT(AND($I348="Penales",$F348&lt;&gt;$G348))),$F348-$G348=$J348-$K348),Reglas!$B$6,0)</x:f>
        <x:v>0</x:v>
      </x:c>
      <x:c r="S348" t="n">
        <x:f>IF(AND(AND(AND(ISNUMBER($F348),ISNUMBER($G348),$H348=$L348),$I348=$M348,NOT(AND($I348="Penales",$F348&lt;&gt;$G348))),$F348=$J348),Reglas!$B$7,0)</x:f>
        <x:v>0</x:v>
      </x:c>
      <x:c r="T348" t="n">
        <x:f>IF(AND(AND(AND(ISNUMBER($F348),ISNUMBER($G348),$H348=$L348),$I348=$M348,NOT(AND($I348="Penales",$F348&lt;&gt;$G348))),$G348=$K348),Reglas!$B$8,0)</x:f>
        <x:v>0</x:v>
      </x:c>
      <x:c r="U348" t="n">
        <x:f>SUM(N348:T348)</x:f>
        <x:v>0</x:v>
      </x:c>
      <x:c r="V348" t="str">
        <x:f>IF($W348="Sin respuesta","Sin envio",IF($U348&gt;0,"OK","Sin puntos"))</x:f>
        <x:v>Sin envio</x:v>
      </x:c>
      <x:c r="W348" t="str">
        <x:v>Sin respuesta</x:v>
      </x:c>
    </x:row>
    <x:row r="349" ht="15" hidden="0" customHeight="1">
      <x:c r="A349" t="str">
        <x:v>Final</x:v>
      </x:c>
      <x:c r="B349" t="str">
        <x:v>F</x:v>
      </x:c>
      <x:c r="C349" t="str">
        <x:v>Alex</x:v>
      </x:c>
      <x:c r="D349" t="str">
        <x:v>España</x:v>
      </x:c>
      <x:c r="E349" t="str">
        <x:v>Argentina</x:v>
      </x:c>
      <x:c r="F349" t="n">
        <x:v>2</x:v>
      </x:c>
      <x:c r="G349" t="n">
        <x:v>3</x:v>
      </x:c>
      <x:c r="H349" t="str">
        <x:v>Argentina</x:v>
      </x:c>
      <x:c r="I349" t="str">
        <x:v>Suplementario</x:v>
      </x:c>
      <x:c r="J349" t="n">
        <x:v>1</x:v>
      </x:c>
      <x:c r="K349" t="n">
        <x:v>0</x:v>
      </x:c>
      <x:c r="L349" t="str">
        <x:v>España</x:v>
      </x:c>
      <x:c r="M349" t="str">
        <x:v>Suplementario</x:v>
      </x:c>
      <x:c r="N349" t="n">
        <x:f>IF(AND(AND(ISNUMBER($F349),ISNUMBER($G349),$H349=$L349),IF($I349="90 minutos",IF($F349&gt;$G349,"A",IF($G349&gt;$F349,"B","E")),"E")=IF($M349="90 minutos",IF($J349&gt;$K349,"A",IF($K349&gt;$J349,"B","E")),"E")),Reglas!$B$2,0)</x:f>
        <x:v>0</x:v>
      </x:c>
      <x:c r="O349" t="n">
        <x:f>IF(AND(ISNUMBER($F349),ISNUMBER($G349),$H349=$L349),Reglas!$B$3,0)</x:f>
        <x:v>0</x:v>
      </x:c>
      <x:c r="P349" t="n">
        <x:f>IF(AND(AND(ISNUMBER($F349),ISNUMBER($G349),$H349=$L349),$I349=$M349),Reglas!$B$4,0)</x:f>
        <x:v>0</x:v>
      </x:c>
      <x:c r="Q349" t="n">
        <x:f>IF(AND(AND(AND(ISNUMBER($F349),ISNUMBER($G349),$H349=$L349),$I349=$M349,NOT(AND($I349="Penales",$F349&lt;&gt;$G349))),$F349=$J349,$G349=$K349),Reglas!$B$5,0)</x:f>
        <x:v>0</x:v>
      </x:c>
      <x:c r="R349" t="n">
        <x:f>IF(AND(AND(AND(ISNUMBER($F349),ISNUMBER($G349),$H349=$L349),$I349=$M349,NOT(AND($I349="Penales",$F349&lt;&gt;$G349))),$F349-$G349=$J349-$K349),Reglas!$B$6,0)</x:f>
        <x:v>0</x:v>
      </x:c>
      <x:c r="S349" t="n">
        <x:f>IF(AND(AND(AND(ISNUMBER($F349),ISNUMBER($G349),$H349=$L349),$I349=$M349,NOT(AND($I349="Penales",$F349&lt;&gt;$G349))),$F349=$J349),Reglas!$B$7,0)</x:f>
        <x:v>0</x:v>
      </x:c>
      <x:c r="T349" t="n">
        <x:f>IF(AND(AND(AND(ISNUMBER($F349),ISNUMBER($G349),$H349=$L349),$I349=$M349,NOT(AND($I349="Penales",$F349&lt;&gt;$G349))),$G349=$K349),Reglas!$B$8,0)</x:f>
        <x:v>0</x:v>
      </x:c>
      <x:c r="U349" t="n">
        <x:f>SUM(N349:T349)</x:f>
        <x:v>0</x:v>
      </x:c>
      <x:c r="V349" t="str">
        <x:f>IF($W349="Sin respuesta","Sin envio",IF($U349&gt;0,"OK","Sin puntos"))</x:f>
        <x:v>Sin puntos</x:v>
      </x:c>
      <x:c r="W349" t="str">
        <x:v>Google Forms</x:v>
      </x:c>
    </x:row>
    <x:row r="350" ht="15" hidden="0" customHeight="1">
      <x:c r="A350" t="str">
        <x:v>Final</x:v>
      </x:c>
      <x:c r="B350" t="str">
        <x:v>F</x:v>
      </x:c>
      <x:c r="C350" t="str">
        <x:v>Omar</x:v>
      </x:c>
      <x:c r="D350" t="str">
        <x:v>España</x:v>
      </x:c>
      <x:c r="E350" t="str">
        <x:v>Argentina</x:v>
      </x:c>
      <x:c r="F350"/>
      <x:c r="G350"/>
      <x:c r="H350" t="str">
        <x:v>Sin envio</x:v>
      </x:c>
      <x:c r="I350" t="str">
        <x:v>Sin envio</x:v>
      </x:c>
      <x:c r="J350" t="n">
        <x:v>1</x:v>
      </x:c>
      <x:c r="K350" t="n">
        <x:v>0</x:v>
      </x:c>
      <x:c r="L350" t="str">
        <x:v>España</x:v>
      </x:c>
      <x:c r="M350" t="str">
        <x:v>Suplementario</x:v>
      </x:c>
      <x:c r="N350" t="n">
        <x:f>IF(AND(AND(ISNUMBER($F350),ISNUMBER($G350),$H350=$L350),IF($I350="90 minutos",IF($F350&gt;$G350,"A",IF($G350&gt;$F350,"B","E")),"E")=IF($M350="90 minutos",IF($J350&gt;$K350,"A",IF($K350&gt;$J350,"B","E")),"E")),Reglas!$B$2,0)</x:f>
        <x:v>0</x:v>
      </x:c>
      <x:c r="O350" t="n">
        <x:f>IF(AND(ISNUMBER($F350),ISNUMBER($G350),$H350=$L350),Reglas!$B$3,0)</x:f>
        <x:v>0</x:v>
      </x:c>
      <x:c r="P350" t="n">
        <x:f>IF(AND(AND(ISNUMBER($F350),ISNUMBER($G350),$H350=$L350),$I350=$M350),Reglas!$B$4,0)</x:f>
        <x:v>0</x:v>
      </x:c>
      <x:c r="Q350" t="n">
        <x:f>IF(AND(AND(AND(ISNUMBER($F350),ISNUMBER($G350),$H350=$L350),$I350=$M350,NOT(AND($I350="Penales",$F350&lt;&gt;$G350))),$F350=$J350,$G350=$K350),Reglas!$B$5,0)</x:f>
        <x:v>0</x:v>
      </x:c>
      <x:c r="R350" t="n">
        <x:f>IF(AND(AND(AND(ISNUMBER($F350),ISNUMBER($G350),$H350=$L350),$I350=$M350,NOT(AND($I350="Penales",$F350&lt;&gt;$G350))),$F350-$G350=$J350-$K350),Reglas!$B$6,0)</x:f>
        <x:v>0</x:v>
      </x:c>
      <x:c r="S350" t="n">
        <x:f>IF(AND(AND(AND(ISNUMBER($F350),ISNUMBER($G350),$H350=$L350),$I350=$M350,NOT(AND($I350="Penales",$F350&lt;&gt;$G350))),$F350=$J350),Reglas!$B$7,0)</x:f>
        <x:v>0</x:v>
      </x:c>
      <x:c r="T350" t="n">
        <x:f>IF(AND(AND(AND(ISNUMBER($F350),ISNUMBER($G350),$H350=$L350),$I350=$M350,NOT(AND($I350="Penales",$F350&lt;&gt;$G350))),$G350=$K350),Reglas!$B$8,0)</x:f>
        <x:v>0</x:v>
      </x:c>
      <x:c r="U350" t="n">
        <x:f>SUM(N350:T350)</x:f>
        <x:v>0</x:v>
      </x:c>
      <x:c r="V350" t="str">
        <x:f>IF($W350="Sin respuesta","Sin envio",IF($U350&gt;0,"OK","Sin puntos"))</x:f>
        <x:v>Sin envio</x:v>
      </x:c>
      <x:c r="W350" t="str">
        <x:v>Sin respuesta</x:v>
      </x:c>
    </x:row>
    <x:row r="351" ht="15" hidden="0" customHeight="1">
      <x:c r="A351" t="str">
        <x:v>Final</x:v>
      </x:c>
      <x:c r="B351" t="str">
        <x:v>F</x:v>
      </x:c>
      <x:c r="C351" t="str">
        <x:v>Fernando</x:v>
      </x:c>
      <x:c r="D351" t="str">
        <x:v>España</x:v>
      </x:c>
      <x:c r="E351" t="str">
        <x:v>Argentina</x:v>
      </x:c>
      <x:c r="F351" t="n">
        <x:v>1</x:v>
      </x:c>
      <x:c r="G351" t="n">
        <x:v>2</x:v>
      </x:c>
      <x:c r="H351" t="str">
        <x:v>Argentina</x:v>
      </x:c>
      <x:c r="I351" t="str">
        <x:v>Suplementario</x:v>
      </x:c>
      <x:c r="J351" t="n">
        <x:v>1</x:v>
      </x:c>
      <x:c r="K351" t="n">
        <x:v>0</x:v>
      </x:c>
      <x:c r="L351" t="str">
        <x:v>España</x:v>
      </x:c>
      <x:c r="M351" t="str">
        <x:v>Suplementario</x:v>
      </x:c>
      <x:c r="N351" t="n">
        <x:f>IF(AND(AND(ISNUMBER($F351),ISNUMBER($G351),$H351=$L351),IF($I351="90 minutos",IF($F351&gt;$G351,"A",IF($G351&gt;$F351,"B","E")),"E")=IF($M351="90 minutos",IF($J351&gt;$K351,"A",IF($K351&gt;$J351,"B","E")),"E")),Reglas!$B$2,0)</x:f>
        <x:v>0</x:v>
      </x:c>
      <x:c r="O351" t="n">
        <x:f>IF(AND(ISNUMBER($F351),ISNUMBER($G351),$H351=$L351),Reglas!$B$3,0)</x:f>
        <x:v>0</x:v>
      </x:c>
      <x:c r="P351" t="n">
        <x:f>IF(AND(AND(ISNUMBER($F351),ISNUMBER($G351),$H351=$L351),$I351=$M351),Reglas!$B$4,0)</x:f>
        <x:v>0</x:v>
      </x:c>
      <x:c r="Q351" t="n">
        <x:f>IF(AND(AND(AND(ISNUMBER($F351),ISNUMBER($G351),$H351=$L351),$I351=$M351,NOT(AND($I351="Penales",$F351&lt;&gt;$G351))),$F351=$J351,$G351=$K351),Reglas!$B$5,0)</x:f>
        <x:v>0</x:v>
      </x:c>
      <x:c r="R351" t="n">
        <x:f>IF(AND(AND(AND(ISNUMBER($F351),ISNUMBER($G351),$H351=$L351),$I351=$M351,NOT(AND($I351="Penales",$F351&lt;&gt;$G351))),$F351-$G351=$J351-$K351),Reglas!$B$6,0)</x:f>
        <x:v>0</x:v>
      </x:c>
      <x:c r="S351" t="n">
        <x:f>IF(AND(AND(AND(ISNUMBER($F351),ISNUMBER($G351),$H351=$L351),$I351=$M351,NOT(AND($I351="Penales",$F351&lt;&gt;$G351))),$F351=$J351),Reglas!$B$7,0)</x:f>
        <x:v>0</x:v>
      </x:c>
      <x:c r="T351" t="n">
        <x:f>IF(AND(AND(AND(ISNUMBER($F351),ISNUMBER($G351),$H351=$L351),$I351=$M351,NOT(AND($I351="Penales",$F351&lt;&gt;$G351))),$G351=$K351),Reglas!$B$8,0)</x:f>
        <x:v>0</x:v>
      </x:c>
      <x:c r="U351" t="n">
        <x:f>SUM(N351:T351)</x:f>
        <x:v>0</x:v>
      </x:c>
      <x:c r="V351" t="str">
        <x:f>IF($W351="Sin respuesta","Sin envio",IF($U351&gt;0,"OK","Sin puntos"))</x:f>
        <x:v>Sin puntos</x:v>
      </x:c>
      <x:c r="W351" t="str">
        <x:v>Google Forms</x:v>
      </x:c>
    </x:row>
    <x:row r="352" ht="15" hidden="0" customHeight="1">
      <x:c r="A352" t="str">
        <x:v>Final</x:v>
      </x:c>
      <x:c r="B352" t="str">
        <x:v>F</x:v>
      </x:c>
      <x:c r="C352" t="str">
        <x:v>Diana</x:v>
      </x:c>
      <x:c r="D352" t="str">
        <x:v>España</x:v>
      </x:c>
      <x:c r="E352" t="str">
        <x:v>Argentina</x:v>
      </x:c>
      <x:c r="F352"/>
      <x:c r="G352"/>
      <x:c r="H352" t="str">
        <x:v>Sin envio</x:v>
      </x:c>
      <x:c r="I352" t="str">
        <x:v>Sin envio</x:v>
      </x:c>
      <x:c r="J352" t="n">
        <x:v>1</x:v>
      </x:c>
      <x:c r="K352" t="n">
        <x:v>0</x:v>
      </x:c>
      <x:c r="L352" t="str">
        <x:v>España</x:v>
      </x:c>
      <x:c r="M352" t="str">
        <x:v>Suplementario</x:v>
      </x:c>
      <x:c r="N352" t="n">
        <x:f>IF(AND(AND(ISNUMBER($F352),ISNUMBER($G352),$H352=$L352),IF($I352="90 minutos",IF($F352&gt;$G352,"A",IF($G352&gt;$F352,"B","E")),"E")=IF($M352="90 minutos",IF($J352&gt;$K352,"A",IF($K352&gt;$J352,"B","E")),"E")),Reglas!$B$2,0)</x:f>
        <x:v>0</x:v>
      </x:c>
      <x:c r="O352" t="n">
        <x:f>IF(AND(ISNUMBER($F352),ISNUMBER($G352),$H352=$L352),Reglas!$B$3,0)</x:f>
        <x:v>0</x:v>
      </x:c>
      <x:c r="P352" t="n">
        <x:f>IF(AND(AND(ISNUMBER($F352),ISNUMBER($G352),$H352=$L352),$I352=$M352),Reglas!$B$4,0)</x:f>
        <x:v>0</x:v>
      </x:c>
      <x:c r="Q352" t="n">
        <x:f>IF(AND(AND(AND(ISNUMBER($F352),ISNUMBER($G352),$H352=$L352),$I352=$M352,NOT(AND($I352="Penales",$F352&lt;&gt;$G352))),$F352=$J352,$G352=$K352),Reglas!$B$5,0)</x:f>
        <x:v>0</x:v>
      </x:c>
      <x:c r="R352" t="n">
        <x:f>IF(AND(AND(AND(ISNUMBER($F352),ISNUMBER($G352),$H352=$L352),$I352=$M352,NOT(AND($I352="Penales",$F352&lt;&gt;$G352))),$F352-$G352=$J352-$K352),Reglas!$B$6,0)</x:f>
        <x:v>0</x:v>
      </x:c>
      <x:c r="S352" t="n">
        <x:f>IF(AND(AND(AND(ISNUMBER($F352),ISNUMBER($G352),$H352=$L352),$I352=$M352,NOT(AND($I352="Penales",$F352&lt;&gt;$G352))),$F352=$J352),Reglas!$B$7,0)</x:f>
        <x:v>0</x:v>
      </x:c>
      <x:c r="T352" t="n">
        <x:f>IF(AND(AND(AND(ISNUMBER($F352),ISNUMBER($G352),$H352=$L352),$I352=$M352,NOT(AND($I352="Penales",$F352&lt;&gt;$G352))),$G352=$K352),Reglas!$B$8,0)</x:f>
        <x:v>0</x:v>
      </x:c>
      <x:c r="U352" t="n">
        <x:f>SUM(N352:T352)</x:f>
        <x:v>0</x:v>
      </x:c>
      <x:c r="V352" t="str">
        <x:f>IF($W352="Sin respuesta","Sin envio",IF($U352&gt;0,"OK","Sin puntos"))</x:f>
        <x:v>Sin envio</x:v>
      </x:c>
      <x:c r="W352" t="str">
        <x:v>Sin respuesta</x:v>
      </x:c>
    </x:row>
    <x:row r="353" ht="15" hidden="0" customHeight="1">
      <x:c r="A353" t="str">
        <x:v>Final</x:v>
      </x:c>
      <x:c r="B353" t="str">
        <x:v>F</x:v>
      </x:c>
      <x:c r="C353" t="str">
        <x:v>Óscar</x:v>
      </x:c>
      <x:c r="D353" t="str">
        <x:v>España</x:v>
      </x:c>
      <x:c r="E353" t="str">
        <x:v>Argentina</x:v>
      </x:c>
      <x:c r="F353" t="n">
        <x:v>1</x:v>
      </x:c>
      <x:c r="G353" t="n">
        <x:v>2</x:v>
      </x:c>
      <x:c r="H353" t="str">
        <x:v>Argentina</x:v>
      </x:c>
      <x:c r="I353" t="str">
        <x:v>90 minutos</x:v>
      </x:c>
      <x:c r="J353" t="n">
        <x:v>1</x:v>
      </x:c>
      <x:c r="K353" t="n">
        <x:v>0</x:v>
      </x:c>
      <x:c r="L353" t="str">
        <x:v>España</x:v>
      </x:c>
      <x:c r="M353" t="str">
        <x:v>Suplementario</x:v>
      </x:c>
      <x:c r="N353" t="n">
        <x:f>IF(AND(AND(ISNUMBER($F353),ISNUMBER($G353),$H353=$L353),IF($I353="90 minutos",IF($F353&gt;$G353,"A",IF($G353&gt;$F353,"B","E")),"E")=IF($M353="90 minutos",IF($J353&gt;$K353,"A",IF($K353&gt;$J353,"B","E")),"E")),Reglas!$B$2,0)</x:f>
        <x:v>0</x:v>
      </x:c>
      <x:c r="O353" t="n">
        <x:f>IF(AND(ISNUMBER($F353),ISNUMBER($G353),$H353=$L353),Reglas!$B$3,0)</x:f>
        <x:v>0</x:v>
      </x:c>
      <x:c r="P353" t="n">
        <x:f>IF(AND(AND(ISNUMBER($F353),ISNUMBER($G353),$H353=$L353),$I353=$M353),Reglas!$B$4,0)</x:f>
        <x:v>0</x:v>
      </x:c>
      <x:c r="Q353" t="n">
        <x:f>IF(AND(AND(AND(ISNUMBER($F353),ISNUMBER($G353),$H353=$L353),$I353=$M353,NOT(AND($I353="Penales",$F353&lt;&gt;$G353))),$F353=$J353,$G353=$K353),Reglas!$B$5,0)</x:f>
        <x:v>0</x:v>
      </x:c>
      <x:c r="R353" t="n">
        <x:f>IF(AND(AND(AND(ISNUMBER($F353),ISNUMBER($G353),$H353=$L353),$I353=$M353,NOT(AND($I353="Penales",$F353&lt;&gt;$G353))),$F353-$G353=$J353-$K353),Reglas!$B$6,0)</x:f>
        <x:v>0</x:v>
      </x:c>
      <x:c r="S353" t="n">
        <x:f>IF(AND(AND(AND(ISNUMBER($F353),ISNUMBER($G353),$H353=$L353),$I353=$M353,NOT(AND($I353="Penales",$F353&lt;&gt;$G353))),$F353=$J353),Reglas!$B$7,0)</x:f>
        <x:v>0</x:v>
      </x:c>
      <x:c r="T353" t="n">
        <x:f>IF(AND(AND(AND(ISNUMBER($F353),ISNUMBER($G353),$H353=$L353),$I353=$M353,NOT(AND($I353="Penales",$F353&lt;&gt;$G353))),$G353=$K353),Reglas!$B$8,0)</x:f>
        <x:v>0</x:v>
      </x:c>
      <x:c r="U353" t="n">
        <x:f>SUM(N353:T353)</x:f>
        <x:v>0</x:v>
      </x:c>
      <x:c r="V353" t="str">
        <x:f>IF($W353="Sin respuesta","Sin envio",IF($U353&gt;0,"OK","Sin puntos"))</x:f>
        <x:v>Sin puntos</x:v>
      </x:c>
      <x:c r="W353" t="str">
        <x:v>Google Forms</x:v>
      </x:c>
    </x:row>
  </x:sheetData>
  <x:pageMargins left="0.7" right="0.7" top="0.75" bottom="0.75" header="0.3" footer="0.3"/>
  <x:tableParts count="1">
    <x:tablePart xmlns:r="http://schemas.openxmlformats.org/officeDocument/2006/relationships" r:id="R0421204c38e246f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25" hidden="0" customWidth="1"/>
    <x:col min="2" max="2" width="12.5" hidden="0" customWidth="1"/>
    <x:col min="3" max="3" width="18.25" hidden="0" customWidth="1"/>
    <x:col min="4" max="4" width="19.8799991607666" hidden="0" customWidth="1"/>
    <x:col min="5" max="5" width="17.75" hidden="0" customWidth="1"/>
    <x:col min="6" max="6" width="20.1299991607666" hidden="0" customWidth="1"/>
    <x:col min="7" max="7" width="18.25" hidden="0" customWidth="1"/>
  </x:cols>
  <x:sheetData>
    <x:row r="1" ht="15" hidden="0" customHeight="1">
      <x:c r="A1" s="3" t="str">
        <x:v>Participante</x:v>
      </x:c>
      <x:c r="B1" s="3" t="str">
        <x:v>Total puntos</x:v>
      </x:c>
      <x:c r="C1" s="3" t="str">
        <x:v>Marcadores exactos</x:v>
      </x:c>
      <x:c r="D1" s="3" t="str">
        <x:v>Clasificados acertados</x:v>
      </x:c>
      <x:c r="E1" s="3" t="str">
        <x:v>Metodos acertados</x:v>
      </x:c>
      <x:c r="F1" s="3" t="str">
        <x:v>Resultado 90 acertado</x:v>
      </x:c>
      <x:c r="G1" s="3" t="str">
        <x:v>Partidos pendientes</x:v>
      </x:c>
    </x:row>
    <x:row r="2" ht="15" hidden="0" customHeight="1">
      <x:c r="A2" t="str">
        <x:v>Jean</x:v>
      </x:c>
      <x:c r="B2" t="n">
        <x:v>75</x:v>
      </x:c>
      <x:c r="C2" t="n">
        <x:v>1</x:v>
      </x:c>
      <x:c r="D2" t="n">
        <x:v>6</x:v>
      </x:c>
      <x:c r="E2" t="n">
        <x:v>7</x:v>
      </x:c>
      <x:c r="F2" t="n">
        <x:v>6</x:v>
      </x:c>
      <x:c r="G2" t="n">
        <x:v>0</x:v>
      </x:c>
    </x:row>
    <x:row r="3" ht="15" hidden="0" customHeight="1">
      <x:c r="A3" t="str">
        <x:v>Freddy</x:v>
      </x:c>
      <x:c r="B3" t="n">
        <x:v>70</x:v>
      </x:c>
      <x:c r="C3" t="n">
        <x:v>0</x:v>
      </x:c>
      <x:c r="D3" t="n">
        <x:v>6</x:v>
      </x:c>
      <x:c r="E3" t="n">
        <x:v>7</x:v>
      </x:c>
      <x:c r="F3" t="n">
        <x:v>6</x:v>
      </x:c>
      <x:c r="G3" t="n">
        <x:v>0</x:v>
      </x:c>
    </x:row>
    <x:row r="4" ht="15" hidden="0" customHeight="1">
      <x:c r="A4" t="str">
        <x:v>Jorge</x:v>
      </x:c>
      <x:c r="B4" t="n">
        <x:v>61</x:v>
      </x:c>
      <x:c r="C4" t="n">
        <x:v>1</x:v>
      </x:c>
      <x:c r="D4" t="n">
        <x:v>5</x:v>
      </x:c>
      <x:c r="E4" t="n">
        <x:v>6</x:v>
      </x:c>
      <x:c r="F4" t="n">
        <x:v>5</x:v>
      </x:c>
      <x:c r="G4" t="n">
        <x:v>0</x:v>
      </x:c>
    </x:row>
    <x:row r="5" ht="15" hidden="0" customHeight="1">
      <x:c r="A5" t="str">
        <x:v>Gabriela</x:v>
      </x:c>
      <x:c r="B5" t="n">
        <x:v>61</x:v>
      </x:c>
      <x:c r="C5" t="n">
        <x:v>0</x:v>
      </x:c>
      <x:c r="D5" t="n">
        <x:v>7</x:v>
      </x:c>
      <x:c r="E5" t="n">
        <x:v>5</x:v>
      </x:c>
      <x:c r="F5" t="n">
        <x:v>5</x:v>
      </x:c>
      <x:c r="G5" t="n">
        <x:v>0</x:v>
      </x:c>
    </x:row>
    <x:row r="6" ht="15" hidden="0" customHeight="1">
      <x:c r="A6" t="str">
        <x:v>Jesús</x:v>
      </x:c>
      <x:c r="B6" t="n">
        <x:v>59</x:v>
      </x:c>
      <x:c r="C6" t="n">
        <x:v>0</x:v>
      </x:c>
      <x:c r="D6" t="n">
        <x:v>6</x:v>
      </x:c>
      <x:c r="E6" t="n">
        <x:v>6</x:v>
      </x:c>
      <x:c r="F6" t="n">
        <x:v>5</x:v>
      </x:c>
      <x:c r="G6" t="n">
        <x:v>0</x:v>
      </x:c>
    </x:row>
    <x:row r="7" ht="15" hidden="0" customHeight="1">
      <x:c r="A7" t="str">
        <x:v>Anny</x:v>
      </x:c>
      <x:c r="B7" t="n">
        <x:v>59</x:v>
      </x:c>
      <x:c r="C7" t="n">
        <x:v>0</x:v>
      </x:c>
      <x:c r="D7" t="n">
        <x:v>5</x:v>
      </x:c>
      <x:c r="E7" t="n">
        <x:v>6</x:v>
      </x:c>
      <x:c r="F7" t="n">
        <x:v>5</x:v>
      </x:c>
      <x:c r="G7" t="n">
        <x:v>0</x:v>
      </x:c>
    </x:row>
    <x:row r="8" ht="15" hidden="0" customHeight="1">
      <x:c r="A8" t="str">
        <x:v>Diego</x:v>
      </x:c>
      <x:c r="B8" t="n">
        <x:v>56</x:v>
      </x:c>
      <x:c r="C8" t="n">
        <x:v>0</x:v>
      </x:c>
      <x:c r="D8" t="n">
        <x:v>6</x:v>
      </x:c>
      <x:c r="E8" t="n">
        <x:v>5</x:v>
      </x:c>
      <x:c r="F8" t="n">
        <x:v>5</x:v>
      </x:c>
      <x:c r="G8" t="n">
        <x:v>0</x:v>
      </x:c>
    </x:row>
    <x:row r="9" ht="15" hidden="0" customHeight="1">
      <x:c r="A9" t="str">
        <x:v>Aldo</x:v>
      </x:c>
      <x:c r="B9" t="n">
        <x:v>50</x:v>
      </x:c>
      <x:c r="C9" t="n">
        <x:v>0</x:v>
      </x:c>
      <x:c r="D9" t="n">
        <x:v>4</x:v>
      </x:c>
      <x:c r="E9" t="n">
        <x:v>6</x:v>
      </x:c>
      <x:c r="F9" t="n">
        <x:v>4</x:v>
      </x:c>
      <x:c r="G9" t="n">
        <x:v>0</x:v>
      </x:c>
    </x:row>
    <x:row r="10" ht="15" hidden="0" customHeight="1">
      <x:c r="A10" t="str">
        <x:v>Alex</x:v>
      </x:c>
      <x:c r="B10" t="n">
        <x:v>49</x:v>
      </x:c>
      <x:c r="C10" t="n">
        <x:v>0</x:v>
      </x:c>
      <x:c r="D10" t="n">
        <x:v>7</x:v>
      </x:c>
      <x:c r="E10" t="n">
        <x:v>3</x:v>
      </x:c>
      <x:c r="F10" t="n">
        <x:v>4</x:v>
      </x:c>
      <x:c r="G10" t="n">
        <x:v>0</x:v>
      </x:c>
    </x:row>
    <x:row r="11" ht="15" hidden="0" customHeight="1">
      <x:c r="A11" t="str">
        <x:v>Javier</x:v>
      </x:c>
      <x:c r="B11" t="n">
        <x:v>44</x:v>
      </x:c>
      <x:c r="C11" t="n">
        <x:v>0</x:v>
      </x:c>
      <x:c r="D11" t="n">
        <x:v>4</x:v>
      </x:c>
      <x:c r="E11" t="n">
        <x:v>5</x:v>
      </x:c>
      <x:c r="F11" t="n">
        <x:v>4</x:v>
      </x:c>
      <x:c r="G11" t="n">
        <x:v>0</x:v>
      </x:c>
    </x:row>
    <x:row r="12" ht="15" hidden="0" customHeight="1">
      <x:c r="A12" t="str">
        <x:v>Gino</x:v>
      </x:c>
      <x:c r="B12" t="n">
        <x:v>42</x:v>
      </x:c>
      <x:c r="C12" t="n">
        <x:v>0</x:v>
      </x:c>
      <x:c r="D12" t="n">
        <x:v>6</x:v>
      </x:c>
      <x:c r="E12" t="n">
        <x:v>4</x:v>
      </x:c>
      <x:c r="F12" t="n">
        <x:v>3</x:v>
      </x:c>
      <x:c r="G12" t="n">
        <x:v>0</x:v>
      </x:c>
    </x:row>
    <x:row r="13" ht="15" hidden="0" customHeight="1">
      <x:c r="A13" t="str">
        <x:v>Manuel</x:v>
      </x:c>
      <x:c r="B13" t="n">
        <x:v>39</x:v>
      </x:c>
      <x:c r="C13" t="n">
        <x:v>1</x:v>
      </x:c>
      <x:c r="D13" t="n">
        <x:v>5</x:v>
      </x:c>
      <x:c r="E13" t="n">
        <x:v>2</x:v>
      </x:c>
      <x:c r="F13" t="n">
        <x:v>2</x:v>
      </x:c>
      <x:c r="G13" t="n">
        <x:v>0</x:v>
      </x:c>
    </x:row>
    <x:row r="14" ht="15" hidden="0" customHeight="1">
      <x:c r="A14" t="str">
        <x:v>Juan</x:v>
      </x:c>
      <x:c r="B14" t="n">
        <x:v>36</x:v>
      </x:c>
      <x:c r="C14" t="n">
        <x:v>0</x:v>
      </x:c>
      <x:c r="D14" t="n">
        <x:v>5</x:v>
      </x:c>
      <x:c r="E14" t="n">
        <x:v>3</x:v>
      </x:c>
      <x:c r="F14" t="n">
        <x:v>3</x:v>
      </x:c>
      <x:c r="G14" t="n">
        <x:v>0</x:v>
      </x:c>
    </x:row>
    <x:row r="15" ht="15" hidden="0" customHeight="1">
      <x:c r="A15" t="str">
        <x:v>Arthur</x:v>
      </x:c>
      <x:c r="B15" t="n">
        <x:v>35</x:v>
      </x:c>
      <x:c r="C15" t="n">
        <x:v>0</x:v>
      </x:c>
      <x:c r="D15" t="n">
        <x:v>5</x:v>
      </x:c>
      <x:c r="E15" t="n">
        <x:v>4</x:v>
      </x:c>
      <x:c r="F15" t="n">
        <x:v>2</x:v>
      </x:c>
      <x:c r="G15" t="n">
        <x:v>0</x:v>
      </x:c>
    </x:row>
    <x:row r="16" ht="15" hidden="0" customHeight="1">
      <x:c r="A16" t="str">
        <x:v>Óscar</x:v>
      </x:c>
      <x:c r="B16" t="n">
        <x:v>32</x:v>
      </x:c>
      <x:c r="C16" t="n">
        <x:v>0</x:v>
      </x:c>
      <x:c r="D16" t="n">
        <x:v>5</x:v>
      </x:c>
      <x:c r="E16" t="n">
        <x:v>2</x:v>
      </x:c>
      <x:c r="F16" t="n">
        <x:v>2</x:v>
      </x:c>
      <x:c r="G16" t="n">
        <x:v>0</x:v>
      </x:c>
    </x:row>
    <x:row r="17" ht="15" hidden="0" customHeight="1">
      <x:c r="A17" t="str">
        <x:v>Daniel</x:v>
      </x:c>
      <x:c r="B17" t="n">
        <x:v>32</x:v>
      </x:c>
      <x:c r="C17" t="n">
        <x:v>0</x:v>
      </x:c>
      <x:c r="D17" t="n">
        <x:v>2</x:v>
      </x:c>
      <x:c r="E17" t="n">
        <x:v>3</x:v>
      </x:c>
      <x:c r="F17" t="n">
        <x:v>3</x:v>
      </x:c>
      <x:c r="G17" t="n">
        <x:v>0</x:v>
      </x:c>
    </x:row>
    <x:row r="18" ht="15" hidden="0" customHeight="1">
      <x:c r="A18" t="str">
        <x:v>Moisés</x:v>
      </x:c>
      <x:c r="B18" t="n">
        <x:v>27</x:v>
      </x:c>
      <x:c r="C18" t="n">
        <x:v>0</x:v>
      </x:c>
      <x:c r="D18" t="n">
        <x:v>5</x:v>
      </x:c>
      <x:c r="E18" t="n">
        <x:v>1</x:v>
      </x:c>
      <x:c r="F18" t="n">
        <x:v>2</x:v>
      </x:c>
      <x:c r="G18" t="n">
        <x:v>0</x:v>
      </x:c>
    </x:row>
    <x:row r="19" ht="15" hidden="0" customHeight="1">
      <x:c r="A19" t="str">
        <x:v>Fernando</x:v>
      </x:c>
      <x:c r="B19" t="n">
        <x:v>25</x:v>
      </x:c>
      <x:c r="C19" t="n">
        <x:v>0</x:v>
      </x:c>
      <x:c r="D19" t="n">
        <x:v>3</x:v>
      </x:c>
      <x:c r="E19" t="n">
        <x:v>3</x:v>
      </x:c>
      <x:c r="F19" t="n">
        <x:v>2</x:v>
      </x:c>
      <x:c r="G19" t="n">
        <x:v>0</x:v>
      </x:c>
    </x:row>
    <x:row r="20" ht="15" hidden="0" customHeight="1">
      <x:c r="A20" t="str">
        <x:v>Diana</x:v>
      </x:c>
      <x:c r="B20" t="n">
        <x:v>25</x:v>
      </x:c>
      <x:c r="C20" t="n">
        <x:v>0</x:v>
      </x:c>
      <x:c r="D20" t="n">
        <x:v>3</x:v>
      </x:c>
      <x:c r="E20" t="n">
        <x:v>2</x:v>
      </x:c>
      <x:c r="F20" t="n">
        <x:v>2</x:v>
      </x:c>
      <x:c r="G20" t="n">
        <x:v>0</x:v>
      </x:c>
    </x:row>
    <x:row r="21" ht="15" hidden="0" customHeight="1">
      <x:c r="A21" t="str">
        <x:v>José Luis</x:v>
      </x:c>
      <x:c r="B21" t="n">
        <x:v>0</x:v>
      </x:c>
      <x:c r="C21" t="n">
        <x:v>0</x:v>
      </x:c>
      <x:c r="D21" t="n">
        <x:v>0</x:v>
      </x:c>
      <x:c r="E21" t="n">
        <x:v>0</x:v>
      </x:c>
      <x:c r="F21" t="n">
        <x:v>0</x:v>
      </x:c>
      <x:c r="G21" t="n">
        <x:v>0</x:v>
      </x:c>
    </x:row>
    <x:row r="22" ht="15" hidden="0" customHeight="1">
      <x:c r="A22" t="str">
        <x:v>Marcelo</x:v>
      </x:c>
      <x:c r="B22" t="n">
        <x:v>0</x:v>
      </x:c>
      <x:c r="C22" t="n">
        <x:v>0</x:v>
      </x:c>
      <x:c r="D22" t="n">
        <x:v>0</x:v>
      </x:c>
      <x:c r="E22" t="n">
        <x:v>0</x:v>
      </x:c>
      <x:c r="F22" t="n">
        <x:v>0</x:v>
      </x:c>
      <x:c r="G22" t="n">
        <x:v>0</x:v>
      </x:c>
    </x:row>
    <x:row r="23" ht="15" hidden="0" customHeight="1">
      <x:c r="A23" t="str">
        <x:v>Omar</x:v>
      </x:c>
      <x:c r="B23" t="n">
        <x:v>0</x:v>
      </x:c>
      <x:c r="C23" t="n">
        <x:v>0</x:v>
      </x:c>
      <x:c r="D23" t="n">
        <x:v>0</x:v>
      </x:c>
      <x:c r="E23" t="n">
        <x:v>0</x:v>
      </x:c>
      <x:c r="F23" t="n">
        <x:v>0</x:v>
      </x:c>
      <x:c r="G23" t="n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8e951f2b0fa54e1d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380000114440918" hidden="0" customWidth="1"/>
    <x:col min="2" max="2" width="8.630000114440918" hidden="0" customWidth="1"/>
    <x:col min="3" max="3" width="12.25" hidden="0" customWidth="1"/>
    <x:col min="4" max="4" width="11.880000114440918" hidden="0" customWidth="1"/>
    <x:col min="5" max="5" width="9.75" hidden="0" customWidth="1"/>
    <x:col min="6" max="6" width="10.880000114440918" hidden="0" customWidth="1"/>
    <x:col min="7" max="7" width="10.75" hidden="0" customWidth="1"/>
    <x:col min="8" max="8" width="18.75" hidden="0" customWidth="1"/>
    <x:col min="9" max="9" width="12.880000114440918" hidden="0" customWidth="1"/>
    <x:col min="10" max="10" width="9.380000114440918" hidden="0" customWidth="1"/>
    <x:col min="11" max="11" width="9.380000114440918" hidden="0" customWidth="1"/>
    <x:col min="12" max="12" width="16.25" hidden="0" customWidth="1"/>
    <x:col min="13" max="13" width="10.5" hidden="0" customWidth="1"/>
    <x:col min="14" max="14" width="7.75" hidden="0" customWidth="1"/>
    <x:col min="15" max="15" width="9.880000114440918" hidden="0" customWidth="1"/>
    <x:col min="16" max="16" width="8.25" hidden="0" customWidth="1"/>
    <x:col min="17" max="17" width="13.25" hidden="0" customWidth="1"/>
    <x:col min="18" max="18" width="8" hidden="0" customWidth="1"/>
    <x:col min="19" max="19" width="10" hidden="0" customWidth="1"/>
    <x:col min="20" max="20" width="9.880000114440918" hidden="0" customWidth="1"/>
    <x:col min="21" max="21" width="6.75" hidden="0" customWidth="1"/>
    <x:col min="22" max="22" width="41.130001068115234" hidden="0" customWidth="1"/>
    <x:col min="23" max="23" width="17.3799991607666" hidden="0" customWidth="1"/>
  </x:cols>
  <x:sheetData>
    <x:row r="1" ht="15" hidden="0" customHeight="1">
      <x:c r="A1" s="3" t="str">
        <x:v>Fase</x:v>
      </x:c>
      <x:c r="B1" s="3" t="str">
        <x:v>Partido</x:v>
      </x:c>
      <x:c r="C1" s="3" t="str">
        <x:v>Participante</x:v>
      </x:c>
      <x:c r="D1" s="3" t="str">
        <x:v>Equipo A</x:v>
      </x:c>
      <x:c r="E1" s="3" t="str">
        <x:v>Equipo B</x:v>
      </x:c>
      <x:c r="F1" s="3" t="str">
        <x:v>Apuesta A</x:v>
      </x:c>
      <x:c r="G1" s="3" t="str">
        <x:v>Apuesta B</x:v>
      </x:c>
      <x:c r="H1" s="3" t="str">
        <x:v>Clasificado apostado</x:v>
      </x:c>
      <x:c r="I1" s="3" t="str">
        <x:v>Via apostada</x:v>
      </x:c>
      <x:c r="J1" s="3" t="str">
        <x:v>Oficial A</x:v>
      </x:c>
      <x:c r="K1" s="3" t="str">
        <x:v>Oficial B</x:v>
      </x:c>
      <x:c r="L1" s="3" t="str">
        <x:v>Clasificado oficial</x:v>
      </x:c>
      <x:c r="M1" s="3" t="str">
        <x:v>Via oficial</x:v>
      </x:c>
      <x:c r="N1" s="3" t="str">
        <x:v>Pts 90</x:v>
      </x:c>
      <x:c r="O1" s="3" t="str">
        <x:v>Pts Clasif</x:v>
      </x:c>
      <x:c r="P1" s="3" t="str">
        <x:v>Pts Via</x:v>
      </x:c>
      <x:c r="Q1" s="3" t="str">
        <x:v>Pts Marcador</x:v>
      </x:c>
      <x:c r="R1" s="3" t="str">
        <x:v>Pts Dif</x:v>
      </x:c>
      <x:c r="S1" s="3" t="str">
        <x:v>Pts Gol A</x:v>
      </x:c>
      <x:c r="T1" s="3" t="str">
        <x:v>Pts Gol B</x:v>
      </x:c>
      <x:c r="U1" s="3" t="str">
        <x:v>Total</x:v>
      </x:c>
      <x:c r="V1" s="3" t="str">
        <x:v>Nota</x:v>
      </x:c>
      <x:c r="W1" s="3" t="str">
        <x:v>Fuente</x:v>
      </x:c>
    </x:row>
    <x:row r="2" ht="15" hidden="0" customHeight="1">
      <x:c r="A2" t="str">
        <x:v>8vos</x:v>
      </x:c>
      <x:c r="B2" t="str">
        <x:v>O1</x:v>
      </x:c>
      <x:c r="C2" t="str">
        <x:v>Freddy</x:v>
      </x:c>
      <x:c r="D2" t="str">
        <x:v>Canadá</x:v>
      </x:c>
      <x:c r="E2" t="str">
        <x:v>Marruecos</x:v>
      </x:c>
      <x:c r="F2" t="n">
        <x:v>0</x:v>
      </x:c>
      <x:c r="G2" t="n">
        <x:v>1</x:v>
      </x:c>
      <x:c r="H2" t="str">
        <x:v>Marruecos</x:v>
      </x:c>
      <x:c r="I2" t="str">
        <x:v>90 minutos</x:v>
      </x:c>
      <x:c r="J2" t="n">
        <x:v>0</x:v>
      </x:c>
      <x:c r="K2" t="n">
        <x:v>3</x:v>
      </x:c>
      <x:c r="L2" t="str">
        <x:v>Marruecos</x:v>
      </x:c>
      <x:c r="M2" t="str">
        <x:v>90 minutos</x:v>
      </x:c>
      <x:c r="N2" t="n">
        <x:v>5</x:v>
      </x:c>
      <x:c r="O2" t="n">
        <x:v>3</x:v>
      </x:c>
      <x:c r="P2" t="n">
        <x:v>2</x:v>
      </x:c>
      <x:c r="Q2" t="n">
        <x:v>0</x:v>
      </x:c>
      <x:c r="R2" t="n">
        <x:v>0</x:v>
      </x:c>
      <x:c r="S2" t="n">
        <x:v>1</x:v>
      </x:c>
      <x:c r="T2" t="n">
        <x:v>0</x:v>
      </x:c>
      <x:c r="U2" t="n">
        <x:f>SUM(N2:T2)</x:f>
        <x:v>11</x:v>
      </x:c>
      <x:c r="V2" t="str">
        <x:v>OK</x:v>
      </x:c>
      <x:c r="W2" t="str">
        <x:v>Detalle 8vos publicado</x:v>
      </x:c>
    </x:row>
    <x:row r="3" ht="15" hidden="0" customHeight="1">
      <x:c r="A3" t="str">
        <x:v>8vos</x:v>
      </x:c>
      <x:c r="B3" t="str">
        <x:v>O2</x:v>
      </x:c>
      <x:c r="C3" t="str">
        <x:v>Freddy</x:v>
      </x:c>
      <x:c r="D3" t="str">
        <x:v>Paraguay</x:v>
      </x:c>
      <x:c r="E3" t="str">
        <x:v>Francia</x:v>
      </x:c>
      <x:c r="F3" t="n">
        <x:v>1</x:v>
      </x:c>
      <x:c r="G3" t="n">
        <x:v>2</x:v>
      </x:c>
      <x:c r="H3" t="str">
        <x:v>Francia</x:v>
      </x:c>
      <x:c r="I3" t="str">
        <x:v>90 minutos</x:v>
      </x:c>
      <x:c r="J3" t="n">
        <x:v>0</x:v>
      </x:c>
      <x:c r="K3" t="n">
        <x:v>1</x:v>
      </x:c>
      <x:c r="L3" t="str">
        <x:v>Francia</x:v>
      </x:c>
      <x:c r="M3" t="str">
        <x:v>90 minutos</x:v>
      </x:c>
      <x:c r="N3" t="n">
        <x:v>5</x:v>
      </x:c>
      <x:c r="O3" t="n">
        <x:v>3</x:v>
      </x:c>
      <x:c r="P3" t="n">
        <x:v>2</x:v>
      </x:c>
      <x:c r="Q3" t="n">
        <x:v>0</x:v>
      </x:c>
      <x:c r="R3" t="n">
        <x:v>2</x:v>
      </x:c>
      <x:c r="S3" t="n">
        <x:v>0</x:v>
      </x:c>
      <x:c r="T3" t="n">
        <x:v>0</x:v>
      </x:c>
      <x:c r="U3" t="n">
        <x:f>SUM(N3:T3)</x:f>
        <x:v>12</x:v>
      </x:c>
      <x:c r="V3" t="str">
        <x:v>OK</x:v>
      </x:c>
      <x:c r="W3" t="str">
        <x:v>Detalle 8vos publicado</x:v>
      </x:c>
    </x:row>
    <x:row r="4" ht="15" hidden="0" customHeight="1">
      <x:c r="A4" t="str">
        <x:v>8vos</x:v>
      </x:c>
      <x:c r="B4" t="str">
        <x:v>O3</x:v>
      </x:c>
      <x:c r="C4" t="str">
        <x:v>Freddy</x:v>
      </x:c>
      <x:c r="D4" t="str">
        <x:v>Brasil</x:v>
      </x:c>
      <x:c r="E4" t="str">
        <x:v>Noruega</x:v>
      </x:c>
      <x:c r="F4" t="n">
        <x:v>2</x:v>
      </x:c>
      <x:c r="G4" t="n">
        <x:v>1</x:v>
      </x:c>
      <x:c r="H4" t="str">
        <x:v>Brasil</x:v>
      </x:c>
      <x:c r="I4" t="str">
        <x:v>90 minutos</x:v>
      </x:c>
      <x:c r="J4" t="n">
        <x:v>1</x:v>
      </x:c>
      <x:c r="K4" t="n">
        <x:v>2</x:v>
      </x:c>
      <x:c r="L4" t="str">
        <x:v>Noruega</x:v>
      </x:c>
      <x:c r="M4" t="str">
        <x:v>90 minutos</x:v>
      </x:c>
      <x:c r="N4" t="n">
        <x:v>0</x:v>
      </x:c>
      <x:c r="O4" t="n">
        <x:v>0</x:v>
      </x:c>
      <x:c r="P4" t="n">
        <x:v>2</x:v>
      </x:c>
      <x:c r="Q4" t="n">
        <x:v>0</x:v>
      </x:c>
      <x:c r="R4" t="n">
        <x:v>0</x:v>
      </x:c>
      <x:c r="S4" t="n">
        <x:v>0</x:v>
      </x:c>
      <x:c r="T4" t="n">
        <x:v>0</x:v>
      </x:c>
      <x:c r="U4" t="n">
        <x:f>SUM(N4:T4)</x:f>
        <x:v>2</x:v>
      </x:c>
      <x:c r="V4" t="str">
        <x:v>OK</x:v>
      </x:c>
      <x:c r="W4" t="str">
        <x:v>Detalle 8vos publicado</x:v>
      </x:c>
    </x:row>
    <x:row r="5" ht="15" hidden="0" customHeight="1">
      <x:c r="A5" t="str">
        <x:v>8vos</x:v>
      </x:c>
      <x:c r="B5" t="str">
        <x:v>O4</x:v>
      </x:c>
      <x:c r="C5" t="str">
        <x:v>Freddy</x:v>
      </x:c>
      <x:c r="D5" t="str">
        <x:v>México</x:v>
      </x:c>
      <x:c r="E5" t="str">
        <x:v>Inglaterra</x:v>
      </x:c>
      <x:c r="F5" t="n">
        <x:v>1</x:v>
      </x:c>
      <x:c r="G5" t="n">
        <x:v>2</x:v>
      </x:c>
      <x:c r="H5" t="str">
        <x:v>Inglaterra</x:v>
      </x:c>
      <x:c r="I5" t="str">
        <x:v>90 minutos</x:v>
      </x:c>
      <x:c r="J5" t="n">
        <x:v>2</x:v>
      </x:c>
      <x:c r="K5" t="n">
        <x:v>3</x:v>
      </x:c>
      <x:c r="L5" t="str">
        <x:v>Inglaterra</x:v>
      </x:c>
      <x:c r="M5" t="str">
        <x:v>90 minutos</x:v>
      </x:c>
      <x:c r="N5" t="n">
        <x:v>5</x:v>
      </x:c>
      <x:c r="O5" t="n">
        <x:v>3</x:v>
      </x:c>
      <x:c r="P5" t="n">
        <x:v>2</x:v>
      </x:c>
      <x:c r="Q5" t="n">
        <x:v>0</x:v>
      </x:c>
      <x:c r="R5" t="n">
        <x:v>2</x:v>
      </x:c>
      <x:c r="S5" t="n">
        <x:v>0</x:v>
      </x:c>
      <x:c r="T5" t="n">
        <x:v>0</x:v>
      </x:c>
      <x:c r="U5" t="n">
        <x:f>SUM(N5:T5)</x:f>
        <x:v>12</x:v>
      </x:c>
      <x:c r="V5" t="str">
        <x:v>OK</x:v>
      </x:c>
      <x:c r="W5" t="str">
        <x:v>Detalle 8vos publicado</x:v>
      </x:c>
    </x:row>
    <x:row r="6" ht="15" hidden="0" customHeight="1">
      <x:c r="A6" t="str">
        <x:v>8vos</x:v>
      </x:c>
      <x:c r="B6" t="str">
        <x:v>O5</x:v>
      </x:c>
      <x:c r="C6" t="str">
        <x:v>Freddy</x:v>
      </x:c>
      <x:c r="D6" t="str">
        <x:v>Estados Unidos</x:v>
      </x:c>
      <x:c r="E6" t="str">
        <x:v>Bélgica</x:v>
      </x:c>
      <x:c r="F6" t="n">
        <x:v>1</x:v>
      </x:c>
      <x:c r="G6" t="n">
        <x:v>2</x:v>
      </x:c>
      <x:c r="H6" t="str">
        <x:v>Bélgica</x:v>
      </x:c>
      <x:c r="I6" t="str">
        <x:v>90 minutos</x:v>
      </x:c>
      <x:c r="J6" t="n">
        <x:v>1</x:v>
      </x:c>
      <x:c r="K6" t="n">
        <x:v>4</x:v>
      </x:c>
      <x:c r="L6" t="str">
        <x:v>Bélgica</x:v>
      </x:c>
      <x:c r="M6" t="str">
        <x:v>90 minutos</x:v>
      </x:c>
      <x:c r="N6" t="n">
        <x:v>5</x:v>
      </x:c>
      <x:c r="O6" t="n">
        <x:v>3</x:v>
      </x:c>
      <x:c r="P6" t="n">
        <x:v>2</x:v>
      </x:c>
      <x:c r="Q6" t="n">
        <x:v>0</x:v>
      </x:c>
      <x:c r="R6" t="n">
        <x:v>0</x:v>
      </x:c>
      <x:c r="S6" t="n">
        <x:v>1</x:v>
      </x:c>
      <x:c r="T6" t="n">
        <x:v>0</x:v>
      </x:c>
      <x:c r="U6" t="n">
        <x:f>SUM(N6:T6)</x:f>
        <x:v>11</x:v>
      </x:c>
      <x:c r="V6" t="str">
        <x:v>OK</x:v>
      </x:c>
      <x:c r="W6" t="str">
        <x:v>Detalle 8vos publicado</x:v>
      </x:c>
    </x:row>
    <x:row r="7" ht="15" hidden="0" customHeight="1">
      <x:c r="A7" t="str">
        <x:v>8vos</x:v>
      </x:c>
      <x:c r="B7" t="str">
        <x:v>O6</x:v>
      </x:c>
      <x:c r="C7" t="str">
        <x:v>Freddy</x:v>
      </x:c>
      <x:c r="D7" t="str">
        <x:v>Portugal</x:v>
      </x:c>
      <x:c r="E7" t="str">
        <x:v>España</x:v>
      </x:c>
      <x:c r="F7" t="n">
        <x:v>1</x:v>
      </x:c>
      <x:c r="G7" t="n">
        <x:v>2</x:v>
      </x:c>
      <x:c r="H7" t="str">
        <x:v>España</x:v>
      </x:c>
      <x:c r="I7" t="str">
        <x:v>90 minutos</x:v>
      </x:c>
      <x:c r="J7" t="n">
        <x:v>0</x:v>
      </x:c>
      <x:c r="K7" t="n">
        <x:v>1</x:v>
      </x:c>
      <x:c r="L7" t="str">
        <x:v>España</x:v>
      </x:c>
      <x:c r="M7" t="str">
        <x:v>90 minutos</x:v>
      </x:c>
      <x:c r="N7" t="n">
        <x:v>5</x:v>
      </x:c>
      <x:c r="O7" t="n">
        <x:v>3</x:v>
      </x:c>
      <x:c r="P7" t="n">
        <x:v>2</x:v>
      </x:c>
      <x:c r="Q7" t="n">
        <x:v>0</x:v>
      </x:c>
      <x:c r="R7" t="n">
        <x:v>2</x:v>
      </x:c>
      <x:c r="S7" t="n">
        <x:v>0</x:v>
      </x:c>
      <x:c r="T7" t="n">
        <x:v>0</x:v>
      </x:c>
      <x:c r="U7" t="n">
        <x:f>SUM(N7:T7)</x:f>
        <x:v>12</x:v>
      </x:c>
      <x:c r="V7" t="str">
        <x:v>OK</x:v>
      </x:c>
      <x:c r="W7" t="str">
        <x:v>Detalle 8vos publicado</x:v>
      </x:c>
    </x:row>
    <x:row r="8" ht="15" hidden="0" customHeight="1">
      <x:c r="A8" t="str">
        <x:v>8vos</x:v>
      </x:c>
      <x:c r="B8" t="str">
        <x:v>O7</x:v>
      </x:c>
      <x:c r="C8" t="str">
        <x:v>Freddy</x:v>
      </x:c>
      <x:c r="D8" t="str">
        <x:v>Suiza</x:v>
      </x:c>
      <x:c r="E8" t="str">
        <x:v>Colombia</x:v>
      </x:c>
      <x:c r="F8" t="n">
        <x:v>1</x:v>
      </x:c>
      <x:c r="G8" t="n">
        <x:v>2</x:v>
      </x:c>
      <x:c r="H8" t="str">
        <x:v>Colombia</x:v>
      </x:c>
      <x:c r="I8" t="str">
        <x:v>90 minutos</x:v>
      </x:c>
      <x:c r="J8" t="n">
        <x:v>0</x:v>
      </x:c>
      <x:c r="K8" t="n">
        <x:v>0</x:v>
      </x:c>
      <x:c r="L8" t="str">
        <x:v>Suiza</x:v>
      </x:c>
      <x:c r="M8" t="str">
        <x:v>Penales</x:v>
      </x:c>
      <x:c r="N8" t="n">
        <x:v>0</x:v>
      </x:c>
      <x:c r="O8" t="n">
        <x:v>0</x:v>
      </x:c>
      <x:c r="P8" t="n">
        <x:v>0</x:v>
      </x:c>
      <x:c r="Q8" t="n">
        <x:v>0</x:v>
      </x:c>
      <x:c r="R8" t="n">
        <x:v>0</x:v>
      </x:c>
      <x:c r="S8" t="n">
        <x:v>0</x:v>
      </x:c>
      <x:c r="T8" t="n">
        <x:v>0</x:v>
      </x:c>
      <x:c r="U8" t="n">
        <x:f>SUM(N8:T8)</x:f>
        <x:v>0</x:v>
      </x:c>
      <x:c r="V8" t="str">
        <x:v>OK</x:v>
      </x:c>
      <x:c r="W8" t="str">
        <x:v>Detalle 8vos publicado</x:v>
      </x:c>
    </x:row>
    <x:row r="9" ht="15" hidden="0" customHeight="1">
      <x:c r="A9" t="str">
        <x:v>8vos</x:v>
      </x:c>
      <x:c r="B9" t="str">
        <x:v>O8</x:v>
      </x:c>
      <x:c r="C9" t="str">
        <x:v>Freddy</x:v>
      </x:c>
      <x:c r="D9" t="str">
        <x:v>Argentina</x:v>
      </x:c>
      <x:c r="E9" t="str">
        <x:v>Egipto</x:v>
      </x:c>
      <x:c r="F9" t="n">
        <x:v>2</x:v>
      </x:c>
      <x:c r="G9" t="n">
        <x:v>0</x:v>
      </x:c>
      <x:c r="H9" t="str">
        <x:v>Argentina</x:v>
      </x:c>
      <x:c r="I9" t="str">
        <x:v>90 minutos</x:v>
      </x:c>
      <x:c r="J9" t="n">
        <x:v>3</x:v>
      </x:c>
      <x:c r="K9" t="n">
        <x:v>2</x:v>
      </x:c>
      <x:c r="L9" t="str">
        <x:v>Argentina</x:v>
      </x:c>
      <x:c r="M9" t="str">
        <x:v>90 minutos</x:v>
      </x:c>
      <x:c r="N9" t="n">
        <x:v>5</x:v>
      </x:c>
      <x:c r="O9" t="n">
        <x:v>3</x:v>
      </x:c>
      <x:c r="P9" t="n">
        <x:v>2</x:v>
      </x:c>
      <x:c r="Q9" t="n">
        <x:v>0</x:v>
      </x:c>
      <x:c r="R9" t="n">
        <x:v>0</x:v>
      </x:c>
      <x:c r="S9" t="n">
        <x:v>0</x:v>
      </x:c>
      <x:c r="T9" t="n">
        <x:v>0</x:v>
      </x:c>
      <x:c r="U9" t="n">
        <x:f>SUM(N9:T9)</x:f>
        <x:v>10</x:v>
      </x:c>
      <x:c r="V9" t="str">
        <x:v>OK</x:v>
      </x:c>
      <x:c r="W9" t="str">
        <x:v>Detalle 8vos publicado</x:v>
      </x:c>
    </x:row>
    <x:row r="10" ht="15" hidden="0" customHeight="1">
      <x:c r="A10" t="str">
        <x:v>8vos</x:v>
      </x:c>
      <x:c r="B10" t="str">
        <x:v>O1</x:v>
      </x:c>
      <x:c r="C10" t="str">
        <x:v>Gabriela</x:v>
      </x:c>
      <x:c r="D10" t="str">
        <x:v>Canadá</x:v>
      </x:c>
      <x:c r="E10" t="str">
        <x:v>Marruecos</x:v>
      </x:c>
      <x:c r="F10" t="n">
        <x:v>0</x:v>
      </x:c>
      <x:c r="G10" t="n">
        <x:v>1</x:v>
      </x:c>
      <x:c r="H10" t="str">
        <x:v>Marruecos</x:v>
      </x:c>
      <x:c r="I10" t="str">
        <x:v>90 minutos</x:v>
      </x:c>
      <x:c r="J10" t="n">
        <x:v>0</x:v>
      </x:c>
      <x:c r="K10" t="n">
        <x:v>3</x:v>
      </x:c>
      <x:c r="L10" t="str">
        <x:v>Marruecos</x:v>
      </x:c>
      <x:c r="M10" t="str">
        <x:v>90 minutos</x:v>
      </x:c>
      <x:c r="N10" t="n">
        <x:v>5</x:v>
      </x:c>
      <x:c r="O10" t="n">
        <x:v>3</x:v>
      </x:c>
      <x:c r="P10" t="n">
        <x:v>2</x:v>
      </x:c>
      <x:c r="Q10" t="n">
        <x:v>0</x:v>
      </x:c>
      <x:c r="R10" t="n">
        <x:v>0</x:v>
      </x:c>
      <x:c r="S10" t="n">
        <x:v>1</x:v>
      </x:c>
      <x:c r="T10" t="n">
        <x:v>0</x:v>
      </x:c>
      <x:c r="U10" t="n">
        <x:f>SUM(N10:T10)</x:f>
        <x:v>11</x:v>
      </x:c>
      <x:c r="V10" t="str">
        <x:v>OK</x:v>
      </x:c>
      <x:c r="W10" t="str">
        <x:v>Detalle 8vos publicado</x:v>
      </x:c>
    </x:row>
    <x:row r="11" ht="15" hidden="0" customHeight="1">
      <x:c r="A11" t="str">
        <x:v>8vos</x:v>
      </x:c>
      <x:c r="B11" t="str">
        <x:v>O2</x:v>
      </x:c>
      <x:c r="C11" t="str">
        <x:v>Gabriela</x:v>
      </x:c>
      <x:c r="D11" t="str">
        <x:v>Paraguay</x:v>
      </x:c>
      <x:c r="E11" t="str">
        <x:v>Francia</x:v>
      </x:c>
      <x:c r="F11" t="n">
        <x:v>1</x:v>
      </x:c>
      <x:c r="G11" t="n">
        <x:v>2</x:v>
      </x:c>
      <x:c r="H11" t="str">
        <x:v>Francia</x:v>
      </x:c>
      <x:c r="I11" t="str">
        <x:v>90 minutos</x:v>
      </x:c>
      <x:c r="J11" t="n">
        <x:v>0</x:v>
      </x:c>
      <x:c r="K11" t="n">
        <x:v>1</x:v>
      </x:c>
      <x:c r="L11" t="str">
        <x:v>Francia</x:v>
      </x:c>
      <x:c r="M11" t="str">
        <x:v>90 minutos</x:v>
      </x:c>
      <x:c r="N11" t="n">
        <x:v>5</x:v>
      </x:c>
      <x:c r="O11" t="n">
        <x:v>3</x:v>
      </x:c>
      <x:c r="P11" t="n">
        <x:v>2</x:v>
      </x:c>
      <x:c r="Q11" t="n">
        <x:v>0</x:v>
      </x:c>
      <x:c r="R11" t="n">
        <x:v>2</x:v>
      </x:c>
      <x:c r="S11" t="n">
        <x:v>0</x:v>
      </x:c>
      <x:c r="T11" t="n">
        <x:v>0</x:v>
      </x:c>
      <x:c r="U11" t="n">
        <x:f>SUM(N11:T11)</x:f>
        <x:v>12</x:v>
      </x:c>
      <x:c r="V11" t="str">
        <x:v>OK</x:v>
      </x:c>
      <x:c r="W11" t="str">
        <x:v>Detalle 8vos publicado</x:v>
      </x:c>
    </x:row>
    <x:row r="12" ht="15" hidden="0" customHeight="1">
      <x:c r="A12" t="str">
        <x:v>8vos</x:v>
      </x:c>
      <x:c r="B12" t="str">
        <x:v>O3</x:v>
      </x:c>
      <x:c r="C12" t="str">
        <x:v>Gabriela</x:v>
      </x:c>
      <x:c r="D12" t="str">
        <x:v>Brasil</x:v>
      </x:c>
      <x:c r="E12" t="str">
        <x:v>Noruega</x:v>
      </x:c>
      <x:c r="F12" t="n">
        <x:v>2</x:v>
      </x:c>
      <x:c r="G12" t="n">
        <x:v>2</x:v>
      </x:c>
      <x:c r="H12" t="str">
        <x:v>Noruega</x:v>
      </x:c>
      <x:c r="I12" t="str">
        <x:v>Penales</x:v>
      </x:c>
      <x:c r="J12" t="n">
        <x:v>1</x:v>
      </x:c>
      <x:c r="K12" t="n">
        <x:v>2</x:v>
      </x:c>
      <x:c r="L12" t="str">
        <x:v>Noruega</x:v>
      </x:c>
      <x:c r="M12" t="str">
        <x:v>90 minutos</x:v>
      </x:c>
      <x:c r="N12" t="n">
        <x:v>0</x:v>
      </x:c>
      <x:c r="O12" t="n">
        <x:v>3</x:v>
      </x:c>
      <x:c r="P12" t="n">
        <x:v>0</x:v>
      </x:c>
      <x:c r="Q12" t="n">
        <x:v>0</x:v>
      </x:c>
      <x:c r="R12" t="n">
        <x:v>0</x:v>
      </x:c>
      <x:c r="S12" t="n">
        <x:v>0</x:v>
      </x:c>
      <x:c r="T12" t="n">
        <x:v>1</x:v>
      </x:c>
      <x:c r="U12" t="n">
        <x:f>SUM(N12:T12)</x:f>
        <x:v>4</x:v>
      </x:c>
      <x:c r="V12" t="str">
        <x:v>OK</x:v>
      </x:c>
      <x:c r="W12" t="str">
        <x:v>Detalle 8vos publicado</x:v>
      </x:c>
    </x:row>
    <x:row r="13" ht="15" hidden="0" customHeight="1">
      <x:c r="A13" t="str">
        <x:v>8vos</x:v>
      </x:c>
      <x:c r="B13" t="str">
        <x:v>O4</x:v>
      </x:c>
      <x:c r="C13" t="str">
        <x:v>Gabriela</x:v>
      </x:c>
      <x:c r="D13" t="str">
        <x:v>México</x:v>
      </x:c>
      <x:c r="E13" t="str">
        <x:v>Inglaterra</x:v>
      </x:c>
      <x:c r="F13" t="n">
        <x:v>1</x:v>
      </x:c>
      <x:c r="G13" t="n">
        <x:v>3</x:v>
      </x:c>
      <x:c r="H13" t="str">
        <x:v>Inglaterra</x:v>
      </x:c>
      <x:c r="I13" t="str">
        <x:v>90 minutos</x:v>
      </x:c>
      <x:c r="J13" t="n">
        <x:v>2</x:v>
      </x:c>
      <x:c r="K13" t="n">
        <x:v>3</x:v>
      </x:c>
      <x:c r="L13" t="str">
        <x:v>Inglaterra</x:v>
      </x:c>
      <x:c r="M13" t="str">
        <x:v>90 minutos</x:v>
      </x:c>
      <x:c r="N13" t="n">
        <x:v>5</x:v>
      </x:c>
      <x:c r="O13" t="n">
        <x:v>3</x:v>
      </x:c>
      <x:c r="P13" t="n">
        <x:v>2</x:v>
      </x:c>
      <x:c r="Q13" t="n">
        <x:v>0</x:v>
      </x:c>
      <x:c r="R13" t="n">
        <x:v>0</x:v>
      </x:c>
      <x:c r="S13" t="n">
        <x:v>0</x:v>
      </x:c>
      <x:c r="T13" t="n">
        <x:v>1</x:v>
      </x:c>
      <x:c r="U13" t="n">
        <x:f>SUM(N13:T13)</x:f>
        <x:v>11</x:v>
      </x:c>
      <x:c r="V13" t="str">
        <x:v>OK</x:v>
      </x:c>
      <x:c r="W13" t="str">
        <x:v>Detalle 8vos publicado</x:v>
      </x:c>
    </x:row>
    <x:row r="14" ht="15" hidden="0" customHeight="1">
      <x:c r="A14" t="str">
        <x:v>8vos</x:v>
      </x:c>
      <x:c r="B14" t="str">
        <x:v>O5</x:v>
      </x:c>
      <x:c r="C14" t="str">
        <x:v>Gabriela</x:v>
      </x:c>
      <x:c r="D14" t="str">
        <x:v>Estados Unidos</x:v>
      </x:c>
      <x:c r="E14" t="str">
        <x:v>Bélgica</x:v>
      </x:c>
      <x:c r="F14" t="n">
        <x:v>2</x:v>
      </x:c>
      <x:c r="G14" t="n">
        <x:v>3</x:v>
      </x:c>
      <x:c r="H14" t="str">
        <x:v>Bélgica</x:v>
      </x:c>
      <x:c r="I14" t="str">
        <x:v>90 minutos</x:v>
      </x:c>
      <x:c r="J14" t="n">
        <x:v>1</x:v>
      </x:c>
      <x:c r="K14" t="n">
        <x:v>4</x:v>
      </x:c>
      <x:c r="L14" t="str">
        <x:v>Bélgica</x:v>
      </x:c>
      <x:c r="M14" t="str">
        <x:v>90 minutos</x:v>
      </x:c>
      <x:c r="N14" t="n">
        <x:v>5</x:v>
      </x:c>
      <x:c r="O14" t="n">
        <x:v>3</x:v>
      </x:c>
      <x:c r="P14" t="n">
        <x:v>2</x:v>
      </x:c>
      <x:c r="Q14" t="n">
        <x:v>0</x:v>
      </x:c>
      <x:c r="R14" t="n">
        <x:v>0</x:v>
      </x:c>
      <x:c r="S14" t="n">
        <x:v>0</x:v>
      </x:c>
      <x:c r="T14" t="n">
        <x:v>0</x:v>
      </x:c>
      <x:c r="U14" t="n">
        <x:f>SUM(N14:T14)</x:f>
        <x:v>10</x:v>
      </x:c>
      <x:c r="V14" t="str">
        <x:v>OK</x:v>
      </x:c>
      <x:c r="W14" t="str">
        <x:v>Detalle 8vos publicado</x:v>
      </x:c>
    </x:row>
    <x:row r="15" ht="15" hidden="0" customHeight="1">
      <x:c r="A15" t="str">
        <x:v>8vos</x:v>
      </x:c>
      <x:c r="B15" t="str">
        <x:v>O6</x:v>
      </x:c>
      <x:c r="C15" t="str">
        <x:v>Gabriela</x:v>
      </x:c>
      <x:c r="D15" t="str">
        <x:v>Portugal</x:v>
      </x:c>
      <x:c r="E15" t="str">
        <x:v>España</x:v>
      </x:c>
      <x:c r="F15" t="n">
        <x:v>2</x:v>
      </x:c>
      <x:c r="G15" t="n">
        <x:v>2</x:v>
      </x:c>
      <x:c r="H15" t="str">
        <x:v>España</x:v>
      </x:c>
      <x:c r="I15" t="str">
        <x:v>Penales</x:v>
      </x:c>
      <x:c r="J15" t="n">
        <x:v>0</x:v>
      </x:c>
      <x:c r="K15" t="n">
        <x:v>1</x:v>
      </x:c>
      <x:c r="L15" t="str">
        <x:v>España</x:v>
      </x:c>
      <x:c r="M15" t="str">
        <x:v>90 minutos</x:v>
      </x:c>
      <x:c r="N15" t="n">
        <x:v>0</x:v>
      </x:c>
      <x:c r="O15" t="n">
        <x:v>3</x:v>
      </x:c>
      <x:c r="P15" t="n">
        <x:v>0</x:v>
      </x:c>
      <x:c r="Q15" t="n">
        <x:v>0</x:v>
      </x:c>
      <x:c r="R15" t="n">
        <x:v>0</x:v>
      </x:c>
      <x:c r="S15" t="n">
        <x:v>0</x:v>
      </x:c>
      <x:c r="T15" t="n">
        <x:v>0</x:v>
      </x:c>
      <x:c r="U15" t="n">
        <x:f>SUM(N15:T15)</x:f>
        <x:v>3</x:v>
      </x:c>
      <x:c r="V15" t="str">
        <x:v>OK</x:v>
      </x:c>
      <x:c r="W15" t="str">
        <x:v>Detalle 8vos publicado</x:v>
      </x:c>
    </x:row>
    <x:row r="16" ht="15" hidden="0" customHeight="1">
      <x:c r="A16" t="str">
        <x:v>8vos</x:v>
      </x:c>
      <x:c r="B16" t="str">
        <x:v>O7</x:v>
      </x:c>
      <x:c r="C16" t="str">
        <x:v>Gabriela</x:v>
      </x:c>
      <x:c r="D16" t="str">
        <x:v>Suiza</x:v>
      </x:c>
      <x:c r="E16" t="str">
        <x:v>Colombia</x:v>
      </x:c>
      <x:c r="F16" t="n">
        <x:v>0</x:v>
      </x:c>
      <x:c r="G16" t="n">
        <x:v>2</x:v>
      </x:c>
      <x:c r="H16" t="str">
        <x:v>Colombia</x:v>
      </x:c>
      <x:c r="I16" t="str">
        <x:v>90 minutos</x:v>
      </x:c>
      <x:c r="J16" t="n">
        <x:v>0</x:v>
      </x:c>
      <x:c r="K16" t="n">
        <x:v>0</x:v>
      </x:c>
      <x:c r="L16" t="str">
        <x:v>Suiza</x:v>
      </x:c>
      <x:c r="M16" t="str">
        <x:v>Penales</x:v>
      </x:c>
      <x:c r="N16" t="n">
        <x:v>0</x:v>
      </x:c>
      <x:c r="O16" t="n">
        <x:v>0</x:v>
      </x:c>
      <x:c r="P16" t="n">
        <x:v>0</x:v>
      </x:c>
      <x:c r="Q16" t="n">
        <x:v>0</x:v>
      </x:c>
      <x:c r="R16" t="n">
        <x:v>0</x:v>
      </x:c>
      <x:c r="S16" t="n">
        <x:v>1</x:v>
      </x:c>
      <x:c r="T16" t="n">
        <x:v>0</x:v>
      </x:c>
      <x:c r="U16" t="n">
        <x:f>SUM(N16:T16)</x:f>
        <x:v>1</x:v>
      </x:c>
      <x:c r="V16" t="str">
        <x:v>OK</x:v>
      </x:c>
      <x:c r="W16" t="str">
        <x:v>Detalle 8vos publicado</x:v>
      </x:c>
    </x:row>
    <x:row r="17" ht="15" hidden="0" customHeight="1">
      <x:c r="A17" t="str">
        <x:v>8vos</x:v>
      </x:c>
      <x:c r="B17" t="str">
        <x:v>O8</x:v>
      </x:c>
      <x:c r="C17" t="str">
        <x:v>Gabriela</x:v>
      </x:c>
      <x:c r="D17" t="str">
        <x:v>Argentina</x:v>
      </x:c>
      <x:c r="E17" t="str">
        <x:v>Egipto</x:v>
      </x:c>
      <x:c r="F17" t="n">
        <x:v>3</x:v>
      </x:c>
      <x:c r="G17" t="n">
        <x:v>1</x:v>
      </x:c>
      <x:c r="H17" t="str">
        <x:v>Argentina</x:v>
      </x:c>
      <x:c r="I17" t="str">
        <x:v>90 minutos</x:v>
      </x:c>
      <x:c r="J17" t="n">
        <x:v>3</x:v>
      </x:c>
      <x:c r="K17" t="n">
        <x:v>2</x:v>
      </x:c>
      <x:c r="L17" t="str">
        <x:v>Argentina</x:v>
      </x:c>
      <x:c r="M17" t="str">
        <x:v>90 minutos</x:v>
      </x:c>
      <x:c r="N17" t="n">
        <x:v>5</x:v>
      </x:c>
      <x:c r="O17" t="n">
        <x:v>3</x:v>
      </x:c>
      <x:c r="P17" t="n">
        <x:v>2</x:v>
      </x:c>
      <x:c r="Q17" t="n">
        <x:v>0</x:v>
      </x:c>
      <x:c r="R17" t="n">
        <x:v>0</x:v>
      </x:c>
      <x:c r="S17" t="n">
        <x:v>1</x:v>
      </x:c>
      <x:c r="T17" t="n">
        <x:v>0</x:v>
      </x:c>
      <x:c r="U17" t="n">
        <x:f>SUM(N17:T17)</x:f>
        <x:v>11</x:v>
      </x:c>
      <x:c r="V17" t="str">
        <x:v>OK</x:v>
      </x:c>
      <x:c r="W17" t="str">
        <x:v>Detalle 8vos publicado</x:v>
      </x:c>
    </x:row>
    <x:row r="18" ht="15" hidden="0" customHeight="1">
      <x:c r="A18" t="str">
        <x:v>8vos</x:v>
      </x:c>
      <x:c r="B18" t="str">
        <x:v>O1</x:v>
      </x:c>
      <x:c r="C18" t="str">
        <x:v>Jean</x:v>
      </x:c>
      <x:c r="D18" t="str">
        <x:v>Canadá</x:v>
      </x:c>
      <x:c r="E18" t="str">
        <x:v>Marruecos</x:v>
      </x:c>
      <x:c r="F18" t="n">
        <x:v>0</x:v>
      </x:c>
      <x:c r="G18" t="n">
        <x:v>1</x:v>
      </x:c>
      <x:c r="H18" t="str">
        <x:v>Marruecos</x:v>
      </x:c>
      <x:c r="I18" t="str">
        <x:v>90 minutos</x:v>
      </x:c>
      <x:c r="J18" t="n">
        <x:v>0</x:v>
      </x:c>
      <x:c r="K18" t="n">
        <x:v>3</x:v>
      </x:c>
      <x:c r="L18" t="str">
        <x:v>Marruecos</x:v>
      </x:c>
      <x:c r="M18" t="str">
        <x:v>90 minutos</x:v>
      </x:c>
      <x:c r="N18" t="n">
        <x:v>5</x:v>
      </x:c>
      <x:c r="O18" t="n">
        <x:v>3</x:v>
      </x:c>
      <x:c r="P18" t="n">
        <x:v>2</x:v>
      </x:c>
      <x:c r="Q18" t="n">
        <x:v>0</x:v>
      </x:c>
      <x:c r="R18" t="n">
        <x:v>0</x:v>
      </x:c>
      <x:c r="S18" t="n">
        <x:v>1</x:v>
      </x:c>
      <x:c r="T18" t="n">
        <x:v>0</x:v>
      </x:c>
      <x:c r="U18" t="n">
        <x:f>SUM(N18:T18)</x:f>
        <x:v>11</x:v>
      </x:c>
      <x:c r="V18" t="str">
        <x:v>OK</x:v>
      </x:c>
      <x:c r="W18" t="str">
        <x:v>Detalle 8vos publicado</x:v>
      </x:c>
    </x:row>
    <x:row r="19" ht="15" hidden="0" customHeight="1">
      <x:c r="A19" t="str">
        <x:v>8vos</x:v>
      </x:c>
      <x:c r="B19" t="str">
        <x:v>O2</x:v>
      </x:c>
      <x:c r="C19" t="str">
        <x:v>Jean</x:v>
      </x:c>
      <x:c r="D19" t="str">
        <x:v>Paraguay</x:v>
      </x:c>
      <x:c r="E19" t="str">
        <x:v>Francia</x:v>
      </x:c>
      <x:c r="F19" t="n">
        <x:v>0</x:v>
      </x:c>
      <x:c r="G19" t="n">
        <x:v>2</x:v>
      </x:c>
      <x:c r="H19" t="str">
        <x:v>Francia</x:v>
      </x:c>
      <x:c r="I19" t="str">
        <x:v>90 minutos</x:v>
      </x:c>
      <x:c r="J19" t="n">
        <x:v>0</x:v>
      </x:c>
      <x:c r="K19" t="n">
        <x:v>1</x:v>
      </x:c>
      <x:c r="L19" t="str">
        <x:v>Francia</x:v>
      </x:c>
      <x:c r="M19" t="str">
        <x:v>90 minutos</x:v>
      </x:c>
      <x:c r="N19" t="n">
        <x:v>5</x:v>
      </x:c>
      <x:c r="O19" t="n">
        <x:v>3</x:v>
      </x:c>
      <x:c r="P19" t="n">
        <x:v>2</x:v>
      </x:c>
      <x:c r="Q19" t="n">
        <x:v>0</x:v>
      </x:c>
      <x:c r="R19" t="n">
        <x:v>0</x:v>
      </x:c>
      <x:c r="S19" t="n">
        <x:v>1</x:v>
      </x:c>
      <x:c r="T19" t="n">
        <x:v>0</x:v>
      </x:c>
      <x:c r="U19" t="n">
        <x:f>SUM(N19:T19)</x:f>
        <x:v>11</x:v>
      </x:c>
      <x:c r="V19" t="str">
        <x:v>OK</x:v>
      </x:c>
      <x:c r="W19" t="str">
        <x:v>Detalle 8vos publicado</x:v>
      </x:c>
    </x:row>
    <x:row r="20" ht="15" hidden="0" customHeight="1">
      <x:c r="A20" t="str">
        <x:v>8vos</x:v>
      </x:c>
      <x:c r="B20" t="str">
        <x:v>O3</x:v>
      </x:c>
      <x:c r="C20" t="str">
        <x:v>Jean</x:v>
      </x:c>
      <x:c r="D20" t="str">
        <x:v>Brasil</x:v>
      </x:c>
      <x:c r="E20" t="str">
        <x:v>Noruega</x:v>
      </x:c>
      <x:c r="F20" t="n">
        <x:v>1</x:v>
      </x:c>
      <x:c r="G20" t="n">
        <x:v>0</x:v>
      </x:c>
      <x:c r="H20" t="str">
        <x:v>Brasil</x:v>
      </x:c>
      <x:c r="I20" t="str">
        <x:v>90 minutos</x:v>
      </x:c>
      <x:c r="J20" t="n">
        <x:v>1</x:v>
      </x:c>
      <x:c r="K20" t="n">
        <x:v>2</x:v>
      </x:c>
      <x:c r="L20" t="str">
        <x:v>Noruega</x:v>
      </x:c>
      <x:c r="M20" t="str">
        <x:v>90 minutos</x:v>
      </x:c>
      <x:c r="N20" t="n">
        <x:v>0</x:v>
      </x:c>
      <x:c r="O20" t="n">
        <x:v>0</x:v>
      </x:c>
      <x:c r="P20" t="n">
        <x:v>2</x:v>
      </x:c>
      <x:c r="Q20" t="n">
        <x:v>0</x:v>
      </x:c>
      <x:c r="R20" t="n">
        <x:v>0</x:v>
      </x:c>
      <x:c r="S20" t="n">
        <x:v>1</x:v>
      </x:c>
      <x:c r="T20" t="n">
        <x:v>0</x:v>
      </x:c>
      <x:c r="U20" t="n">
        <x:f>SUM(N20:T20)</x:f>
        <x:v>3</x:v>
      </x:c>
      <x:c r="V20" t="str">
        <x:v>OK</x:v>
      </x:c>
      <x:c r="W20" t="str">
        <x:v>Detalle 8vos publicado</x:v>
      </x:c>
    </x:row>
    <x:row r="21" ht="15" hidden="0" customHeight="1">
      <x:c r="A21" t="str">
        <x:v>8vos</x:v>
      </x:c>
      <x:c r="B21" t="str">
        <x:v>O4</x:v>
      </x:c>
      <x:c r="C21" t="str">
        <x:v>Jean</x:v>
      </x:c>
      <x:c r="D21" t="str">
        <x:v>México</x:v>
      </x:c>
      <x:c r="E21" t="str">
        <x:v>Inglaterra</x:v>
      </x:c>
      <x:c r="F21" t="n">
        <x:v>0</x:v>
      </x:c>
      <x:c r="G21" t="n">
        <x:v>1</x:v>
      </x:c>
      <x:c r="H21" t="str">
        <x:v>Inglaterra</x:v>
      </x:c>
      <x:c r="I21" t="str">
        <x:v>90 minutos</x:v>
      </x:c>
      <x:c r="J21" t="n">
        <x:v>2</x:v>
      </x:c>
      <x:c r="K21" t="n">
        <x:v>3</x:v>
      </x:c>
      <x:c r="L21" t="str">
        <x:v>Inglaterra</x:v>
      </x:c>
      <x:c r="M21" t="str">
        <x:v>90 minutos</x:v>
      </x:c>
      <x:c r="N21" t="n">
        <x:v>5</x:v>
      </x:c>
      <x:c r="O21" t="n">
        <x:v>3</x:v>
      </x:c>
      <x:c r="P21" t="n">
        <x:v>2</x:v>
      </x:c>
      <x:c r="Q21" t="n">
        <x:v>0</x:v>
      </x:c>
      <x:c r="R21" t="n">
        <x:v>2</x:v>
      </x:c>
      <x:c r="S21" t="n">
        <x:v>0</x:v>
      </x:c>
      <x:c r="T21" t="n">
        <x:v>0</x:v>
      </x:c>
      <x:c r="U21" t="n">
        <x:f>SUM(N21:T21)</x:f>
        <x:v>12</x:v>
      </x:c>
      <x:c r="V21" t="str">
        <x:v>OK</x:v>
      </x:c>
      <x:c r="W21" t="str">
        <x:v>Detalle 8vos publicado</x:v>
      </x:c>
    </x:row>
    <x:row r="22" ht="15" hidden="0" customHeight="1">
      <x:c r="A22" t="str">
        <x:v>8vos</x:v>
      </x:c>
      <x:c r="B22" t="str">
        <x:v>O5</x:v>
      </x:c>
      <x:c r="C22" t="str">
        <x:v>Jean</x:v>
      </x:c>
      <x:c r="D22" t="str">
        <x:v>Estados Unidos</x:v>
      </x:c>
      <x:c r="E22" t="str">
        <x:v>Bélgica</x:v>
      </x:c>
      <x:c r="F22" t="n">
        <x:v>0</x:v>
      </x:c>
      <x:c r="G22" t="n">
        <x:v>1</x:v>
      </x:c>
      <x:c r="H22" t="str">
        <x:v>Bélgica</x:v>
      </x:c>
      <x:c r="I22" t="str">
        <x:v>90 minutos</x:v>
      </x:c>
      <x:c r="J22" t="n">
        <x:v>1</x:v>
      </x:c>
      <x:c r="K22" t="n">
        <x:v>4</x:v>
      </x:c>
      <x:c r="L22" t="str">
        <x:v>Bélgica</x:v>
      </x:c>
      <x:c r="M22" t="str">
        <x:v>90 minutos</x:v>
      </x:c>
      <x:c r="N22" t="n">
        <x:v>5</x:v>
      </x:c>
      <x:c r="O22" t="n">
        <x:v>3</x:v>
      </x:c>
      <x:c r="P22" t="n">
        <x:v>2</x:v>
      </x:c>
      <x:c r="Q22" t="n">
        <x:v>0</x:v>
      </x:c>
      <x:c r="R22" t="n">
        <x:v>0</x:v>
      </x:c>
      <x:c r="S22" t="n">
        <x:v>0</x:v>
      </x:c>
      <x:c r="T22" t="n">
        <x:v>0</x:v>
      </x:c>
      <x:c r="U22" t="n">
        <x:f>SUM(N22:T22)</x:f>
        <x:v>10</x:v>
      </x:c>
      <x:c r="V22" t="str">
        <x:v>OK</x:v>
      </x:c>
      <x:c r="W22" t="str">
        <x:v>Detalle 8vos publicado</x:v>
      </x:c>
    </x:row>
    <x:row r="23" ht="15" hidden="0" customHeight="1">
      <x:c r="A23" t="str">
        <x:v>8vos</x:v>
      </x:c>
      <x:c r="B23" t="str">
        <x:v>O6</x:v>
      </x:c>
      <x:c r="C23" t="str">
        <x:v>Jean</x:v>
      </x:c>
      <x:c r="D23" t="str">
        <x:v>Portugal</x:v>
      </x:c>
      <x:c r="E23" t="str">
        <x:v>España</x:v>
      </x:c>
      <x:c r="F23" t="n">
        <x:v>0</x:v>
      </x:c>
      <x:c r="G23" t="n">
        <x:v>1</x:v>
      </x:c>
      <x:c r="H23" t="str">
        <x:v>España</x:v>
      </x:c>
      <x:c r="I23" t="str">
        <x:v>90 minutos</x:v>
      </x:c>
      <x:c r="J23" t="n">
        <x:v>0</x:v>
      </x:c>
      <x:c r="K23" t="n">
        <x:v>1</x:v>
      </x:c>
      <x:c r="L23" t="str">
        <x:v>España</x:v>
      </x:c>
      <x:c r="M23" t="str">
        <x:v>90 minutos</x:v>
      </x:c>
      <x:c r="N23" t="n">
        <x:v>5</x:v>
      </x:c>
      <x:c r="O23" t="n">
        <x:v>3</x:v>
      </x:c>
      <x:c r="P23" t="n">
        <x:v>2</x:v>
      </x:c>
      <x:c r="Q23" t="n">
        <x:v>4</x:v>
      </x:c>
      <x:c r="R23" t="n">
        <x:v>2</x:v>
      </x:c>
      <x:c r="S23" t="n">
        <x:v>1</x:v>
      </x:c>
      <x:c r="T23" t="n">
        <x:v>1</x:v>
      </x:c>
      <x:c r="U23" t="n">
        <x:f>SUM(N23:T23)</x:f>
        <x:v>18</x:v>
      </x:c>
      <x:c r="V23" t="str">
        <x:v>OK</x:v>
      </x:c>
      <x:c r="W23" t="str">
        <x:v>Detalle 8vos publicado</x:v>
      </x:c>
    </x:row>
    <x:row r="24" ht="15" hidden="0" customHeight="1">
      <x:c r="A24" t="str">
        <x:v>8vos</x:v>
      </x:c>
      <x:c r="B24" t="str">
        <x:v>O7</x:v>
      </x:c>
      <x:c r="C24" t="str">
        <x:v>Jean</x:v>
      </x:c>
      <x:c r="D24" t="str">
        <x:v>Suiza</x:v>
      </x:c>
      <x:c r="E24" t="str">
        <x:v>Colombia</x:v>
      </x:c>
      <x:c r="F24" t="n">
        <x:v>0</x:v>
      </x:c>
      <x:c r="G24" t="n">
        <x:v>1</x:v>
      </x:c>
      <x:c r="H24" t="str">
        <x:v>Colombia</x:v>
      </x:c>
      <x:c r="I24" t="str">
        <x:v>90 minutos</x:v>
      </x:c>
      <x:c r="J24" t="n">
        <x:v>0</x:v>
      </x:c>
      <x:c r="K24" t="n">
        <x:v>0</x:v>
      </x:c>
      <x:c r="L24" t="str">
        <x:v>Suiza</x:v>
      </x:c>
      <x:c r="M24" t="str">
        <x:v>Penales</x:v>
      </x:c>
      <x:c r="N24" t="n">
        <x:v>0</x:v>
      </x:c>
      <x:c r="O24" t="n">
        <x:v>0</x:v>
      </x:c>
      <x:c r="P24" t="n">
        <x:v>0</x:v>
      </x:c>
      <x:c r="Q24" t="n">
        <x:v>0</x:v>
      </x:c>
      <x:c r="R24" t="n">
        <x:v>0</x:v>
      </x:c>
      <x:c r="S24" t="n">
        <x:v>1</x:v>
      </x:c>
      <x:c r="T24" t="n">
        <x:v>0</x:v>
      </x:c>
      <x:c r="U24" t="n">
        <x:f>SUM(N24:T24)</x:f>
        <x:v>1</x:v>
      </x:c>
      <x:c r="V24" t="str">
        <x:v>OK</x:v>
      </x:c>
      <x:c r="W24" t="str">
        <x:v>Detalle 8vos publicado</x:v>
      </x:c>
    </x:row>
    <x:row r="25" ht="15" hidden="0" customHeight="1">
      <x:c r="A25" t="str">
        <x:v>8vos</x:v>
      </x:c>
      <x:c r="B25" t="str">
        <x:v>O8</x:v>
      </x:c>
      <x:c r="C25" t="str">
        <x:v>Jean</x:v>
      </x:c>
      <x:c r="D25" t="str">
        <x:v>Argentina</x:v>
      </x:c>
      <x:c r="E25" t="str">
        <x:v>Egipto</x:v>
      </x:c>
      <x:c r="F25" t="n">
        <x:v>2</x:v>
      </x:c>
      <x:c r="G25" t="n">
        <x:v>0</x:v>
      </x:c>
      <x:c r="H25" t="str">
        <x:v>Argentina</x:v>
      </x:c>
      <x:c r="I25" t="str">
        <x:v>90 minutos</x:v>
      </x:c>
      <x:c r="J25" t="n">
        <x:v>3</x:v>
      </x:c>
      <x:c r="K25" t="n">
        <x:v>2</x:v>
      </x:c>
      <x:c r="L25" t="str">
        <x:v>Argentina</x:v>
      </x:c>
      <x:c r="M25" t="str">
        <x:v>90 minutos</x:v>
      </x:c>
      <x:c r="N25" t="n">
        <x:v>5</x:v>
      </x:c>
      <x:c r="O25" t="n">
        <x:v>3</x:v>
      </x:c>
      <x:c r="P25" t="n">
        <x:v>2</x:v>
      </x:c>
      <x:c r="Q25" t="n">
        <x:v>0</x:v>
      </x:c>
      <x:c r="R25" t="n">
        <x:v>0</x:v>
      </x:c>
      <x:c r="S25" t="n">
        <x:v>0</x:v>
      </x:c>
      <x:c r="T25" t="n">
        <x:v>0</x:v>
      </x:c>
      <x:c r="U25" t="n">
        <x:f>SUM(N25:T25)</x:f>
        <x:v>10</x:v>
      </x:c>
      <x:c r="V25" t="str">
        <x:v>OK</x:v>
      </x:c>
      <x:c r="W25" t="str">
        <x:v>Detalle 8vos publicado</x:v>
      </x:c>
    </x:row>
    <x:row r="26" ht="15" hidden="0" customHeight="1">
      <x:c r="A26" t="str">
        <x:v>8vos</x:v>
      </x:c>
      <x:c r="B26" t="str">
        <x:v>O1</x:v>
      </x:c>
      <x:c r="C26" t="str">
        <x:v>Juan</x:v>
      </x:c>
      <x:c r="D26" t="str">
        <x:v>Canadá</x:v>
      </x:c>
      <x:c r="E26" t="str">
        <x:v>Marruecos</x:v>
      </x:c>
      <x:c r="F26" t="n">
        <x:v>1</x:v>
      </x:c>
      <x:c r="G26" t="n">
        <x:v>2</x:v>
      </x:c>
      <x:c r="H26" t="str">
        <x:v>Marruecos</x:v>
      </x:c>
      <x:c r="I26" t="str">
        <x:v>90 minutos</x:v>
      </x:c>
      <x:c r="J26" t="n">
        <x:v>0</x:v>
      </x:c>
      <x:c r="K26" t="n">
        <x:v>3</x:v>
      </x:c>
      <x:c r="L26" t="str">
        <x:v>Marruecos</x:v>
      </x:c>
      <x:c r="M26" t="str">
        <x:v>90 minutos</x:v>
      </x:c>
      <x:c r="N26" t="n">
        <x:v>5</x:v>
      </x:c>
      <x:c r="O26" t="n">
        <x:v>3</x:v>
      </x:c>
      <x:c r="P26" t="n">
        <x:v>2</x:v>
      </x:c>
      <x:c r="Q26" t="n">
        <x:v>0</x:v>
      </x:c>
      <x:c r="R26" t="n">
        <x:v>0</x:v>
      </x:c>
      <x:c r="S26" t="n">
        <x:v>0</x:v>
      </x:c>
      <x:c r="T26" t="n">
        <x:v>0</x:v>
      </x:c>
      <x:c r="U26" t="n">
        <x:f>SUM(N26:T26)</x:f>
        <x:v>10</x:v>
      </x:c>
      <x:c r="V26" t="str">
        <x:v>OK</x:v>
      </x:c>
      <x:c r="W26" t="str">
        <x:v>Detalle 8vos publicado</x:v>
      </x:c>
    </x:row>
    <x:row r="27" ht="15" hidden="0" customHeight="1">
      <x:c r="A27" t="str">
        <x:v>8vos</x:v>
      </x:c>
      <x:c r="B27" t="str">
        <x:v>O2</x:v>
      </x:c>
      <x:c r="C27" t="str">
        <x:v>Juan</x:v>
      </x:c>
      <x:c r="D27" t="str">
        <x:v>Paraguay</x:v>
      </x:c>
      <x:c r="E27" t="str">
        <x:v>Francia</x:v>
      </x:c>
      <x:c r="F27" t="n">
        <x:v>1</x:v>
      </x:c>
      <x:c r="G27" t="n">
        <x:v>3</x:v>
      </x:c>
      <x:c r="H27" t="str">
        <x:v>Francia</x:v>
      </x:c>
      <x:c r="I27" t="str">
        <x:v>90 minutos</x:v>
      </x:c>
      <x:c r="J27" t="n">
        <x:v>0</x:v>
      </x:c>
      <x:c r="K27" t="n">
        <x:v>1</x:v>
      </x:c>
      <x:c r="L27" t="str">
        <x:v>Francia</x:v>
      </x:c>
      <x:c r="M27" t="str">
        <x:v>90 minutos</x:v>
      </x:c>
      <x:c r="N27" t="n">
        <x:v>5</x:v>
      </x:c>
      <x:c r="O27" t="n">
        <x:v>3</x:v>
      </x:c>
      <x:c r="P27" t="n">
        <x:v>2</x:v>
      </x:c>
      <x:c r="Q27" t="n">
        <x:v>0</x:v>
      </x:c>
      <x:c r="R27" t="n">
        <x:v>0</x:v>
      </x:c>
      <x:c r="S27" t="n">
        <x:v>0</x:v>
      </x:c>
      <x:c r="T27" t="n">
        <x:v>0</x:v>
      </x:c>
      <x:c r="U27" t="n">
        <x:f>SUM(N27:T27)</x:f>
        <x:v>10</x:v>
      </x:c>
      <x:c r="V27" t="str">
        <x:v>OK</x:v>
      </x:c>
      <x:c r="W27" t="str">
        <x:v>Detalle 8vos publicado</x:v>
      </x:c>
    </x:row>
    <x:row r="28" ht="15" hidden="0" customHeight="1">
      <x:c r="A28" t="str">
        <x:v>8vos</x:v>
      </x:c>
      <x:c r="B28" t="str">
        <x:v>O3</x:v>
      </x:c>
      <x:c r="C28" t="str">
        <x:v>Juan</x:v>
      </x:c>
      <x:c r="D28" t="str">
        <x:v>Brasil</x:v>
      </x:c>
      <x:c r="E28" t="str">
        <x:v>Noruega</x:v>
      </x:c>
      <x:c r="F28" t="n">
        <x:v>2</x:v>
      </x:c>
      <x:c r="G28" t="n">
        <x:v>3</x:v>
      </x:c>
      <x:c r="H28" t="str">
        <x:v>Noruega</x:v>
      </x:c>
      <x:c r="I28" t="str">
        <x:v>Suplementario</x:v>
      </x:c>
      <x:c r="J28" t="n">
        <x:v>1</x:v>
      </x:c>
      <x:c r="K28" t="n">
        <x:v>2</x:v>
      </x:c>
      <x:c r="L28" t="str">
        <x:v>Noruega</x:v>
      </x:c>
      <x:c r="M28" t="str">
        <x:v>90 minutos</x:v>
      </x:c>
      <x:c r="N28" t="n">
        <x:v>0</x:v>
      </x:c>
      <x:c r="O28" t="n">
        <x:v>0</x:v>
      </x:c>
      <x:c r="P28" t="n">
        <x:v>0</x:v>
      </x:c>
      <x:c r="Q28" t="n">
        <x:v>0</x:v>
      </x:c>
      <x:c r="R28" t="n">
        <x:v>0</x:v>
      </x:c>
      <x:c r="S28" t="n">
        <x:v>0</x:v>
      </x:c>
      <x:c r="T28" t="n">
        <x:v>0</x:v>
      </x:c>
      <x:c r="U28" t="n">
        <x:f>SUM(N28:T28)</x:f>
        <x:v>0</x:v>
      </x:c>
      <x:c r="V28" t="str">
        <x:v>Revisar: ganador en 90 debe tener método 90 minutos</x:v>
      </x:c>
      <x:c r="W28" t="str">
        <x:v>Detalle 8vos publicado</x:v>
      </x:c>
    </x:row>
    <x:row r="29" ht="15" hidden="0" customHeight="1">
      <x:c r="A29" t="str">
        <x:v>8vos</x:v>
      </x:c>
      <x:c r="B29" t="str">
        <x:v>O4</x:v>
      </x:c>
      <x:c r="C29" t="str">
        <x:v>Juan</x:v>
      </x:c>
      <x:c r="D29" t="str">
        <x:v>México</x:v>
      </x:c>
      <x:c r="E29" t="str">
        <x:v>Inglaterra</x:v>
      </x:c>
      <x:c r="F29" t="n">
        <x:v>2</x:v>
      </x:c>
      <x:c r="G29" t="n">
        <x:v>2</x:v>
      </x:c>
      <x:c r="H29" t="str">
        <x:v>México</x:v>
      </x:c>
      <x:c r="I29" t="str">
        <x:v>Penales</x:v>
      </x:c>
      <x:c r="J29" t="n">
        <x:v>2</x:v>
      </x:c>
      <x:c r="K29" t="n">
        <x:v>3</x:v>
      </x:c>
      <x:c r="L29" t="str">
        <x:v>Inglaterra</x:v>
      </x:c>
      <x:c r="M29" t="str">
        <x:v>90 minutos</x:v>
      </x:c>
      <x:c r="N29" t="n">
        <x:v>0</x:v>
      </x:c>
      <x:c r="O29" t="n">
        <x:v>0</x:v>
      </x:c>
      <x:c r="P29" t="n">
        <x:v>0</x:v>
      </x:c>
      <x:c r="Q29" t="n">
        <x:v>0</x:v>
      </x:c>
      <x:c r="R29" t="n">
        <x:v>0</x:v>
      </x:c>
      <x:c r="S29" t="n">
        <x:v>1</x:v>
      </x:c>
      <x:c r="T29" t="n">
        <x:v>0</x:v>
      </x:c>
      <x:c r="U29" t="n">
        <x:f>SUM(N29:T29)</x:f>
        <x:v>1</x:v>
      </x:c>
      <x:c r="V29" t="str">
        <x:v>OK</x:v>
      </x:c>
      <x:c r="W29" t="str">
        <x:v>Detalle 8vos publicado</x:v>
      </x:c>
    </x:row>
    <x:row r="30" ht="15" hidden="0" customHeight="1">
      <x:c r="A30" t="str">
        <x:v>8vos</x:v>
      </x:c>
      <x:c r="B30" t="str">
        <x:v>O5</x:v>
      </x:c>
      <x:c r="C30" t="str">
        <x:v>Juan</x:v>
      </x:c>
      <x:c r="D30" t="str">
        <x:v>Estados Unidos</x:v>
      </x:c>
      <x:c r="E30" t="str">
        <x:v>Bélgica</x:v>
      </x:c>
      <x:c r="F30" t="n">
        <x:v>1</x:v>
      </x:c>
      <x:c r="G30" t="n">
        <x:v>1</x:v>
      </x:c>
      <x:c r="H30" t="str">
        <x:v>EEUU</x:v>
      </x:c>
      <x:c r="I30" t="str">
        <x:v>Penales</x:v>
      </x:c>
      <x:c r="J30" t="n">
        <x:v>1</x:v>
      </x:c>
      <x:c r="K30" t="n">
        <x:v>4</x:v>
      </x:c>
      <x:c r="L30" t="str">
        <x:v>Bélgica</x:v>
      </x:c>
      <x:c r="M30" t="str">
        <x:v>90 minutos</x:v>
      </x:c>
      <x:c r="N30" t="n">
        <x:v>0</x:v>
      </x:c>
      <x:c r="O30" t="n">
        <x:v>0</x:v>
      </x:c>
      <x:c r="P30" t="n">
        <x:v>0</x:v>
      </x:c>
      <x:c r="Q30" t="n">
        <x:v>0</x:v>
      </x:c>
      <x:c r="R30" t="n">
        <x:v>0</x:v>
      </x:c>
      <x:c r="S30" t="n">
        <x:v>1</x:v>
      </x:c>
      <x:c r="T30" t="n">
        <x:v>0</x:v>
      </x:c>
      <x:c r="U30" t="n">
        <x:f>SUM(N30:T30)</x:f>
        <x:v>1</x:v>
      </x:c>
      <x:c r="V30" t="str">
        <x:v>OK</x:v>
      </x:c>
      <x:c r="W30" t="str">
        <x:v>Detalle 8vos publicado</x:v>
      </x:c>
    </x:row>
    <x:row r="31" ht="15" hidden="0" customHeight="1">
      <x:c r="A31" t="str">
        <x:v>8vos</x:v>
      </x:c>
      <x:c r="B31" t="str">
        <x:v>O6</x:v>
      </x:c>
      <x:c r="C31" t="str">
        <x:v>Juan</x:v>
      </x:c>
      <x:c r="D31" t="str">
        <x:v>Portugal</x:v>
      </x:c>
      <x:c r="E31" t="str">
        <x:v>España</x:v>
      </x:c>
      <x:c r="F31" t="n">
        <x:v>2</x:v>
      </x:c>
      <x:c r="G31" t="n">
        <x:v>2</x:v>
      </x:c>
      <x:c r="H31" t="str">
        <x:v>España</x:v>
      </x:c>
      <x:c r="I31" t="str">
        <x:v>Penales</x:v>
      </x:c>
      <x:c r="J31" t="n">
        <x:v>0</x:v>
      </x:c>
      <x:c r="K31" t="n">
        <x:v>1</x:v>
      </x:c>
      <x:c r="L31" t="str">
        <x:v>España</x:v>
      </x:c>
      <x:c r="M31" t="str">
        <x:v>90 minutos</x:v>
      </x:c>
      <x:c r="N31" t="n">
        <x:v>0</x:v>
      </x:c>
      <x:c r="O31" t="n">
        <x:v>3</x:v>
      </x:c>
      <x:c r="P31" t="n">
        <x:v>0</x:v>
      </x:c>
      <x:c r="Q31" t="n">
        <x:v>0</x:v>
      </x:c>
      <x:c r="R31" t="n">
        <x:v>0</x:v>
      </x:c>
      <x:c r="S31" t="n">
        <x:v>0</x:v>
      </x:c>
      <x:c r="T31" t="n">
        <x:v>0</x:v>
      </x:c>
      <x:c r="U31" t="n">
        <x:f>SUM(N31:T31)</x:f>
        <x:v>3</x:v>
      </x:c>
      <x:c r="V31" t="str">
        <x:v>OK</x:v>
      </x:c>
      <x:c r="W31" t="str">
        <x:v>Detalle 8vos publicado</x:v>
      </x:c>
    </x:row>
    <x:row r="32" ht="15" hidden="0" customHeight="1">
      <x:c r="A32" t="str">
        <x:v>8vos</x:v>
      </x:c>
      <x:c r="B32" t="str">
        <x:v>O7</x:v>
      </x:c>
      <x:c r="C32" t="str">
        <x:v>Juan</x:v>
      </x:c>
      <x:c r="D32" t="str">
        <x:v>Suiza</x:v>
      </x:c>
      <x:c r="E32" t="str">
        <x:v>Colombia</x:v>
      </x:c>
      <x:c r="F32" t="n">
        <x:v>1</x:v>
      </x:c>
      <x:c r="G32" t="n">
        <x:v>2</x:v>
      </x:c>
      <x:c r="H32" t="str">
        <x:v>Colombia</x:v>
      </x:c>
      <x:c r="I32" t="str">
        <x:v>90 minutos</x:v>
      </x:c>
      <x:c r="J32" t="n">
        <x:v>0</x:v>
      </x:c>
      <x:c r="K32" t="n">
        <x:v>0</x:v>
      </x:c>
      <x:c r="L32" t="str">
        <x:v>Suiza</x:v>
      </x:c>
      <x:c r="M32" t="str">
        <x:v>Penales</x:v>
      </x:c>
      <x:c r="N32" t="n">
        <x:v>0</x:v>
      </x:c>
      <x:c r="O32" t="n">
        <x:v>0</x:v>
      </x:c>
      <x:c r="P32" t="n">
        <x:v>0</x:v>
      </x:c>
      <x:c r="Q32" t="n">
        <x:v>0</x:v>
      </x:c>
      <x:c r="R32" t="n">
        <x:v>0</x:v>
      </x:c>
      <x:c r="S32" t="n">
        <x:v>0</x:v>
      </x:c>
      <x:c r="T32" t="n">
        <x:v>0</x:v>
      </x:c>
      <x:c r="U32" t="n">
        <x:f>SUM(N32:T32)</x:f>
        <x:v>0</x:v>
      </x:c>
      <x:c r="V32" t="str">
        <x:v>OK</x:v>
      </x:c>
      <x:c r="W32" t="str">
        <x:v>Detalle 8vos publicado</x:v>
      </x:c>
    </x:row>
    <x:row r="33" ht="15" hidden="0" customHeight="1">
      <x:c r="A33" t="str">
        <x:v>8vos</x:v>
      </x:c>
      <x:c r="B33" t="str">
        <x:v>O8</x:v>
      </x:c>
      <x:c r="C33" t="str">
        <x:v>Juan</x:v>
      </x:c>
      <x:c r="D33" t="str">
        <x:v>Argentina</x:v>
      </x:c>
      <x:c r="E33" t="str">
        <x:v>Egipto</x:v>
      </x:c>
      <x:c r="F33" t="n">
        <x:v>2</x:v>
      </x:c>
      <x:c r="G33" t="n">
        <x:v>0</x:v>
      </x:c>
      <x:c r="H33" t="str">
        <x:v>Argentina</x:v>
      </x:c>
      <x:c r="I33" t="str">
        <x:v>90 minutos</x:v>
      </x:c>
      <x:c r="J33" t="n">
        <x:v>3</x:v>
      </x:c>
      <x:c r="K33" t="n">
        <x:v>2</x:v>
      </x:c>
      <x:c r="L33" t="str">
        <x:v>Argentina</x:v>
      </x:c>
      <x:c r="M33" t="str">
        <x:v>90 minutos</x:v>
      </x:c>
      <x:c r="N33" t="n">
        <x:v>5</x:v>
      </x:c>
      <x:c r="O33" t="n">
        <x:v>3</x:v>
      </x:c>
      <x:c r="P33" t="n">
        <x:v>2</x:v>
      </x:c>
      <x:c r="Q33" t="n">
        <x:v>0</x:v>
      </x:c>
      <x:c r="R33" t="n">
        <x:v>0</x:v>
      </x:c>
      <x:c r="S33" t="n">
        <x:v>0</x:v>
      </x:c>
      <x:c r="T33" t="n">
        <x:v>0</x:v>
      </x:c>
      <x:c r="U33" t="n">
        <x:f>SUM(N33:T33)</x:f>
        <x:v>10</x:v>
      </x:c>
      <x:c r="V33" t="str">
        <x:v>OK</x:v>
      </x:c>
      <x:c r="W33" t="str">
        <x:v>Detalle 8vos publicado</x:v>
      </x:c>
    </x:row>
    <x:row r="34" ht="15" hidden="0" customHeight="1">
      <x:c r="A34" t="str">
        <x:v>8vos</x:v>
      </x:c>
      <x:c r="B34" t="str">
        <x:v>O1</x:v>
      </x:c>
      <x:c r="C34" t="str">
        <x:v>Jesús</x:v>
      </x:c>
      <x:c r="D34" t="str">
        <x:v>Canadá</x:v>
      </x:c>
      <x:c r="E34" t="str">
        <x:v>Marruecos</x:v>
      </x:c>
      <x:c r="F34" t="n">
        <x:v>2</x:v>
      </x:c>
      <x:c r="G34" t="n">
        <x:v>3</x:v>
      </x:c>
      <x:c r="H34" t="str">
        <x:v>Marruecos</x:v>
      </x:c>
      <x:c r="I34" t="str">
        <x:v>Suplementario</x:v>
      </x:c>
      <x:c r="J34" t="n">
        <x:v>0</x:v>
      </x:c>
      <x:c r="K34" t="n">
        <x:v>3</x:v>
      </x:c>
      <x:c r="L34" t="str">
        <x:v>Marruecos</x:v>
      </x:c>
      <x:c r="M34" t="str">
        <x:v>90 minutos</x:v>
      </x:c>
      <x:c r="N34" t="n">
        <x:v>0</x:v>
      </x:c>
      <x:c r="O34" t="n">
        <x:v>0</x:v>
      </x:c>
      <x:c r="P34" t="n">
        <x:v>0</x:v>
      </x:c>
      <x:c r="Q34" t="n">
        <x:v>0</x:v>
      </x:c>
      <x:c r="R34" t="n">
        <x:v>0</x:v>
      </x:c>
      <x:c r="S34" t="n">
        <x:v>0</x:v>
      </x:c>
      <x:c r="T34" t="n">
        <x:v>0</x:v>
      </x:c>
      <x:c r="U34" t="n">
        <x:f>SUM(N34:T34)</x:f>
        <x:v>0</x:v>
      </x:c>
      <x:c r="V34" t="str">
        <x:v>Revisar: ganador en 90 debe tener método 90 minutos</x:v>
      </x:c>
      <x:c r="W34" t="str">
        <x:v>Detalle 8vos publicado</x:v>
      </x:c>
    </x:row>
    <x:row r="35" ht="15" hidden="0" customHeight="1">
      <x:c r="A35" t="str">
        <x:v>8vos</x:v>
      </x:c>
      <x:c r="B35" t="str">
        <x:v>O2</x:v>
      </x:c>
      <x:c r="C35" t="str">
        <x:v>Jesús</x:v>
      </x:c>
      <x:c r="D35" t="str">
        <x:v>Paraguay</x:v>
      </x:c>
      <x:c r="E35" t="str">
        <x:v>Francia</x:v>
      </x:c>
      <x:c r="F35" t="n">
        <x:v>1</x:v>
      </x:c>
      <x:c r="G35" t="n">
        <x:v>3</x:v>
      </x:c>
      <x:c r="H35" t="str">
        <x:v>Francia</x:v>
      </x:c>
      <x:c r="I35" t="str">
        <x:v>90 minutos</x:v>
      </x:c>
      <x:c r="J35" t="n">
        <x:v>0</x:v>
      </x:c>
      <x:c r="K35" t="n">
        <x:v>1</x:v>
      </x:c>
      <x:c r="L35" t="str">
        <x:v>Francia</x:v>
      </x:c>
      <x:c r="M35" t="str">
        <x:v>90 minutos</x:v>
      </x:c>
      <x:c r="N35" t="n">
        <x:v>5</x:v>
      </x:c>
      <x:c r="O35" t="n">
        <x:v>3</x:v>
      </x:c>
      <x:c r="P35" t="n">
        <x:v>2</x:v>
      </x:c>
      <x:c r="Q35" t="n">
        <x:v>0</x:v>
      </x:c>
      <x:c r="R35" t="n">
        <x:v>0</x:v>
      </x:c>
      <x:c r="S35" t="n">
        <x:v>0</x:v>
      </x:c>
      <x:c r="T35" t="n">
        <x:v>0</x:v>
      </x:c>
      <x:c r="U35" t="n">
        <x:f>SUM(N35:T35)</x:f>
        <x:v>10</x:v>
      </x:c>
      <x:c r="V35" t="str">
        <x:v>OK</x:v>
      </x:c>
      <x:c r="W35" t="str">
        <x:v>Detalle 8vos publicado</x:v>
      </x:c>
    </x:row>
    <x:row r="36" ht="15" hidden="0" customHeight="1">
      <x:c r="A36" t="str">
        <x:v>8vos</x:v>
      </x:c>
      <x:c r="B36" t="str">
        <x:v>O3</x:v>
      </x:c>
      <x:c r="C36" t="str">
        <x:v>Jesús</x:v>
      </x:c>
      <x:c r="D36" t="str">
        <x:v>Brasil</x:v>
      </x:c>
      <x:c r="E36" t="str">
        <x:v>Noruega</x:v>
      </x:c>
      <x:c r="F36" t="n">
        <x:v>2</x:v>
      </x:c>
      <x:c r="G36" t="n">
        <x:v>1</x:v>
      </x:c>
      <x:c r="H36" t="str">
        <x:v>Brasil</x:v>
      </x:c>
      <x:c r="I36" t="str">
        <x:v>90 minutos</x:v>
      </x:c>
      <x:c r="J36" t="n">
        <x:v>1</x:v>
      </x:c>
      <x:c r="K36" t="n">
        <x:v>2</x:v>
      </x:c>
      <x:c r="L36" t="str">
        <x:v>Noruega</x:v>
      </x:c>
      <x:c r="M36" t="str">
        <x:v>90 minutos</x:v>
      </x:c>
      <x:c r="N36" t="n">
        <x:v>0</x:v>
      </x:c>
      <x:c r="O36" t="n">
        <x:v>0</x:v>
      </x:c>
      <x:c r="P36" t="n">
        <x:v>2</x:v>
      </x:c>
      <x:c r="Q36" t="n">
        <x:v>0</x:v>
      </x:c>
      <x:c r="R36" t="n">
        <x:v>0</x:v>
      </x:c>
      <x:c r="S36" t="n">
        <x:v>0</x:v>
      </x:c>
      <x:c r="T36" t="n">
        <x:v>0</x:v>
      </x:c>
      <x:c r="U36" t="n">
        <x:f>SUM(N36:T36)</x:f>
        <x:v>2</x:v>
      </x:c>
      <x:c r="V36" t="str">
        <x:v>OK</x:v>
      </x:c>
      <x:c r="W36" t="str">
        <x:v>Detalle 8vos publicado</x:v>
      </x:c>
    </x:row>
    <x:row r="37" ht="15" hidden="0" customHeight="1">
      <x:c r="A37" t="str">
        <x:v>8vos</x:v>
      </x:c>
      <x:c r="B37" t="str">
        <x:v>O4</x:v>
      </x:c>
      <x:c r="C37" t="str">
        <x:v>Jesús</x:v>
      </x:c>
      <x:c r="D37" t="str">
        <x:v>México</x:v>
      </x:c>
      <x:c r="E37" t="str">
        <x:v>Inglaterra</x:v>
      </x:c>
      <x:c r="F37" t="n">
        <x:v>1</x:v>
      </x:c>
      <x:c r="G37" t="n">
        <x:v>3</x:v>
      </x:c>
      <x:c r="H37" t="str">
        <x:v>Inglaterra</x:v>
      </x:c>
      <x:c r="I37" t="str">
        <x:v>90 minutos</x:v>
      </x:c>
      <x:c r="J37" t="n">
        <x:v>2</x:v>
      </x:c>
      <x:c r="K37" t="n">
        <x:v>3</x:v>
      </x:c>
      <x:c r="L37" t="str">
        <x:v>Inglaterra</x:v>
      </x:c>
      <x:c r="M37" t="str">
        <x:v>90 minutos</x:v>
      </x:c>
      <x:c r="N37" t="n">
        <x:v>5</x:v>
      </x:c>
      <x:c r="O37" t="n">
        <x:v>3</x:v>
      </x:c>
      <x:c r="P37" t="n">
        <x:v>2</x:v>
      </x:c>
      <x:c r="Q37" t="n">
        <x:v>0</x:v>
      </x:c>
      <x:c r="R37" t="n">
        <x:v>0</x:v>
      </x:c>
      <x:c r="S37" t="n">
        <x:v>0</x:v>
      </x:c>
      <x:c r="T37" t="n">
        <x:v>1</x:v>
      </x:c>
      <x:c r="U37" t="n">
        <x:f>SUM(N37:T37)</x:f>
        <x:v>11</x:v>
      </x:c>
      <x:c r="V37" t="str">
        <x:v>OK</x:v>
      </x:c>
      <x:c r="W37" t="str">
        <x:v>Detalle 8vos publicado</x:v>
      </x:c>
    </x:row>
    <x:row r="38" ht="15" hidden="0" customHeight="1">
      <x:c r="A38" t="str">
        <x:v>8vos</x:v>
      </x:c>
      <x:c r="B38" t="str">
        <x:v>O5</x:v>
      </x:c>
      <x:c r="C38" t="str">
        <x:v>Jesús</x:v>
      </x:c>
      <x:c r="D38" t="str">
        <x:v>Estados Unidos</x:v>
      </x:c>
      <x:c r="E38" t="str">
        <x:v>Bélgica</x:v>
      </x:c>
      <x:c r="F38" t="n">
        <x:v>0</x:v>
      </x:c>
      <x:c r="G38" t="n">
        <x:v>2</x:v>
      </x:c>
      <x:c r="H38" t="str">
        <x:v>Bélgica</x:v>
      </x:c>
      <x:c r="I38" t="str">
        <x:v>90 minutos</x:v>
      </x:c>
      <x:c r="J38" t="n">
        <x:v>1</x:v>
      </x:c>
      <x:c r="K38" t="n">
        <x:v>4</x:v>
      </x:c>
      <x:c r="L38" t="str">
        <x:v>Bélgica</x:v>
      </x:c>
      <x:c r="M38" t="str">
        <x:v>90 minutos</x:v>
      </x:c>
      <x:c r="N38" t="n">
        <x:v>5</x:v>
      </x:c>
      <x:c r="O38" t="n">
        <x:v>3</x:v>
      </x:c>
      <x:c r="P38" t="n">
        <x:v>2</x:v>
      </x:c>
      <x:c r="Q38" t="n">
        <x:v>0</x:v>
      </x:c>
      <x:c r="R38" t="n">
        <x:v>0</x:v>
      </x:c>
      <x:c r="S38" t="n">
        <x:v>0</x:v>
      </x:c>
      <x:c r="T38" t="n">
        <x:v>0</x:v>
      </x:c>
      <x:c r="U38" t="n">
        <x:f>SUM(N38:T38)</x:f>
        <x:v>10</x:v>
      </x:c>
      <x:c r="V38" t="str">
        <x:v>OK</x:v>
      </x:c>
      <x:c r="W38" t="str">
        <x:v>Detalle 8vos publicado</x:v>
      </x:c>
    </x:row>
    <x:row r="39" ht="15" hidden="0" customHeight="1">
      <x:c r="A39" t="str">
        <x:v>8vos</x:v>
      </x:c>
      <x:c r="B39" t="str">
        <x:v>O6</x:v>
      </x:c>
      <x:c r="C39" t="str">
        <x:v>Jesús</x:v>
      </x:c>
      <x:c r="D39" t="str">
        <x:v>Portugal</x:v>
      </x:c>
      <x:c r="E39" t="str">
        <x:v>España</x:v>
      </x:c>
      <x:c r="F39" t="n">
        <x:v>1</x:v>
      </x:c>
      <x:c r="G39" t="n">
        <x:v>2</x:v>
      </x:c>
      <x:c r="H39" t="str">
        <x:v>España</x:v>
      </x:c>
      <x:c r="I39" t="str">
        <x:v>90 minutos</x:v>
      </x:c>
      <x:c r="J39" t="n">
        <x:v>0</x:v>
      </x:c>
      <x:c r="K39" t="n">
        <x:v>1</x:v>
      </x:c>
      <x:c r="L39" t="str">
        <x:v>España</x:v>
      </x:c>
      <x:c r="M39" t="str">
        <x:v>90 minutos</x:v>
      </x:c>
      <x:c r="N39" t="n">
        <x:v>5</x:v>
      </x:c>
      <x:c r="O39" t="n">
        <x:v>3</x:v>
      </x:c>
      <x:c r="P39" t="n">
        <x:v>2</x:v>
      </x:c>
      <x:c r="Q39" t="n">
        <x:v>0</x:v>
      </x:c>
      <x:c r="R39" t="n">
        <x:v>2</x:v>
      </x:c>
      <x:c r="S39" t="n">
        <x:v>0</x:v>
      </x:c>
      <x:c r="T39" t="n">
        <x:v>0</x:v>
      </x:c>
      <x:c r="U39" t="n">
        <x:f>SUM(N39:T39)</x:f>
        <x:v>12</x:v>
      </x:c>
      <x:c r="V39" t="str">
        <x:v>OK</x:v>
      </x:c>
      <x:c r="W39" t="str">
        <x:v>Detalle 8vos publicado</x:v>
      </x:c>
    </x:row>
    <x:row r="40" ht="15" hidden="0" customHeight="1">
      <x:c r="A40" t="str">
        <x:v>8vos</x:v>
      </x:c>
      <x:c r="B40" t="str">
        <x:v>O7</x:v>
      </x:c>
      <x:c r="C40" t="str">
        <x:v>Jesús</x:v>
      </x:c>
      <x:c r="D40" t="str">
        <x:v>Suiza</x:v>
      </x:c>
      <x:c r="E40" t="str">
        <x:v>Colombia</x:v>
      </x:c>
      <x:c r="F40" t="n">
        <x:v>0</x:v>
      </x:c>
      <x:c r="G40" t="n">
        <x:v>2</x:v>
      </x:c>
      <x:c r="H40" t="str">
        <x:v>Colombia</x:v>
      </x:c>
      <x:c r="I40" t="str">
        <x:v>90 minutos</x:v>
      </x:c>
      <x:c r="J40" t="n">
        <x:v>0</x:v>
      </x:c>
      <x:c r="K40" t="n">
        <x:v>0</x:v>
      </x:c>
      <x:c r="L40" t="str">
        <x:v>Suiza</x:v>
      </x:c>
      <x:c r="M40" t="str">
        <x:v>Penales</x:v>
      </x:c>
      <x:c r="N40" t="n">
        <x:v>0</x:v>
      </x:c>
      <x:c r="O40" t="n">
        <x:v>0</x:v>
      </x:c>
      <x:c r="P40" t="n">
        <x:v>0</x:v>
      </x:c>
      <x:c r="Q40" t="n">
        <x:v>0</x:v>
      </x:c>
      <x:c r="R40" t="n">
        <x:v>0</x:v>
      </x:c>
      <x:c r="S40" t="n">
        <x:v>1</x:v>
      </x:c>
      <x:c r="T40" t="n">
        <x:v>0</x:v>
      </x:c>
      <x:c r="U40" t="n">
        <x:f>SUM(N40:T40)</x:f>
        <x:v>1</x:v>
      </x:c>
      <x:c r="V40" t="str">
        <x:v>OK</x:v>
      </x:c>
      <x:c r="W40" t="str">
        <x:v>Detalle 8vos publicado</x:v>
      </x:c>
    </x:row>
    <x:row r="41" ht="15" hidden="0" customHeight="1">
      <x:c r="A41" t="str">
        <x:v>8vos</x:v>
      </x:c>
      <x:c r="B41" t="str">
        <x:v>O8</x:v>
      </x:c>
      <x:c r="C41" t="str">
        <x:v>Jesús</x:v>
      </x:c>
      <x:c r="D41" t="str">
        <x:v>Argentina</x:v>
      </x:c>
      <x:c r="E41" t="str">
        <x:v>Egipto</x:v>
      </x:c>
      <x:c r="F41" t="n">
        <x:v>3</x:v>
      </x:c>
      <x:c r="G41" t="n">
        <x:v>0</x:v>
      </x:c>
      <x:c r="H41" t="str">
        <x:v>Argentina</x:v>
      </x:c>
      <x:c r="I41" t="str">
        <x:v>90 minutos</x:v>
      </x:c>
      <x:c r="J41" t="n">
        <x:v>3</x:v>
      </x:c>
      <x:c r="K41" t="n">
        <x:v>2</x:v>
      </x:c>
      <x:c r="L41" t="str">
        <x:v>Argentina</x:v>
      </x:c>
      <x:c r="M41" t="str">
        <x:v>90 minutos</x:v>
      </x:c>
      <x:c r="N41" t="n">
        <x:v>5</x:v>
      </x:c>
      <x:c r="O41" t="n">
        <x:v>3</x:v>
      </x:c>
      <x:c r="P41" t="n">
        <x:v>2</x:v>
      </x:c>
      <x:c r="Q41" t="n">
        <x:v>0</x:v>
      </x:c>
      <x:c r="R41" t="n">
        <x:v>0</x:v>
      </x:c>
      <x:c r="S41" t="n">
        <x:v>1</x:v>
      </x:c>
      <x:c r="T41" t="n">
        <x:v>0</x:v>
      </x:c>
      <x:c r="U41" t="n">
        <x:f>SUM(N41:T41)</x:f>
        <x:v>11</x:v>
      </x:c>
      <x:c r="V41" t="str">
        <x:v>OK</x:v>
      </x:c>
      <x:c r="W41" t="str">
        <x:v>Detalle 8vos publicado</x:v>
      </x:c>
    </x:row>
    <x:row r="42" ht="15" hidden="0" customHeight="1">
      <x:c r="A42" t="str">
        <x:v>8vos</x:v>
      </x:c>
      <x:c r="B42" t="str">
        <x:v>O1</x:v>
      </x:c>
      <x:c r="C42" t="str">
        <x:v>Diego</x:v>
      </x:c>
      <x:c r="D42" t="str">
        <x:v>Canadá</x:v>
      </x:c>
      <x:c r="E42" t="str">
        <x:v>Marruecos</x:v>
      </x:c>
      <x:c r="F42" t="n">
        <x:v>1</x:v>
      </x:c>
      <x:c r="G42" t="n">
        <x:v>2</x:v>
      </x:c>
      <x:c r="H42" t="str">
        <x:v>Marruecos</x:v>
      </x:c>
      <x:c r="I42" t="str">
        <x:v>90 minutos</x:v>
      </x:c>
      <x:c r="J42" t="n">
        <x:v>0</x:v>
      </x:c>
      <x:c r="K42" t="n">
        <x:v>3</x:v>
      </x:c>
      <x:c r="L42" t="str">
        <x:v>Marruecos</x:v>
      </x:c>
      <x:c r="M42" t="str">
        <x:v>90 minutos</x:v>
      </x:c>
      <x:c r="N42" t="n">
        <x:v>5</x:v>
      </x:c>
      <x:c r="O42" t="n">
        <x:v>3</x:v>
      </x:c>
      <x:c r="P42" t="n">
        <x:v>2</x:v>
      </x:c>
      <x:c r="Q42" t="n">
        <x:v>0</x:v>
      </x:c>
      <x:c r="R42" t="n">
        <x:v>0</x:v>
      </x:c>
      <x:c r="S42" t="n">
        <x:v>0</x:v>
      </x:c>
      <x:c r="T42" t="n">
        <x:v>0</x:v>
      </x:c>
      <x:c r="U42" t="n">
        <x:f>SUM(N42:T42)</x:f>
        <x:v>10</x:v>
      </x:c>
      <x:c r="V42" t="str">
        <x:v>OK</x:v>
      </x:c>
      <x:c r="W42" t="str">
        <x:v>Detalle 8vos publicado</x:v>
      </x:c>
    </x:row>
    <x:row r="43" ht="15" hidden="0" customHeight="1">
      <x:c r="A43" t="str">
        <x:v>8vos</x:v>
      </x:c>
      <x:c r="B43" t="str">
        <x:v>O2</x:v>
      </x:c>
      <x:c r="C43" t="str">
        <x:v>Diego</x:v>
      </x:c>
      <x:c r="D43" t="str">
        <x:v>Paraguay</x:v>
      </x:c>
      <x:c r="E43" t="str">
        <x:v>Francia</x:v>
      </x:c>
      <x:c r="F43" t="n">
        <x:v>0</x:v>
      </x:c>
      <x:c r="G43" t="n">
        <x:v>2</x:v>
      </x:c>
      <x:c r="H43" t="str">
        <x:v>Francia</x:v>
      </x:c>
      <x:c r="I43" t="str">
        <x:v>90 minutos</x:v>
      </x:c>
      <x:c r="J43" t="n">
        <x:v>0</x:v>
      </x:c>
      <x:c r="K43" t="n">
        <x:v>1</x:v>
      </x:c>
      <x:c r="L43" t="str">
        <x:v>Francia</x:v>
      </x:c>
      <x:c r="M43" t="str">
        <x:v>90 minutos</x:v>
      </x:c>
      <x:c r="N43" t="n">
        <x:v>5</x:v>
      </x:c>
      <x:c r="O43" t="n">
        <x:v>3</x:v>
      </x:c>
      <x:c r="P43" t="n">
        <x:v>2</x:v>
      </x:c>
      <x:c r="Q43" t="n">
        <x:v>0</x:v>
      </x:c>
      <x:c r="R43" t="n">
        <x:v>0</x:v>
      </x:c>
      <x:c r="S43" t="n">
        <x:v>1</x:v>
      </x:c>
      <x:c r="T43" t="n">
        <x:v>0</x:v>
      </x:c>
      <x:c r="U43" t="n">
        <x:f>SUM(N43:T43)</x:f>
        <x:v>11</x:v>
      </x:c>
      <x:c r="V43" t="str">
        <x:v>OK</x:v>
      </x:c>
      <x:c r="W43" t="str">
        <x:v>Detalle 8vos publicado</x:v>
      </x:c>
    </x:row>
    <x:row r="44" ht="15" hidden="0" customHeight="1">
      <x:c r="A44" t="str">
        <x:v>8vos</x:v>
      </x:c>
      <x:c r="B44" t="str">
        <x:v>O3</x:v>
      </x:c>
      <x:c r="C44" t="str">
        <x:v>Diego</x:v>
      </x:c>
      <x:c r="D44" t="str">
        <x:v>Brasil</x:v>
      </x:c>
      <x:c r="E44" t="str">
        <x:v>Noruega</x:v>
      </x:c>
      <x:c r="F44" t="n">
        <x:v>2</x:v>
      </x:c>
      <x:c r="G44" t="n">
        <x:v>2</x:v>
      </x:c>
      <x:c r="H44" t="str">
        <x:v>Brasil</x:v>
      </x:c>
      <x:c r="I44" t="str">
        <x:v>Penales</x:v>
      </x:c>
      <x:c r="J44" t="n">
        <x:v>1</x:v>
      </x:c>
      <x:c r="K44" t="n">
        <x:v>2</x:v>
      </x:c>
      <x:c r="L44" t="str">
        <x:v>Noruega</x:v>
      </x:c>
      <x:c r="M44" t="str">
        <x:v>90 minutos</x:v>
      </x:c>
      <x:c r="N44" t="n">
        <x:v>0</x:v>
      </x:c>
      <x:c r="O44" t="n">
        <x:v>0</x:v>
      </x:c>
      <x:c r="P44" t="n">
        <x:v>0</x:v>
      </x:c>
      <x:c r="Q44" t="n">
        <x:v>0</x:v>
      </x:c>
      <x:c r="R44" t="n">
        <x:v>0</x:v>
      </x:c>
      <x:c r="S44" t="n">
        <x:v>0</x:v>
      </x:c>
      <x:c r="T44" t="n">
        <x:v>1</x:v>
      </x:c>
      <x:c r="U44" t="n">
        <x:f>SUM(N44:T44)</x:f>
        <x:v>1</x:v>
      </x:c>
      <x:c r="V44" t="str">
        <x:v>OK</x:v>
      </x:c>
      <x:c r="W44" t="str">
        <x:v>Detalle 8vos publicado</x:v>
      </x:c>
    </x:row>
    <x:row r="45" ht="15" hidden="0" customHeight="1">
      <x:c r="A45" t="str">
        <x:v>8vos</x:v>
      </x:c>
      <x:c r="B45" t="str">
        <x:v>O4</x:v>
      </x:c>
      <x:c r="C45" t="str">
        <x:v>Diego</x:v>
      </x:c>
      <x:c r="D45" t="str">
        <x:v>México</x:v>
      </x:c>
      <x:c r="E45" t="str">
        <x:v>Inglaterra</x:v>
      </x:c>
      <x:c r="F45" t="n">
        <x:v>0</x:v>
      </x:c>
      <x:c r="G45" t="n">
        <x:v>2</x:v>
      </x:c>
      <x:c r="H45" t="str">
        <x:v>Inglaterra</x:v>
      </x:c>
      <x:c r="I45" t="str">
        <x:v>90 minutos</x:v>
      </x:c>
      <x:c r="J45" t="n">
        <x:v>2</x:v>
      </x:c>
      <x:c r="K45" t="n">
        <x:v>3</x:v>
      </x:c>
      <x:c r="L45" t="str">
        <x:v>Inglaterra</x:v>
      </x:c>
      <x:c r="M45" t="str">
        <x:v>90 minutos</x:v>
      </x:c>
      <x:c r="N45" t="n">
        <x:v>5</x:v>
      </x:c>
      <x:c r="O45" t="n">
        <x:v>3</x:v>
      </x:c>
      <x:c r="P45" t="n">
        <x:v>2</x:v>
      </x:c>
      <x:c r="Q45" t="n">
        <x:v>0</x:v>
      </x:c>
      <x:c r="R45" t="n">
        <x:v>0</x:v>
      </x:c>
      <x:c r="S45" t="n">
        <x:v>0</x:v>
      </x:c>
      <x:c r="T45" t="n">
        <x:v>0</x:v>
      </x:c>
      <x:c r="U45" t="n">
        <x:f>SUM(N45:T45)</x:f>
        <x:v>10</x:v>
      </x:c>
      <x:c r="V45" t="str">
        <x:v>OK</x:v>
      </x:c>
      <x:c r="W45" t="str">
        <x:v>Detalle 8vos publicado</x:v>
      </x:c>
    </x:row>
    <x:row r="46" ht="15" hidden="0" customHeight="1">
      <x:c r="A46" t="str">
        <x:v>8vos</x:v>
      </x:c>
      <x:c r="B46" t="str">
        <x:v>O5</x:v>
      </x:c>
      <x:c r="C46" t="str">
        <x:v>Diego</x:v>
      </x:c>
      <x:c r="D46" t="str">
        <x:v>Estados Unidos</x:v>
      </x:c>
      <x:c r="E46" t="str">
        <x:v>Bélgica</x:v>
      </x:c>
      <x:c r="F46" t="n">
        <x:v>2</x:v>
      </x:c>
      <x:c r="G46" t="n">
        <x:v>2</x:v>
      </x:c>
      <x:c r="H46" t="str">
        <x:v>Bélgica</x:v>
      </x:c>
      <x:c r="I46" t="str">
        <x:v>Penales</x:v>
      </x:c>
      <x:c r="J46" t="n">
        <x:v>1</x:v>
      </x:c>
      <x:c r="K46" t="n">
        <x:v>4</x:v>
      </x:c>
      <x:c r="L46" t="str">
        <x:v>Bélgica</x:v>
      </x:c>
      <x:c r="M46" t="str">
        <x:v>90 minutos</x:v>
      </x:c>
      <x:c r="N46" t="n">
        <x:v>0</x:v>
      </x:c>
      <x:c r="O46" t="n">
        <x:v>3</x:v>
      </x:c>
      <x:c r="P46" t="n">
        <x:v>0</x:v>
      </x:c>
      <x:c r="Q46" t="n">
        <x:v>0</x:v>
      </x:c>
      <x:c r="R46" t="n">
        <x:v>0</x:v>
      </x:c>
      <x:c r="S46" t="n">
        <x:v>0</x:v>
      </x:c>
      <x:c r="T46" t="n">
        <x:v>0</x:v>
      </x:c>
      <x:c r="U46" t="n">
        <x:f>SUM(N46:T46)</x:f>
        <x:v>3</x:v>
      </x:c>
      <x:c r="V46" t="str">
        <x:v>OK</x:v>
      </x:c>
      <x:c r="W46" t="str">
        <x:v>Detalle 8vos publicado</x:v>
      </x:c>
    </x:row>
    <x:row r="47" ht="15" hidden="0" customHeight="1">
      <x:c r="A47" t="str">
        <x:v>8vos</x:v>
      </x:c>
      <x:c r="B47" t="str">
        <x:v>O6</x:v>
      </x:c>
      <x:c r="C47" t="str">
        <x:v>Diego</x:v>
      </x:c>
      <x:c r="D47" t="str">
        <x:v>Portugal</x:v>
      </x:c>
      <x:c r="E47" t="str">
        <x:v>España</x:v>
      </x:c>
      <x:c r="F47" t="n">
        <x:v>1</x:v>
      </x:c>
      <x:c r="G47" t="n">
        <x:v>2</x:v>
      </x:c>
      <x:c r="H47" t="str">
        <x:v>España</x:v>
      </x:c>
      <x:c r="I47" t="str">
        <x:v>Suplementario</x:v>
      </x:c>
      <x:c r="J47" t="n">
        <x:v>0</x:v>
      </x:c>
      <x:c r="K47" t="n">
        <x:v>1</x:v>
      </x:c>
      <x:c r="L47" t="str">
        <x:v>España</x:v>
      </x:c>
      <x:c r="M47" t="str">
        <x:v>90 minutos</x:v>
      </x:c>
      <x:c r="N47" t="n">
        <x:v>0</x:v>
      </x:c>
      <x:c r="O47" t="n">
        <x:v>0</x:v>
      </x:c>
      <x:c r="P47" t="n">
        <x:v>0</x:v>
      </x:c>
      <x:c r="Q47" t="n">
        <x:v>0</x:v>
      </x:c>
      <x:c r="R47" t="n">
        <x:v>0</x:v>
      </x:c>
      <x:c r="S47" t="n">
        <x:v>0</x:v>
      </x:c>
      <x:c r="T47" t="n">
        <x:v>0</x:v>
      </x:c>
      <x:c r="U47" t="n">
        <x:f>SUM(N47:T47)</x:f>
        <x:v>0</x:v>
      </x:c>
      <x:c r="V47" t="str">
        <x:v>Revisar: ganador en 90 debe tener método 90 minutos</x:v>
      </x:c>
      <x:c r="W47" t="str">
        <x:v>Detalle 8vos publicado</x:v>
      </x:c>
    </x:row>
    <x:row r="48" ht="15" hidden="0" customHeight="1">
      <x:c r="A48" t="str">
        <x:v>8vos</x:v>
      </x:c>
      <x:c r="B48" t="str">
        <x:v>O7</x:v>
      </x:c>
      <x:c r="C48" t="str">
        <x:v>Diego</x:v>
      </x:c>
      <x:c r="D48" t="str">
        <x:v>Suiza</x:v>
      </x:c>
      <x:c r="E48" t="str">
        <x:v>Colombia</x:v>
      </x:c>
      <x:c r="F48" t="n">
        <x:v>1</x:v>
      </x:c>
      <x:c r="G48" t="n">
        <x:v>1</x:v>
      </x:c>
      <x:c r="H48" t="str">
        <x:v>Colombia</x:v>
      </x:c>
      <x:c r="I48" t="str">
        <x:v>Penales</x:v>
      </x:c>
      <x:c r="J48" t="n">
        <x:v>0</x:v>
      </x:c>
      <x:c r="K48" t="n">
        <x:v>0</x:v>
      </x:c>
      <x:c r="L48" t="str">
        <x:v>Suiza</x:v>
      </x:c>
      <x:c r="M48" t="str">
        <x:v>Penales</x:v>
      </x:c>
      <x:c r="N48" t="n">
        <x:v>5</x:v>
      </x:c>
      <x:c r="O48" t="n">
        <x:v>0</x:v>
      </x:c>
      <x:c r="P48" t="n">
        <x:v>2</x:v>
      </x:c>
      <x:c r="Q48" t="n">
        <x:v>0</x:v>
      </x:c>
      <x:c r="R48" t="n">
        <x:v>2</x:v>
      </x:c>
      <x:c r="S48" t="n">
        <x:v>0</x:v>
      </x:c>
      <x:c r="T48" t="n">
        <x:v>0</x:v>
      </x:c>
      <x:c r="U48" t="n">
        <x:f>SUM(N48:T48)</x:f>
        <x:v>9</x:v>
      </x:c>
      <x:c r="V48" t="str">
        <x:v>OK</x:v>
      </x:c>
      <x:c r="W48" t="str">
        <x:v>Detalle 8vos publicado</x:v>
      </x:c>
    </x:row>
    <x:row r="49" ht="15" hidden="0" customHeight="1">
      <x:c r="A49" t="str">
        <x:v>8vos</x:v>
      </x:c>
      <x:c r="B49" t="str">
        <x:v>O8</x:v>
      </x:c>
      <x:c r="C49" t="str">
        <x:v>Diego</x:v>
      </x:c>
      <x:c r="D49" t="str">
        <x:v>Argentina</x:v>
      </x:c>
      <x:c r="E49" t="str">
        <x:v>Egipto</x:v>
      </x:c>
      <x:c r="F49" t="n">
        <x:v>2</x:v>
      </x:c>
      <x:c r="G49" t="n">
        <x:v>0</x:v>
      </x:c>
      <x:c r="H49" t="str">
        <x:v>Argentina</x:v>
      </x:c>
      <x:c r="I49" t="str">
        <x:v>90 minutos</x:v>
      </x:c>
      <x:c r="J49" t="n">
        <x:v>3</x:v>
      </x:c>
      <x:c r="K49" t="n">
        <x:v>2</x:v>
      </x:c>
      <x:c r="L49" t="str">
        <x:v>Argentina</x:v>
      </x:c>
      <x:c r="M49" t="str">
        <x:v>90 minutos</x:v>
      </x:c>
      <x:c r="N49" t="n">
        <x:v>5</x:v>
      </x:c>
      <x:c r="O49" t="n">
        <x:v>3</x:v>
      </x:c>
      <x:c r="P49" t="n">
        <x:v>2</x:v>
      </x:c>
      <x:c r="Q49" t="n">
        <x:v>0</x:v>
      </x:c>
      <x:c r="R49" t="n">
        <x:v>0</x:v>
      </x:c>
      <x:c r="S49" t="n">
        <x:v>0</x:v>
      </x:c>
      <x:c r="T49" t="n">
        <x:v>0</x:v>
      </x:c>
      <x:c r="U49" t="n">
        <x:f>SUM(N49:T49)</x:f>
        <x:v>10</x:v>
      </x:c>
      <x:c r="V49" t="str">
        <x:v>OK</x:v>
      </x:c>
      <x:c r="W49" t="str">
        <x:v>Detalle 8vos publicado</x:v>
      </x:c>
    </x:row>
    <x:row r="50" ht="15" hidden="0" customHeight="1">
      <x:c r="A50" t="str">
        <x:v>8vos</x:v>
      </x:c>
      <x:c r="B50" t="str">
        <x:v>O1</x:v>
      </x:c>
      <x:c r="C50" t="str">
        <x:v>Aldo</x:v>
      </x:c>
      <x:c r="D50" t="str">
        <x:v>Canadá</x:v>
      </x:c>
      <x:c r="E50" t="str">
        <x:v>Marruecos</x:v>
      </x:c>
      <x:c r="F50" t="n">
        <x:v>1</x:v>
      </x:c>
      <x:c r="G50" t="n">
        <x:v>2</x:v>
      </x:c>
      <x:c r="H50" t="str">
        <x:v>Marruecos</x:v>
      </x:c>
      <x:c r="I50" t="str">
        <x:v>90 minutos</x:v>
      </x:c>
      <x:c r="J50" t="n">
        <x:v>0</x:v>
      </x:c>
      <x:c r="K50" t="n">
        <x:v>3</x:v>
      </x:c>
      <x:c r="L50" t="str">
        <x:v>Marruecos</x:v>
      </x:c>
      <x:c r="M50" t="str">
        <x:v>90 minutos</x:v>
      </x:c>
      <x:c r="N50" t="n">
        <x:v>5</x:v>
      </x:c>
      <x:c r="O50" t="n">
        <x:v>3</x:v>
      </x:c>
      <x:c r="P50" t="n">
        <x:v>2</x:v>
      </x:c>
      <x:c r="Q50" t="n">
        <x:v>0</x:v>
      </x:c>
      <x:c r="R50" t="n">
        <x:v>0</x:v>
      </x:c>
      <x:c r="S50" t="n">
        <x:v>0</x:v>
      </x:c>
      <x:c r="T50" t="n">
        <x:v>0</x:v>
      </x:c>
      <x:c r="U50" t="n">
        <x:f>SUM(N50:T50)</x:f>
        <x:v>10</x:v>
      </x:c>
      <x:c r="V50" t="str">
        <x:v>OK</x:v>
      </x:c>
      <x:c r="W50" t="str">
        <x:v>Detalle 8vos publicado</x:v>
      </x:c>
    </x:row>
    <x:row r="51" ht="15" hidden="0" customHeight="1">
      <x:c r="A51" t="str">
        <x:v>8vos</x:v>
      </x:c>
      <x:c r="B51" t="str">
        <x:v>O2</x:v>
      </x:c>
      <x:c r="C51" t="str">
        <x:v>Aldo</x:v>
      </x:c>
      <x:c r="D51" t="str">
        <x:v>Paraguay</x:v>
      </x:c>
      <x:c r="E51" t="str">
        <x:v>Francia</x:v>
      </x:c>
      <x:c r="F51" t="n">
        <x:v>1</x:v>
      </x:c>
      <x:c r="G51" t="n">
        <x:v>1</x:v>
      </x:c>
      <x:c r="H51" t="str">
        <x:v>Paraguay</x:v>
      </x:c>
      <x:c r="I51" t="str">
        <x:v>Penales</x:v>
      </x:c>
      <x:c r="J51" t="n">
        <x:v>0</x:v>
      </x:c>
      <x:c r="K51" t="n">
        <x:v>1</x:v>
      </x:c>
      <x:c r="L51" t="str">
        <x:v>Francia</x:v>
      </x:c>
      <x:c r="M51" t="str">
        <x:v>90 minutos</x:v>
      </x:c>
      <x:c r="N51" t="n">
        <x:v>0</x:v>
      </x:c>
      <x:c r="O51" t="n">
        <x:v>0</x:v>
      </x:c>
      <x:c r="P51" t="n">
        <x:v>0</x:v>
      </x:c>
      <x:c r="Q51" t="n">
        <x:v>0</x:v>
      </x:c>
      <x:c r="R51" t="n">
        <x:v>0</x:v>
      </x:c>
      <x:c r="S51" t="n">
        <x:v>0</x:v>
      </x:c>
      <x:c r="T51" t="n">
        <x:v>1</x:v>
      </x:c>
      <x:c r="U51" t="n">
        <x:f>SUM(N51:T51)</x:f>
        <x:v>1</x:v>
      </x:c>
      <x:c r="V51" t="str">
        <x:v>OK</x:v>
      </x:c>
      <x:c r="W51" t="str">
        <x:v>Detalle 8vos publicado</x:v>
      </x:c>
    </x:row>
    <x:row r="52" ht="15" hidden="0" customHeight="1">
      <x:c r="A52" t="str">
        <x:v>8vos</x:v>
      </x:c>
      <x:c r="B52" t="str">
        <x:v>O3</x:v>
      </x:c>
      <x:c r="C52" t="str">
        <x:v>Aldo</x:v>
      </x:c>
      <x:c r="D52" t="str">
        <x:v>Brasil</x:v>
      </x:c>
      <x:c r="E52" t="str">
        <x:v>Noruega</x:v>
      </x:c>
      <x:c r="F52" t="n">
        <x:v>2</x:v>
      </x:c>
      <x:c r="G52" t="n">
        <x:v>1</x:v>
      </x:c>
      <x:c r="H52" t="str">
        <x:v>Brasil</x:v>
      </x:c>
      <x:c r="I52" t="str">
        <x:v>90 minutos</x:v>
      </x:c>
      <x:c r="J52" t="n">
        <x:v>1</x:v>
      </x:c>
      <x:c r="K52" t="n">
        <x:v>2</x:v>
      </x:c>
      <x:c r="L52" t="str">
        <x:v>Noruega</x:v>
      </x:c>
      <x:c r="M52" t="str">
        <x:v>90 minutos</x:v>
      </x:c>
      <x:c r="N52" t="n">
        <x:v>0</x:v>
      </x:c>
      <x:c r="O52" t="n">
        <x:v>0</x:v>
      </x:c>
      <x:c r="P52" t="n">
        <x:v>2</x:v>
      </x:c>
      <x:c r="Q52" t="n">
        <x:v>0</x:v>
      </x:c>
      <x:c r="R52" t="n">
        <x:v>0</x:v>
      </x:c>
      <x:c r="S52" t="n">
        <x:v>0</x:v>
      </x:c>
      <x:c r="T52" t="n">
        <x:v>0</x:v>
      </x:c>
      <x:c r="U52" t="n">
        <x:f>SUM(N52:T52)</x:f>
        <x:v>2</x:v>
      </x:c>
      <x:c r="V52" t="str">
        <x:v>OK</x:v>
      </x:c>
      <x:c r="W52" t="str">
        <x:v>Detalle 8vos publicado</x:v>
      </x:c>
    </x:row>
    <x:row r="53" ht="15" hidden="0" customHeight="1">
      <x:c r="A53" t="str">
        <x:v>8vos</x:v>
      </x:c>
      <x:c r="B53" t="str">
        <x:v>O4</x:v>
      </x:c>
      <x:c r="C53" t="str">
        <x:v>Aldo</x:v>
      </x:c>
      <x:c r="D53" t="str">
        <x:v>México</x:v>
      </x:c>
      <x:c r="E53" t="str">
        <x:v>Inglaterra</x:v>
      </x:c>
      <x:c r="F53" t="n">
        <x:v>1</x:v>
      </x:c>
      <x:c r="G53" t="n">
        <x:v>2</x:v>
      </x:c>
      <x:c r="H53" t="str">
        <x:v>Inglaterra</x:v>
      </x:c>
      <x:c r="I53" t="str">
        <x:v>90 minutos</x:v>
      </x:c>
      <x:c r="J53" t="n">
        <x:v>2</x:v>
      </x:c>
      <x:c r="K53" t="n">
        <x:v>3</x:v>
      </x:c>
      <x:c r="L53" t="str">
        <x:v>Inglaterra</x:v>
      </x:c>
      <x:c r="M53" t="str">
        <x:v>90 minutos</x:v>
      </x:c>
      <x:c r="N53" t="n">
        <x:v>5</x:v>
      </x:c>
      <x:c r="O53" t="n">
        <x:v>3</x:v>
      </x:c>
      <x:c r="P53" t="n">
        <x:v>2</x:v>
      </x:c>
      <x:c r="Q53" t="n">
        <x:v>0</x:v>
      </x:c>
      <x:c r="R53" t="n">
        <x:v>2</x:v>
      </x:c>
      <x:c r="S53" t="n">
        <x:v>0</x:v>
      </x:c>
      <x:c r="T53" t="n">
        <x:v>0</x:v>
      </x:c>
      <x:c r="U53" t="n">
        <x:f>SUM(N53:T53)</x:f>
        <x:v>12</x:v>
      </x:c>
      <x:c r="V53" t="str">
        <x:v>OK</x:v>
      </x:c>
      <x:c r="W53" t="str">
        <x:v>Detalle 8vos publicado</x:v>
      </x:c>
    </x:row>
    <x:row r="54" ht="15" hidden="0" customHeight="1">
      <x:c r="A54" t="str">
        <x:v>8vos</x:v>
      </x:c>
      <x:c r="B54" t="str">
        <x:v>O5</x:v>
      </x:c>
      <x:c r="C54" t="str">
        <x:v>Aldo</x:v>
      </x:c>
      <x:c r="D54" t="str">
        <x:v>Estados Unidos</x:v>
      </x:c>
      <x:c r="E54" t="str">
        <x:v>Bélgica</x:v>
      </x:c>
      <x:c r="F54" t="n">
        <x:v>1</x:v>
      </x:c>
      <x:c r="G54" t="n">
        <x:v>2</x:v>
      </x:c>
      <x:c r="H54" t="str">
        <x:v>Bélgica</x:v>
      </x:c>
      <x:c r="I54" t="str">
        <x:v>90 minutos</x:v>
      </x:c>
      <x:c r="J54" t="n">
        <x:v>1</x:v>
      </x:c>
      <x:c r="K54" t="n">
        <x:v>4</x:v>
      </x:c>
      <x:c r="L54" t="str">
        <x:v>Bélgica</x:v>
      </x:c>
      <x:c r="M54" t="str">
        <x:v>90 minutos</x:v>
      </x:c>
      <x:c r="N54" t="n">
        <x:v>5</x:v>
      </x:c>
      <x:c r="O54" t="n">
        <x:v>3</x:v>
      </x:c>
      <x:c r="P54" t="n">
        <x:v>2</x:v>
      </x:c>
      <x:c r="Q54" t="n">
        <x:v>0</x:v>
      </x:c>
      <x:c r="R54" t="n">
        <x:v>0</x:v>
      </x:c>
      <x:c r="S54" t="n">
        <x:v>1</x:v>
      </x:c>
      <x:c r="T54" t="n">
        <x:v>0</x:v>
      </x:c>
      <x:c r="U54" t="n">
        <x:f>SUM(N54:T54)</x:f>
        <x:v>11</x:v>
      </x:c>
      <x:c r="V54" t="str">
        <x:v>OK</x:v>
      </x:c>
      <x:c r="W54" t="str">
        <x:v>Detalle 8vos publicado</x:v>
      </x:c>
    </x:row>
    <x:row r="55" ht="15" hidden="0" customHeight="1">
      <x:c r="A55" t="str">
        <x:v>8vos</x:v>
      </x:c>
      <x:c r="B55" t="str">
        <x:v>O6</x:v>
      </x:c>
      <x:c r="C55" t="str">
        <x:v>Aldo</x:v>
      </x:c>
      <x:c r="D55" t="str">
        <x:v>Portugal</x:v>
      </x:c>
      <x:c r="E55" t="str">
        <x:v>España</x:v>
      </x:c>
      <x:c r="F55" t="n">
        <x:v>2</x:v>
      </x:c>
      <x:c r="G55" t="n">
        <x:v>1</x:v>
      </x:c>
      <x:c r="H55" t="str">
        <x:v>Portugal</x:v>
      </x:c>
      <x:c r="I55" t="str">
        <x:v>90 minutos</x:v>
      </x:c>
      <x:c r="J55" t="n">
        <x:v>0</x:v>
      </x:c>
      <x:c r="K55" t="n">
        <x:v>1</x:v>
      </x:c>
      <x:c r="L55" t="str">
        <x:v>España</x:v>
      </x:c>
      <x:c r="M55" t="str">
        <x:v>90 minutos</x:v>
      </x:c>
      <x:c r="N55" t="n">
        <x:v>0</x:v>
      </x:c>
      <x:c r="O55" t="n">
        <x:v>0</x:v>
      </x:c>
      <x:c r="P55" t="n">
        <x:v>2</x:v>
      </x:c>
      <x:c r="Q55" t="n">
        <x:v>0</x:v>
      </x:c>
      <x:c r="R55" t="n">
        <x:v>0</x:v>
      </x:c>
      <x:c r="S55" t="n">
        <x:v>0</x:v>
      </x:c>
      <x:c r="T55" t="n">
        <x:v>1</x:v>
      </x:c>
      <x:c r="U55" t="n">
        <x:f>SUM(N55:T55)</x:f>
        <x:v>3</x:v>
      </x:c>
      <x:c r="V55" t="str">
        <x:v>OK</x:v>
      </x:c>
      <x:c r="W55" t="str">
        <x:v>Detalle 8vos publicado</x:v>
      </x:c>
    </x:row>
    <x:row r="56" ht="15" hidden="0" customHeight="1">
      <x:c r="A56" t="str">
        <x:v>8vos</x:v>
      </x:c>
      <x:c r="B56" t="str">
        <x:v>O7</x:v>
      </x:c>
      <x:c r="C56" t="str">
        <x:v>Aldo</x:v>
      </x:c>
      <x:c r="D56" t="str">
        <x:v>Suiza</x:v>
      </x:c>
      <x:c r="E56" t="str">
        <x:v>Colombia</x:v>
      </x:c>
      <x:c r="F56" t="n">
        <x:v>1</x:v>
      </x:c>
      <x:c r="G56" t="n">
        <x:v>2</x:v>
      </x:c>
      <x:c r="H56" t="str">
        <x:v>Colombia</x:v>
      </x:c>
      <x:c r="I56" t="str">
        <x:v>90 minutos</x:v>
      </x:c>
      <x:c r="J56" t="n">
        <x:v>0</x:v>
      </x:c>
      <x:c r="K56" t="n">
        <x:v>0</x:v>
      </x:c>
      <x:c r="L56" t="str">
        <x:v>Suiza</x:v>
      </x:c>
      <x:c r="M56" t="str">
        <x:v>Penales</x:v>
      </x:c>
      <x:c r="N56" t="n">
        <x:v>0</x:v>
      </x:c>
      <x:c r="O56" t="n">
        <x:v>0</x:v>
      </x:c>
      <x:c r="P56" t="n">
        <x:v>0</x:v>
      </x:c>
      <x:c r="Q56" t="n">
        <x:v>0</x:v>
      </x:c>
      <x:c r="R56" t="n">
        <x:v>0</x:v>
      </x:c>
      <x:c r="S56" t="n">
        <x:v>0</x:v>
      </x:c>
      <x:c r="T56" t="n">
        <x:v>0</x:v>
      </x:c>
      <x:c r="U56" t="n">
        <x:f>SUM(N56:T56)</x:f>
        <x:v>0</x:v>
      </x:c>
      <x:c r="V56" t="str">
        <x:v>OK</x:v>
      </x:c>
      <x:c r="W56" t="str">
        <x:v>Detalle 8vos publicado</x:v>
      </x:c>
    </x:row>
    <x:row r="57" ht="15" hidden="0" customHeight="1">
      <x:c r="A57" t="str">
        <x:v>8vos</x:v>
      </x:c>
      <x:c r="B57" t="str">
        <x:v>O8</x:v>
      </x:c>
      <x:c r="C57" t="str">
        <x:v>Aldo</x:v>
      </x:c>
      <x:c r="D57" t="str">
        <x:v>Argentina</x:v>
      </x:c>
      <x:c r="E57" t="str">
        <x:v>Egipto</x:v>
      </x:c>
      <x:c r="F57" t="n">
        <x:v>2</x:v>
      </x:c>
      <x:c r="G57" t="n">
        <x:v>1</x:v>
      </x:c>
      <x:c r="H57" t="str">
        <x:v>Argentina</x:v>
      </x:c>
      <x:c r="I57" t="str">
        <x:v>90 minutos</x:v>
      </x:c>
      <x:c r="J57" t="n">
        <x:v>3</x:v>
      </x:c>
      <x:c r="K57" t="n">
        <x:v>2</x:v>
      </x:c>
      <x:c r="L57" t="str">
        <x:v>Argentina</x:v>
      </x:c>
      <x:c r="M57" t="str">
        <x:v>90 minutos</x:v>
      </x:c>
      <x:c r="N57" t="n">
        <x:v>5</x:v>
      </x:c>
      <x:c r="O57" t="n">
        <x:v>3</x:v>
      </x:c>
      <x:c r="P57" t="n">
        <x:v>2</x:v>
      </x:c>
      <x:c r="Q57" t="n">
        <x:v>0</x:v>
      </x:c>
      <x:c r="R57" t="n">
        <x:v>2</x:v>
      </x:c>
      <x:c r="S57" t="n">
        <x:v>0</x:v>
      </x:c>
      <x:c r="T57" t="n">
        <x:v>0</x:v>
      </x:c>
      <x:c r="U57" t="n">
        <x:f>SUM(N57:T57)</x:f>
        <x:v>12</x:v>
      </x:c>
      <x:c r="V57" t="str">
        <x:v>OK</x:v>
      </x:c>
      <x:c r="W57" t="str">
        <x:v>Detalle 8vos publicado</x:v>
      </x:c>
    </x:row>
    <x:row r="58" ht="15" hidden="0" customHeight="1">
      <x:c r="A58" t="str">
        <x:v>8vos</x:v>
      </x:c>
      <x:c r="B58" t="str">
        <x:v>O1</x:v>
      </x:c>
      <x:c r="C58" t="str">
        <x:v>Javier</x:v>
      </x:c>
      <x:c r="D58" t="str">
        <x:v>Canadá</x:v>
      </x:c>
      <x:c r="E58" t="str">
        <x:v>Marruecos</x:v>
      </x:c>
      <x:c r="F58" t="n">
        <x:v>1</x:v>
      </x:c>
      <x:c r="G58" t="n">
        <x:v>2</x:v>
      </x:c>
      <x:c r="H58" t="str">
        <x:v>Marruecos</x:v>
      </x:c>
      <x:c r="I58" t="str">
        <x:v>90 minutos</x:v>
      </x:c>
      <x:c r="J58" t="n">
        <x:v>0</x:v>
      </x:c>
      <x:c r="K58" t="n">
        <x:v>3</x:v>
      </x:c>
      <x:c r="L58" t="str">
        <x:v>Marruecos</x:v>
      </x:c>
      <x:c r="M58" t="str">
        <x:v>90 minutos</x:v>
      </x:c>
      <x:c r="N58" t="n">
        <x:v>5</x:v>
      </x:c>
      <x:c r="O58" t="n">
        <x:v>3</x:v>
      </x:c>
      <x:c r="P58" t="n">
        <x:v>2</x:v>
      </x:c>
      <x:c r="Q58" t="n">
        <x:v>0</x:v>
      </x:c>
      <x:c r="R58" t="n">
        <x:v>0</x:v>
      </x:c>
      <x:c r="S58" t="n">
        <x:v>0</x:v>
      </x:c>
      <x:c r="T58" t="n">
        <x:v>0</x:v>
      </x:c>
      <x:c r="U58" t="n">
        <x:f>SUM(N58:T58)</x:f>
        <x:v>10</x:v>
      </x:c>
      <x:c r="V58" t="str">
        <x:v>OK</x:v>
      </x:c>
      <x:c r="W58" t="str">
        <x:v>Detalle 8vos publicado</x:v>
      </x:c>
    </x:row>
    <x:row r="59" ht="15" hidden="0" customHeight="1">
      <x:c r="A59" t="str">
        <x:v>8vos</x:v>
      </x:c>
      <x:c r="B59" t="str">
        <x:v>O2</x:v>
      </x:c>
      <x:c r="C59" t="str">
        <x:v>Javier</x:v>
      </x:c>
      <x:c r="D59" t="str">
        <x:v>Paraguay</x:v>
      </x:c>
      <x:c r="E59" t="str">
        <x:v>Francia</x:v>
      </x:c>
      <x:c r="F59" t="n">
        <x:v>0</x:v>
      </x:c>
      <x:c r="G59" t="n">
        <x:v>2</x:v>
      </x:c>
      <x:c r="H59" t="str">
        <x:v>Francia</x:v>
      </x:c>
      <x:c r="I59" t="str">
        <x:v>90 minutos</x:v>
      </x:c>
      <x:c r="J59" t="n">
        <x:v>0</x:v>
      </x:c>
      <x:c r="K59" t="n">
        <x:v>1</x:v>
      </x:c>
      <x:c r="L59" t="str">
        <x:v>Francia</x:v>
      </x:c>
      <x:c r="M59" t="str">
        <x:v>90 minutos</x:v>
      </x:c>
      <x:c r="N59" t="n">
        <x:v>5</x:v>
      </x:c>
      <x:c r="O59" t="n">
        <x:v>3</x:v>
      </x:c>
      <x:c r="P59" t="n">
        <x:v>2</x:v>
      </x:c>
      <x:c r="Q59" t="n">
        <x:v>0</x:v>
      </x:c>
      <x:c r="R59" t="n">
        <x:v>0</x:v>
      </x:c>
      <x:c r="S59" t="n">
        <x:v>1</x:v>
      </x:c>
      <x:c r="T59" t="n">
        <x:v>0</x:v>
      </x:c>
      <x:c r="U59" t="n">
        <x:f>SUM(N59:T59)</x:f>
        <x:v>11</x:v>
      </x:c>
      <x:c r="V59" t="str">
        <x:v>OK</x:v>
      </x:c>
      <x:c r="W59" t="str">
        <x:v>Detalle 8vos publicado</x:v>
      </x:c>
    </x:row>
    <x:row r="60" ht="15" hidden="0" customHeight="1">
      <x:c r="A60" t="str">
        <x:v>8vos</x:v>
      </x:c>
      <x:c r="B60" t="str">
        <x:v>O3</x:v>
      </x:c>
      <x:c r="C60" t="str">
        <x:v>Javier</x:v>
      </x:c>
      <x:c r="D60" t="str">
        <x:v>Brasil</x:v>
      </x:c>
      <x:c r="E60" t="str">
        <x:v>Noruega</x:v>
      </x:c>
      <x:c r="F60" t="n">
        <x:v>1</x:v>
      </x:c>
      <x:c r="G60" t="n">
        <x:v>0</x:v>
      </x:c>
      <x:c r="H60" t="str">
        <x:v>Brasil</x:v>
      </x:c>
      <x:c r="I60" t="str">
        <x:v>90 minutos</x:v>
      </x:c>
      <x:c r="J60" t="n">
        <x:v>1</x:v>
      </x:c>
      <x:c r="K60" t="n">
        <x:v>2</x:v>
      </x:c>
      <x:c r="L60" t="str">
        <x:v>Noruega</x:v>
      </x:c>
      <x:c r="M60" t="str">
        <x:v>90 minutos</x:v>
      </x:c>
      <x:c r="N60" t="n">
        <x:v>0</x:v>
      </x:c>
      <x:c r="O60" t="n">
        <x:v>0</x:v>
      </x:c>
      <x:c r="P60" t="n">
        <x:v>2</x:v>
      </x:c>
      <x:c r="Q60" t="n">
        <x:v>0</x:v>
      </x:c>
      <x:c r="R60" t="n">
        <x:v>0</x:v>
      </x:c>
      <x:c r="S60" t="n">
        <x:v>1</x:v>
      </x:c>
      <x:c r="T60" t="n">
        <x:v>0</x:v>
      </x:c>
      <x:c r="U60" t="n">
        <x:f>SUM(N60:T60)</x:f>
        <x:v>3</x:v>
      </x:c>
      <x:c r="V60" t="str">
        <x:v>OK</x:v>
      </x:c>
      <x:c r="W60" t="str">
        <x:v>Detalle 8vos publicado</x:v>
      </x:c>
    </x:row>
    <x:row r="61" ht="15" hidden="0" customHeight="1">
      <x:c r="A61" t="str">
        <x:v>8vos</x:v>
      </x:c>
      <x:c r="B61" t="str">
        <x:v>O4</x:v>
      </x:c>
      <x:c r="C61" t="str">
        <x:v>Javier</x:v>
      </x:c>
      <x:c r="D61" t="str">
        <x:v>México</x:v>
      </x:c>
      <x:c r="E61" t="str">
        <x:v>Inglaterra</x:v>
      </x:c>
      <x:c r="F61" t="n">
        <x:v>1</x:v>
      </x:c>
      <x:c r="G61" t="n">
        <x:v>1</x:v>
      </x:c>
      <x:c r="H61" t="str">
        <x:v>Inglaterra</x:v>
      </x:c>
      <x:c r="I61" t="str">
        <x:v>Penales</x:v>
      </x:c>
      <x:c r="J61" t="n">
        <x:v>2</x:v>
      </x:c>
      <x:c r="K61" t="n">
        <x:v>3</x:v>
      </x:c>
      <x:c r="L61" t="str">
        <x:v>Inglaterra</x:v>
      </x:c>
      <x:c r="M61" t="str">
        <x:v>90 minutos</x:v>
      </x:c>
      <x:c r="N61" t="n">
        <x:v>0</x:v>
      </x:c>
      <x:c r="O61" t="n">
        <x:v>3</x:v>
      </x:c>
      <x:c r="P61" t="n">
        <x:v>0</x:v>
      </x:c>
      <x:c r="Q61" t="n">
        <x:v>0</x:v>
      </x:c>
      <x:c r="R61" t="n">
        <x:v>0</x:v>
      </x:c>
      <x:c r="S61" t="n">
        <x:v>0</x:v>
      </x:c>
      <x:c r="T61" t="n">
        <x:v>0</x:v>
      </x:c>
      <x:c r="U61" t="n">
        <x:f>SUM(N61:T61)</x:f>
        <x:v>3</x:v>
      </x:c>
      <x:c r="V61" t="str">
        <x:v>OK</x:v>
      </x:c>
      <x:c r="W61" t="str">
        <x:v>Detalle 8vos publicado</x:v>
      </x:c>
    </x:row>
    <x:row r="62" ht="15" hidden="0" customHeight="1">
      <x:c r="A62" t="str">
        <x:v>8vos</x:v>
      </x:c>
      <x:c r="B62" t="str">
        <x:v>O5</x:v>
      </x:c>
      <x:c r="C62" t="str">
        <x:v>Javier</x:v>
      </x:c>
      <x:c r="D62" t="str">
        <x:v>Estados Unidos</x:v>
      </x:c>
      <x:c r="E62" t="str">
        <x:v>Bélgica</x:v>
      </x:c>
      <x:c r="F62" t="n">
        <x:v>2</x:v>
      </x:c>
      <x:c r="G62" t="n">
        <x:v>1</x:v>
      </x:c>
      <x:c r="H62" t="str">
        <x:v>EEUU</x:v>
      </x:c>
      <x:c r="I62" t="str">
        <x:v>90 minutos</x:v>
      </x:c>
      <x:c r="J62" t="n">
        <x:v>1</x:v>
      </x:c>
      <x:c r="K62" t="n">
        <x:v>4</x:v>
      </x:c>
      <x:c r="L62" t="str">
        <x:v>Bélgica</x:v>
      </x:c>
      <x:c r="M62" t="str">
        <x:v>90 minutos</x:v>
      </x:c>
      <x:c r="N62" t="n">
        <x:v>0</x:v>
      </x:c>
      <x:c r="O62" t="n">
        <x:v>0</x:v>
      </x:c>
      <x:c r="P62" t="n">
        <x:v>0</x:v>
      </x:c>
      <x:c r="Q62" t="n">
        <x:v>0</x:v>
      </x:c>
      <x:c r="R62" t="n">
        <x:v>0</x:v>
      </x:c>
      <x:c r="S62" t="n">
        <x:v>0</x:v>
      </x:c>
      <x:c r="T62" t="n">
        <x:v>0</x:v>
      </x:c>
      <x:c r="U62" t="n">
        <x:f>SUM(N62:T62)</x:f>
        <x:v>0</x:v>
      </x:c>
      <x:c r="V62" t="str">
        <x:v>Revisar: clasifica debe ser Estados Unidos</x:v>
      </x:c>
      <x:c r="W62" t="str">
        <x:v>Detalle 8vos publicado</x:v>
      </x:c>
    </x:row>
    <x:row r="63" ht="15" hidden="0" customHeight="1">
      <x:c r="A63" t="str">
        <x:v>8vos</x:v>
      </x:c>
      <x:c r="B63" t="str">
        <x:v>O6</x:v>
      </x:c>
      <x:c r="C63" t="str">
        <x:v>Javier</x:v>
      </x:c>
      <x:c r="D63" t="str">
        <x:v>Portugal</x:v>
      </x:c>
      <x:c r="E63" t="str">
        <x:v>España</x:v>
      </x:c>
      <x:c r="F63" t="n">
        <x:v>2</x:v>
      </x:c>
      <x:c r="G63" t="n">
        <x:v>1</x:v>
      </x:c>
      <x:c r="H63" t="str">
        <x:v>Portugal</x:v>
      </x:c>
      <x:c r="I63" t="str">
        <x:v>Suplementario</x:v>
      </x:c>
      <x:c r="J63" t="n">
        <x:v>0</x:v>
      </x:c>
      <x:c r="K63" t="n">
        <x:v>1</x:v>
      </x:c>
      <x:c r="L63" t="str">
        <x:v>España</x:v>
      </x:c>
      <x:c r="M63" t="str">
        <x:v>90 minutos</x:v>
      </x:c>
      <x:c r="N63" t="n">
        <x:v>0</x:v>
      </x:c>
      <x:c r="O63" t="n">
        <x:v>0</x:v>
      </x:c>
      <x:c r="P63" t="n">
        <x:v>0</x:v>
      </x:c>
      <x:c r="Q63" t="n">
        <x:v>0</x:v>
      </x:c>
      <x:c r="R63" t="n">
        <x:v>0</x:v>
      </x:c>
      <x:c r="S63" t="n">
        <x:v>0</x:v>
      </x:c>
      <x:c r="T63" t="n">
        <x:v>0</x:v>
      </x:c>
      <x:c r="U63" t="n">
        <x:f>SUM(N63:T63)</x:f>
        <x:v>0</x:v>
      </x:c>
      <x:c r="V63" t="str">
        <x:v>Revisar: ganador en 90 debe tener método 90 minutos</x:v>
      </x:c>
      <x:c r="W63" t="str">
        <x:v>Detalle 8vos publicado</x:v>
      </x:c>
    </x:row>
    <x:row r="64" ht="15" hidden="0" customHeight="1">
      <x:c r="A64" t="str">
        <x:v>8vos</x:v>
      </x:c>
      <x:c r="B64" t="str">
        <x:v>O7</x:v>
      </x:c>
      <x:c r="C64" t="str">
        <x:v>Javier</x:v>
      </x:c>
      <x:c r="D64" t="str">
        <x:v>Suiza</x:v>
      </x:c>
      <x:c r="E64" t="str">
        <x:v>Colombia</x:v>
      </x:c>
      <x:c r="F64" t="n">
        <x:v>1</x:v>
      </x:c>
      <x:c r="G64" t="n">
        <x:v>2</x:v>
      </x:c>
      <x:c r="H64" t="str">
        <x:v>Colombia</x:v>
      </x:c>
      <x:c r="I64" t="str">
        <x:v>Suplementario</x:v>
      </x:c>
      <x:c r="J64" t="n">
        <x:v>0</x:v>
      </x:c>
      <x:c r="K64" t="n">
        <x:v>0</x:v>
      </x:c>
      <x:c r="L64" t="str">
        <x:v>Suiza</x:v>
      </x:c>
      <x:c r="M64" t="str">
        <x:v>Penales</x:v>
      </x:c>
      <x:c r="N64" t="n">
        <x:v>0</x:v>
      </x:c>
      <x:c r="O64" t="n">
        <x:v>0</x:v>
      </x:c>
      <x:c r="P64" t="n">
        <x:v>0</x:v>
      </x:c>
      <x:c r="Q64" t="n">
        <x:v>0</x:v>
      </x:c>
      <x:c r="R64" t="n">
        <x:v>0</x:v>
      </x:c>
      <x:c r="S64" t="n">
        <x:v>0</x:v>
      </x:c>
      <x:c r="T64" t="n">
        <x:v>0</x:v>
      </x:c>
      <x:c r="U64" t="n">
        <x:f>SUM(N64:T64)</x:f>
        <x:v>0</x:v>
      </x:c>
      <x:c r="V64" t="str">
        <x:v>Revisar: ganador en 90 debe tener método 90 minutos</x:v>
      </x:c>
      <x:c r="W64" t="str">
        <x:v>Detalle 8vos publicado</x:v>
      </x:c>
    </x:row>
    <x:row r="65" ht="15" hidden="0" customHeight="1">
      <x:c r="A65" t="str">
        <x:v>8vos</x:v>
      </x:c>
      <x:c r="B65" t="str">
        <x:v>O8</x:v>
      </x:c>
      <x:c r="C65" t="str">
        <x:v>Javier</x:v>
      </x:c>
      <x:c r="D65" t="str">
        <x:v>Argentina</x:v>
      </x:c>
      <x:c r="E65" t="str">
        <x:v>Egipto</x:v>
      </x:c>
      <x:c r="F65" t="n">
        <x:v>2</x:v>
      </x:c>
      <x:c r="G65" t="n">
        <x:v>0</x:v>
      </x:c>
      <x:c r="H65" t="str">
        <x:v>Argentina</x:v>
      </x:c>
      <x:c r="I65" t="str">
        <x:v>90 minutos</x:v>
      </x:c>
      <x:c r="J65" t="n">
        <x:v>3</x:v>
      </x:c>
      <x:c r="K65" t="n">
        <x:v>2</x:v>
      </x:c>
      <x:c r="L65" t="str">
        <x:v>Argentina</x:v>
      </x:c>
      <x:c r="M65" t="str">
        <x:v>90 minutos</x:v>
      </x:c>
      <x:c r="N65" t="n">
        <x:v>5</x:v>
      </x:c>
      <x:c r="O65" t="n">
        <x:v>3</x:v>
      </x:c>
      <x:c r="P65" t="n">
        <x:v>2</x:v>
      </x:c>
      <x:c r="Q65" t="n">
        <x:v>0</x:v>
      </x:c>
      <x:c r="R65" t="n">
        <x:v>0</x:v>
      </x:c>
      <x:c r="S65" t="n">
        <x:v>0</x:v>
      </x:c>
      <x:c r="T65" t="n">
        <x:v>0</x:v>
      </x:c>
      <x:c r="U65" t="n">
        <x:f>SUM(N65:T65)</x:f>
        <x:v>10</x:v>
      </x:c>
      <x:c r="V65" t="str">
        <x:v>OK</x:v>
      </x:c>
      <x:c r="W65" t="str">
        <x:v>Detalle 8vos publicado</x:v>
      </x:c>
    </x:row>
    <x:row r="66" ht="15" hidden="0" customHeight="1">
      <x:c r="A66" t="str">
        <x:v>8vos</x:v>
      </x:c>
      <x:c r="B66" t="str">
        <x:v>O1</x:v>
      </x:c>
      <x:c r="C66" t="str">
        <x:v>Gino</x:v>
      </x:c>
      <x:c r="D66" t="str">
        <x:v>Canadá</x:v>
      </x:c>
      <x:c r="E66" t="str">
        <x:v>Marruecos</x:v>
      </x:c>
      <x:c r="F66" t="n">
        <x:v>1</x:v>
      </x:c>
      <x:c r="G66" t="n">
        <x:v>2</x:v>
      </x:c>
      <x:c r="H66" t="str">
        <x:v>Marruecos</x:v>
      </x:c>
      <x:c r="I66" t="str">
        <x:v>Suplementario</x:v>
      </x:c>
      <x:c r="J66" t="n">
        <x:v>0</x:v>
      </x:c>
      <x:c r="K66" t="n">
        <x:v>3</x:v>
      </x:c>
      <x:c r="L66" t="str">
        <x:v>Marruecos</x:v>
      </x:c>
      <x:c r="M66" t="str">
        <x:v>90 minutos</x:v>
      </x:c>
      <x:c r="N66" t="n">
        <x:v>0</x:v>
      </x:c>
      <x:c r="O66" t="n">
        <x:v>0</x:v>
      </x:c>
      <x:c r="P66" t="n">
        <x:v>0</x:v>
      </x:c>
      <x:c r="Q66" t="n">
        <x:v>0</x:v>
      </x:c>
      <x:c r="R66" t="n">
        <x:v>0</x:v>
      </x:c>
      <x:c r="S66" t="n">
        <x:v>0</x:v>
      </x:c>
      <x:c r="T66" t="n">
        <x:v>0</x:v>
      </x:c>
      <x:c r="U66" t="n">
        <x:f>SUM(N66:T66)</x:f>
        <x:v>0</x:v>
      </x:c>
      <x:c r="V66" t="str">
        <x:v>Revisar: ganador en 90 debe tener método 90 minutos</x:v>
      </x:c>
      <x:c r="W66" t="str">
        <x:v>Detalle 8vos publicado</x:v>
      </x:c>
    </x:row>
    <x:row r="67" ht="15" hidden="0" customHeight="1">
      <x:c r="A67" t="str">
        <x:v>8vos</x:v>
      </x:c>
      <x:c r="B67" t="str">
        <x:v>O2</x:v>
      </x:c>
      <x:c r="C67" t="str">
        <x:v>Gino</x:v>
      </x:c>
      <x:c r="D67" t="str">
        <x:v>Paraguay</x:v>
      </x:c>
      <x:c r="E67" t="str">
        <x:v>Francia</x:v>
      </x:c>
      <x:c r="F67" t="n">
        <x:v>0</x:v>
      </x:c>
      <x:c r="G67" t="n">
        <x:v>3</x:v>
      </x:c>
      <x:c r="H67" t="str">
        <x:v>Francia</x:v>
      </x:c>
      <x:c r="I67" t="str">
        <x:v>90 minutos</x:v>
      </x:c>
      <x:c r="J67" t="n">
        <x:v>0</x:v>
      </x:c>
      <x:c r="K67" t="n">
        <x:v>1</x:v>
      </x:c>
      <x:c r="L67" t="str">
        <x:v>Francia</x:v>
      </x:c>
      <x:c r="M67" t="str">
        <x:v>90 minutos</x:v>
      </x:c>
      <x:c r="N67" t="n">
        <x:v>5</x:v>
      </x:c>
      <x:c r="O67" t="n">
        <x:v>3</x:v>
      </x:c>
      <x:c r="P67" t="n">
        <x:v>2</x:v>
      </x:c>
      <x:c r="Q67" t="n">
        <x:v>0</x:v>
      </x:c>
      <x:c r="R67" t="n">
        <x:v>0</x:v>
      </x:c>
      <x:c r="S67" t="n">
        <x:v>1</x:v>
      </x:c>
      <x:c r="T67" t="n">
        <x:v>0</x:v>
      </x:c>
      <x:c r="U67" t="n">
        <x:f>SUM(N67:T67)</x:f>
        <x:v>11</x:v>
      </x:c>
      <x:c r="V67" t="str">
        <x:v>OK</x:v>
      </x:c>
      <x:c r="W67" t="str">
        <x:v>Detalle 8vos publicado</x:v>
      </x:c>
    </x:row>
    <x:row r="68" ht="15" hidden="0" customHeight="1">
      <x:c r="A68" t="str">
        <x:v>8vos</x:v>
      </x:c>
      <x:c r="B68" t="str">
        <x:v>O3</x:v>
      </x:c>
      <x:c r="C68" t="str">
        <x:v>Gino</x:v>
      </x:c>
      <x:c r="D68" t="str">
        <x:v>Brasil</x:v>
      </x:c>
      <x:c r="E68" t="str">
        <x:v>Noruega</x:v>
      </x:c>
      <x:c r="F68" t="n">
        <x:v>2</x:v>
      </x:c>
      <x:c r="G68" t="n">
        <x:v>1</x:v>
      </x:c>
      <x:c r="H68" t="str">
        <x:v>Brasil</x:v>
      </x:c>
      <x:c r="I68" t="str">
        <x:v>90 minutos</x:v>
      </x:c>
      <x:c r="J68" t="n">
        <x:v>1</x:v>
      </x:c>
      <x:c r="K68" t="n">
        <x:v>2</x:v>
      </x:c>
      <x:c r="L68" t="str">
        <x:v>Noruega</x:v>
      </x:c>
      <x:c r="M68" t="str">
        <x:v>90 minutos</x:v>
      </x:c>
      <x:c r="N68" t="n">
        <x:v>0</x:v>
      </x:c>
      <x:c r="O68" t="n">
        <x:v>0</x:v>
      </x:c>
      <x:c r="P68" t="n">
        <x:v>2</x:v>
      </x:c>
      <x:c r="Q68" t="n">
        <x:v>0</x:v>
      </x:c>
      <x:c r="R68" t="n">
        <x:v>0</x:v>
      </x:c>
      <x:c r="S68" t="n">
        <x:v>0</x:v>
      </x:c>
      <x:c r="T68" t="n">
        <x:v>0</x:v>
      </x:c>
      <x:c r="U68" t="n">
        <x:f>SUM(N68:T68)</x:f>
        <x:v>2</x:v>
      </x:c>
      <x:c r="V68" t="str">
        <x:v>OK</x:v>
      </x:c>
      <x:c r="W68" t="str">
        <x:v>Detalle 8vos publicado</x:v>
      </x:c>
    </x:row>
    <x:row r="69" ht="15" hidden="0" customHeight="1">
      <x:c r="A69" t="str">
        <x:v>8vos</x:v>
      </x:c>
      <x:c r="B69" t="str">
        <x:v>O4</x:v>
      </x:c>
      <x:c r="C69" t="str">
        <x:v>Gino</x:v>
      </x:c>
      <x:c r="D69" t="str">
        <x:v>México</x:v>
      </x:c>
      <x:c r="E69" t="str">
        <x:v>Inglaterra</x:v>
      </x:c>
      <x:c r="F69" t="n">
        <x:v>1</x:v>
      </x:c>
      <x:c r="G69" t="n">
        <x:v>2</x:v>
      </x:c>
      <x:c r="H69" t="str">
        <x:v>Inglaterra</x:v>
      </x:c>
      <x:c r="I69" t="str">
        <x:v>Suplementario</x:v>
      </x:c>
      <x:c r="J69" t="n">
        <x:v>2</x:v>
      </x:c>
      <x:c r="K69" t="n">
        <x:v>3</x:v>
      </x:c>
      <x:c r="L69" t="str">
        <x:v>Inglaterra</x:v>
      </x:c>
      <x:c r="M69" t="str">
        <x:v>90 minutos</x:v>
      </x:c>
      <x:c r="N69" t="n">
        <x:v>0</x:v>
      </x:c>
      <x:c r="O69" t="n">
        <x:v>0</x:v>
      </x:c>
      <x:c r="P69" t="n">
        <x:v>0</x:v>
      </x:c>
      <x:c r="Q69" t="n">
        <x:v>0</x:v>
      </x:c>
      <x:c r="R69" t="n">
        <x:v>0</x:v>
      </x:c>
      <x:c r="S69" t="n">
        <x:v>0</x:v>
      </x:c>
      <x:c r="T69" t="n">
        <x:v>0</x:v>
      </x:c>
      <x:c r="U69" t="n">
        <x:f>SUM(N69:T69)</x:f>
        <x:v>0</x:v>
      </x:c>
      <x:c r="V69" t="str">
        <x:v>Revisar: ganador en 90 debe tener método 90 minutos</x:v>
      </x:c>
      <x:c r="W69" t="str">
        <x:v>Detalle 8vos publicado</x:v>
      </x:c>
    </x:row>
    <x:row r="70" ht="15" hidden="0" customHeight="1">
      <x:c r="A70" t="str">
        <x:v>8vos</x:v>
      </x:c>
      <x:c r="B70" t="str">
        <x:v>O5</x:v>
      </x:c>
      <x:c r="C70" t="str">
        <x:v>Gino</x:v>
      </x:c>
      <x:c r="D70" t="str">
        <x:v>Estados Unidos</x:v>
      </x:c>
      <x:c r="E70" t="str">
        <x:v>Bélgica</x:v>
      </x:c>
      <x:c r="F70" t="n">
        <x:v>2</x:v>
      </x:c>
      <x:c r="G70" t="n">
        <x:v>2</x:v>
      </x:c>
      <x:c r="H70" t="str">
        <x:v>Bélgica</x:v>
      </x:c>
      <x:c r="I70" t="str">
        <x:v>Penales</x:v>
      </x:c>
      <x:c r="J70" t="n">
        <x:v>1</x:v>
      </x:c>
      <x:c r="K70" t="n">
        <x:v>4</x:v>
      </x:c>
      <x:c r="L70" t="str">
        <x:v>Bélgica</x:v>
      </x:c>
      <x:c r="M70" t="str">
        <x:v>90 minutos</x:v>
      </x:c>
      <x:c r="N70" t="n">
        <x:v>0</x:v>
      </x:c>
      <x:c r="O70" t="n">
        <x:v>3</x:v>
      </x:c>
      <x:c r="P70" t="n">
        <x:v>0</x:v>
      </x:c>
      <x:c r="Q70" t="n">
        <x:v>0</x:v>
      </x:c>
      <x:c r="R70" t="n">
        <x:v>0</x:v>
      </x:c>
      <x:c r="S70" t="n">
        <x:v>0</x:v>
      </x:c>
      <x:c r="T70" t="n">
        <x:v>0</x:v>
      </x:c>
      <x:c r="U70" t="n">
        <x:f>SUM(N70:T70)</x:f>
        <x:v>3</x:v>
      </x:c>
      <x:c r="V70" t="str">
        <x:v>OK</x:v>
      </x:c>
      <x:c r="W70" t="str">
        <x:v>Detalle 8vos publicado</x:v>
      </x:c>
    </x:row>
    <x:row r="71" ht="15" hidden="0" customHeight="1">
      <x:c r="A71" t="str">
        <x:v>8vos</x:v>
      </x:c>
      <x:c r="B71" t="str">
        <x:v>O6</x:v>
      </x:c>
      <x:c r="C71" t="str">
        <x:v>Gino</x:v>
      </x:c>
      <x:c r="D71" t="str">
        <x:v>Portugal</x:v>
      </x:c>
      <x:c r="E71" t="str">
        <x:v>España</x:v>
      </x:c>
      <x:c r="F71" t="n">
        <x:v>1</x:v>
      </x:c>
      <x:c r="G71" t="n">
        <x:v>3</x:v>
      </x:c>
      <x:c r="H71" t="str">
        <x:v>España</x:v>
      </x:c>
      <x:c r="I71" t="str">
        <x:v>90 minutos</x:v>
      </x:c>
      <x:c r="J71" t="n">
        <x:v>0</x:v>
      </x:c>
      <x:c r="K71" t="n">
        <x:v>1</x:v>
      </x:c>
      <x:c r="L71" t="str">
        <x:v>España</x:v>
      </x:c>
      <x:c r="M71" t="str">
        <x:v>90 minutos</x:v>
      </x:c>
      <x:c r="N71" t="n">
        <x:v>5</x:v>
      </x:c>
      <x:c r="O71" t="n">
        <x:v>3</x:v>
      </x:c>
      <x:c r="P71" t="n">
        <x:v>2</x:v>
      </x:c>
      <x:c r="Q71" t="n">
        <x:v>0</x:v>
      </x:c>
      <x:c r="R71" t="n">
        <x:v>0</x:v>
      </x:c>
      <x:c r="S71" t="n">
        <x:v>0</x:v>
      </x:c>
      <x:c r="T71" t="n">
        <x:v>0</x:v>
      </x:c>
      <x:c r="U71" t="n">
        <x:f>SUM(N71:T71)</x:f>
        <x:v>10</x:v>
      </x:c>
      <x:c r="V71" t="str">
        <x:v>OK</x:v>
      </x:c>
      <x:c r="W71" t="str">
        <x:v>Detalle 8vos publicado</x:v>
      </x:c>
    </x:row>
    <x:row r="72" ht="15" hidden="0" customHeight="1">
      <x:c r="A72" t="str">
        <x:v>8vos</x:v>
      </x:c>
      <x:c r="B72" t="str">
        <x:v>O7</x:v>
      </x:c>
      <x:c r="C72" t="str">
        <x:v>Gino</x:v>
      </x:c>
      <x:c r="D72" t="str">
        <x:v>Suiza</x:v>
      </x:c>
      <x:c r="E72" t="str">
        <x:v>Colombia</x:v>
      </x:c>
      <x:c r="F72" t="n">
        <x:v>0</x:v>
      </x:c>
      <x:c r="G72" t="n">
        <x:v>2</x:v>
      </x:c>
      <x:c r="H72" t="str">
        <x:v>Colombia</x:v>
      </x:c>
      <x:c r="I72" t="str">
        <x:v>90 minutos</x:v>
      </x:c>
      <x:c r="J72" t="n">
        <x:v>0</x:v>
      </x:c>
      <x:c r="K72" t="n">
        <x:v>0</x:v>
      </x:c>
      <x:c r="L72" t="str">
        <x:v>Suiza</x:v>
      </x:c>
      <x:c r="M72" t="str">
        <x:v>Penales</x:v>
      </x:c>
      <x:c r="N72" t="n">
        <x:v>0</x:v>
      </x:c>
      <x:c r="O72" t="n">
        <x:v>0</x:v>
      </x:c>
      <x:c r="P72" t="n">
        <x:v>0</x:v>
      </x:c>
      <x:c r="Q72" t="n">
        <x:v>0</x:v>
      </x:c>
      <x:c r="R72" t="n">
        <x:v>0</x:v>
      </x:c>
      <x:c r="S72" t="n">
        <x:v>1</x:v>
      </x:c>
      <x:c r="T72" t="n">
        <x:v>0</x:v>
      </x:c>
      <x:c r="U72" t="n">
        <x:f>SUM(N72:T72)</x:f>
        <x:v>1</x:v>
      </x:c>
      <x:c r="V72" t="str">
        <x:v>OK</x:v>
      </x:c>
      <x:c r="W72" t="str">
        <x:v>Detalle 8vos publicado</x:v>
      </x:c>
    </x:row>
    <x:row r="73" ht="15" hidden="0" customHeight="1">
      <x:c r="A73" t="str">
        <x:v>8vos</x:v>
      </x:c>
      <x:c r="B73" t="str">
        <x:v>O8</x:v>
      </x:c>
      <x:c r="C73" t="str">
        <x:v>Gino</x:v>
      </x:c>
      <x:c r="D73" t="str">
        <x:v>Argentina</x:v>
      </x:c>
      <x:c r="E73" t="str">
        <x:v>Egipto</x:v>
      </x:c>
      <x:c r="F73" t="n">
        <x:v>2</x:v>
      </x:c>
      <x:c r="G73" t="n">
        <x:v>0</x:v>
      </x:c>
      <x:c r="H73" t="str">
        <x:v>Argentina</x:v>
      </x:c>
      <x:c r="I73" t="str">
        <x:v>90 minutos</x:v>
      </x:c>
      <x:c r="J73" t="n">
        <x:v>3</x:v>
      </x:c>
      <x:c r="K73" t="n">
        <x:v>2</x:v>
      </x:c>
      <x:c r="L73" t="str">
        <x:v>Argentina</x:v>
      </x:c>
      <x:c r="M73" t="str">
        <x:v>90 minutos</x:v>
      </x:c>
      <x:c r="N73" t="n">
        <x:v>5</x:v>
      </x:c>
      <x:c r="O73" t="n">
        <x:v>3</x:v>
      </x:c>
      <x:c r="P73" t="n">
        <x:v>2</x:v>
      </x:c>
      <x:c r="Q73" t="n">
        <x:v>0</x:v>
      </x:c>
      <x:c r="R73" t="n">
        <x:v>0</x:v>
      </x:c>
      <x:c r="S73" t="n">
        <x:v>0</x:v>
      </x:c>
      <x:c r="T73" t="n">
        <x:v>0</x:v>
      </x:c>
      <x:c r="U73" t="n">
        <x:f>SUM(N73:T73)</x:f>
        <x:v>10</x:v>
      </x:c>
      <x:c r="V73" t="str">
        <x:v>OK</x:v>
      </x:c>
      <x:c r="W73" t="str">
        <x:v>Detalle 8vos publicado</x:v>
      </x:c>
    </x:row>
    <x:row r="74" ht="15" hidden="0" customHeight="1">
      <x:c r="A74" t="str">
        <x:v>8vos</x:v>
      </x:c>
      <x:c r="B74" t="str">
        <x:v>O1</x:v>
      </x:c>
      <x:c r="C74" t="str">
        <x:v>Manuel</x:v>
      </x:c>
      <x:c r="D74" t="str">
        <x:v>Canadá</x:v>
      </x:c>
      <x:c r="E74" t="str">
        <x:v>Marruecos</x:v>
      </x:c>
      <x:c r="F74" t="n">
        <x:v>2</x:v>
      </x:c>
      <x:c r="G74" t="n">
        <x:v>2</x:v>
      </x:c>
      <x:c r="H74" t="str">
        <x:v>Marruecos</x:v>
      </x:c>
      <x:c r="I74" t="str">
        <x:v>Suplementario</x:v>
      </x:c>
      <x:c r="J74" t="n">
        <x:v>0</x:v>
      </x:c>
      <x:c r="K74" t="n">
        <x:v>3</x:v>
      </x:c>
      <x:c r="L74" t="str">
        <x:v>Marruecos</x:v>
      </x:c>
      <x:c r="M74" t="str">
        <x:v>90 minutos</x:v>
      </x:c>
      <x:c r="N74" t="n">
        <x:v>0</x:v>
      </x:c>
      <x:c r="O74" t="n">
        <x:v>3</x:v>
      </x:c>
      <x:c r="P74" t="n">
        <x:v>0</x:v>
      </x:c>
      <x:c r="Q74" t="n">
        <x:v>0</x:v>
      </x:c>
      <x:c r="R74" t="n">
        <x:v>0</x:v>
      </x:c>
      <x:c r="S74" t="n">
        <x:v>0</x:v>
      </x:c>
      <x:c r="T74" t="n">
        <x:v>0</x:v>
      </x:c>
      <x:c r="U74" t="n">
        <x:f>SUM(N74:T74)</x:f>
        <x:v>3</x:v>
      </x:c>
      <x:c r="V74" t="str">
        <x:v>OK</x:v>
      </x:c>
      <x:c r="W74" t="str">
        <x:v>Detalle 8vos publicado</x:v>
      </x:c>
    </x:row>
    <x:row r="75" ht="15" hidden="0" customHeight="1">
      <x:c r="A75" t="str">
        <x:v>8vos</x:v>
      </x:c>
      <x:c r="B75" t="str">
        <x:v>O2</x:v>
      </x:c>
      <x:c r="C75" t="str">
        <x:v>Manuel</x:v>
      </x:c>
      <x:c r="D75" t="str">
        <x:v>Paraguay</x:v>
      </x:c>
      <x:c r="E75" t="str">
        <x:v>Francia</x:v>
      </x:c>
      <x:c r="F75" t="n">
        <x:v>1</x:v>
      </x:c>
      <x:c r="G75" t="n">
        <x:v>1</x:v>
      </x:c>
      <x:c r="H75" t="str">
        <x:v>Francia</x:v>
      </x:c>
      <x:c r="I75" t="str">
        <x:v>Suplementario</x:v>
      </x:c>
      <x:c r="J75" t="n">
        <x:v>0</x:v>
      </x:c>
      <x:c r="K75" t="n">
        <x:v>1</x:v>
      </x:c>
      <x:c r="L75" t="str">
        <x:v>Francia</x:v>
      </x:c>
      <x:c r="M75" t="str">
        <x:v>90 minutos</x:v>
      </x:c>
      <x:c r="N75" t="n">
        <x:v>0</x:v>
      </x:c>
      <x:c r="O75" t="n">
        <x:v>3</x:v>
      </x:c>
      <x:c r="P75" t="n">
        <x:v>0</x:v>
      </x:c>
      <x:c r="Q75" t="n">
        <x:v>0</x:v>
      </x:c>
      <x:c r="R75" t="n">
        <x:v>0</x:v>
      </x:c>
      <x:c r="S75" t="n">
        <x:v>0</x:v>
      </x:c>
      <x:c r="T75" t="n">
        <x:v>1</x:v>
      </x:c>
      <x:c r="U75" t="n">
        <x:f>SUM(N75:T75)</x:f>
        <x:v>4</x:v>
      </x:c>
      <x:c r="V75" t="str">
        <x:v>OK</x:v>
      </x:c>
      <x:c r="W75" t="str">
        <x:v>Detalle 8vos publicado</x:v>
      </x:c>
    </x:row>
    <x:row r="76" ht="15" hidden="0" customHeight="1">
      <x:c r="A76" t="str">
        <x:v>8vos</x:v>
      </x:c>
      <x:c r="B76" t="str">
        <x:v>O3</x:v>
      </x:c>
      <x:c r="C76" t="str">
        <x:v>Manuel</x:v>
      </x:c>
      <x:c r="D76" t="str">
        <x:v>Brasil</x:v>
      </x:c>
      <x:c r="E76" t="str">
        <x:v>Noruega</x:v>
      </x:c>
      <x:c r="F76" t="n">
        <x:v>1</x:v>
      </x:c>
      <x:c r="G76" t="n">
        <x:v>2</x:v>
      </x:c>
      <x:c r="H76" t="str">
        <x:v>Noruega</x:v>
      </x:c>
      <x:c r="I76" t="str">
        <x:v>90 minutos</x:v>
      </x:c>
      <x:c r="J76" t="n">
        <x:v>1</x:v>
      </x:c>
      <x:c r="K76" t="n">
        <x:v>2</x:v>
      </x:c>
      <x:c r="L76" t="str">
        <x:v>Noruega</x:v>
      </x:c>
      <x:c r="M76" t="str">
        <x:v>90 minutos</x:v>
      </x:c>
      <x:c r="N76" t="n">
        <x:v>5</x:v>
      </x:c>
      <x:c r="O76" t="n">
        <x:v>3</x:v>
      </x:c>
      <x:c r="P76" t="n">
        <x:v>2</x:v>
      </x:c>
      <x:c r="Q76" t="n">
        <x:v>4</x:v>
      </x:c>
      <x:c r="R76" t="n">
        <x:v>2</x:v>
      </x:c>
      <x:c r="S76" t="n">
        <x:v>1</x:v>
      </x:c>
      <x:c r="T76" t="n">
        <x:v>1</x:v>
      </x:c>
      <x:c r="U76" t="n">
        <x:f>SUM(N76:T76)</x:f>
        <x:v>18</x:v>
      </x:c>
      <x:c r="V76" t="str">
        <x:v>OK</x:v>
      </x:c>
      <x:c r="W76" t="str">
        <x:v>Detalle 8vos publicado</x:v>
      </x:c>
    </x:row>
    <x:row r="77" ht="15" hidden="0" customHeight="1">
      <x:c r="A77" t="str">
        <x:v>8vos</x:v>
      </x:c>
      <x:c r="B77" t="str">
        <x:v>O4</x:v>
      </x:c>
      <x:c r="C77" t="str">
        <x:v>Manuel</x:v>
      </x:c>
      <x:c r="D77" t="str">
        <x:v>México</x:v>
      </x:c>
      <x:c r="E77" t="str">
        <x:v>Inglaterra</x:v>
      </x:c>
      <x:c r="F77" t="n">
        <x:v>2</x:v>
      </x:c>
      <x:c r="G77" t="n">
        <x:v>3</x:v>
      </x:c>
      <x:c r="H77" t="str">
        <x:v>Inglaterra</x:v>
      </x:c>
      <x:c r="I77" t="str">
        <x:v>Suplementario</x:v>
      </x:c>
      <x:c r="J77" t="n">
        <x:v>2</x:v>
      </x:c>
      <x:c r="K77" t="n">
        <x:v>3</x:v>
      </x:c>
      <x:c r="L77" t="str">
        <x:v>Inglaterra</x:v>
      </x:c>
      <x:c r="M77" t="str">
        <x:v>90 minutos</x:v>
      </x:c>
      <x:c r="N77" t="n">
        <x:v>0</x:v>
      </x:c>
      <x:c r="O77" t="n">
        <x:v>0</x:v>
      </x:c>
      <x:c r="P77" t="n">
        <x:v>0</x:v>
      </x:c>
      <x:c r="Q77" t="n">
        <x:v>0</x:v>
      </x:c>
      <x:c r="R77" t="n">
        <x:v>0</x:v>
      </x:c>
      <x:c r="S77" t="n">
        <x:v>0</x:v>
      </x:c>
      <x:c r="T77" t="n">
        <x:v>0</x:v>
      </x:c>
      <x:c r="U77" t="n">
        <x:f>SUM(N77:T77)</x:f>
        <x:v>0</x:v>
      </x:c>
      <x:c r="V77" t="str">
        <x:v>Revisar: ganador en 90 debe tener método 90 minutos</x:v>
      </x:c>
      <x:c r="W77" t="str">
        <x:v>Detalle 8vos publicado</x:v>
      </x:c>
    </x:row>
    <x:row r="78" ht="15" hidden="0" customHeight="1">
      <x:c r="A78" t="str">
        <x:v>8vos</x:v>
      </x:c>
      <x:c r="B78" t="str">
        <x:v>O5</x:v>
      </x:c>
      <x:c r="C78" t="str">
        <x:v>Manuel</x:v>
      </x:c>
      <x:c r="D78" t="str">
        <x:v>Estados Unidos</x:v>
      </x:c>
      <x:c r="E78" t="str">
        <x:v>Bélgica</x:v>
      </x:c>
      <x:c r="F78" t="n">
        <x:v>2</x:v>
      </x:c>
      <x:c r="G78" t="n">
        <x:v>2</x:v>
      </x:c>
      <x:c r="H78" t="str">
        <x:v>EEUU</x:v>
      </x:c>
      <x:c r="I78" t="str">
        <x:v>Penales</x:v>
      </x:c>
      <x:c r="J78" t="n">
        <x:v>1</x:v>
      </x:c>
      <x:c r="K78" t="n">
        <x:v>4</x:v>
      </x:c>
      <x:c r="L78" t="str">
        <x:v>Bélgica</x:v>
      </x:c>
      <x:c r="M78" t="str">
        <x:v>90 minutos</x:v>
      </x:c>
      <x:c r="N78" t="n">
        <x:v>0</x:v>
      </x:c>
      <x:c r="O78" t="n">
        <x:v>0</x:v>
      </x:c>
      <x:c r="P78" t="n">
        <x:v>0</x:v>
      </x:c>
      <x:c r="Q78" t="n">
        <x:v>0</x:v>
      </x:c>
      <x:c r="R78" t="n">
        <x:v>0</x:v>
      </x:c>
      <x:c r="S78" t="n">
        <x:v>0</x:v>
      </x:c>
      <x:c r="T78" t="n">
        <x:v>0</x:v>
      </x:c>
      <x:c r="U78" t="n">
        <x:f>SUM(N78:T78)</x:f>
        <x:v>0</x:v>
      </x:c>
      <x:c r="V78" t="str">
        <x:v>OK</x:v>
      </x:c>
      <x:c r="W78" t="str">
        <x:v>Detalle 8vos publicado</x:v>
      </x:c>
    </x:row>
    <x:row r="79" ht="15" hidden="0" customHeight="1">
      <x:c r="A79" t="str">
        <x:v>8vos</x:v>
      </x:c>
      <x:c r="B79" t="str">
        <x:v>O6</x:v>
      </x:c>
      <x:c r="C79" t="str">
        <x:v>Manuel</x:v>
      </x:c>
      <x:c r="D79" t="str">
        <x:v>Portugal</x:v>
      </x:c>
      <x:c r="E79" t="str">
        <x:v>España</x:v>
      </x:c>
      <x:c r="F79" t="n">
        <x:v>3</x:v>
      </x:c>
      <x:c r="G79" t="n">
        <x:v>2</x:v>
      </x:c>
      <x:c r="H79" t="str">
        <x:v>Portugal</x:v>
      </x:c>
      <x:c r="I79" t="str">
        <x:v>Suplementario</x:v>
      </x:c>
      <x:c r="J79" t="n">
        <x:v>0</x:v>
      </x:c>
      <x:c r="K79" t="n">
        <x:v>1</x:v>
      </x:c>
      <x:c r="L79" t="str">
        <x:v>España</x:v>
      </x:c>
      <x:c r="M79" t="str">
        <x:v>90 minutos</x:v>
      </x:c>
      <x:c r="N79" t="n">
        <x:v>0</x:v>
      </x:c>
      <x:c r="O79" t="n">
        <x:v>0</x:v>
      </x:c>
      <x:c r="P79" t="n">
        <x:v>0</x:v>
      </x:c>
      <x:c r="Q79" t="n">
        <x:v>0</x:v>
      </x:c>
      <x:c r="R79" t="n">
        <x:v>0</x:v>
      </x:c>
      <x:c r="S79" t="n">
        <x:v>0</x:v>
      </x:c>
      <x:c r="T79" t="n">
        <x:v>0</x:v>
      </x:c>
      <x:c r="U79" t="n">
        <x:f>SUM(N79:T79)</x:f>
        <x:v>0</x:v>
      </x:c>
      <x:c r="V79" t="str">
        <x:v>Revisar: ganador en 90 debe tener método 90 minutos</x:v>
      </x:c>
      <x:c r="W79" t="str">
        <x:v>Detalle 8vos publicado</x:v>
      </x:c>
    </x:row>
    <x:row r="80" ht="15" hidden="0" customHeight="1">
      <x:c r="A80" t="str">
        <x:v>8vos</x:v>
      </x:c>
      <x:c r="B80" t="str">
        <x:v>O7</x:v>
      </x:c>
      <x:c r="C80" t="str">
        <x:v>Manuel</x:v>
      </x:c>
      <x:c r="D80" t="str">
        <x:v>Suiza</x:v>
      </x:c>
      <x:c r="E80" t="str">
        <x:v>Colombia</x:v>
      </x:c>
      <x:c r="F80" t="n">
        <x:v>2</x:v>
      </x:c>
      <x:c r="G80" t="n">
        <x:v>2</x:v>
      </x:c>
      <x:c r="H80" t="str">
        <x:v>Colombia</x:v>
      </x:c>
      <x:c r="I80" t="str">
        <x:v>Penales</x:v>
      </x:c>
      <x:c r="J80" t="n">
        <x:v>0</x:v>
      </x:c>
      <x:c r="K80" t="n">
        <x:v>0</x:v>
      </x:c>
      <x:c r="L80" t="str">
        <x:v>Suiza</x:v>
      </x:c>
      <x:c r="M80" t="str">
        <x:v>Penales</x:v>
      </x:c>
      <x:c r="N80" t="n">
        <x:v>5</x:v>
      </x:c>
      <x:c r="O80" t="n">
        <x:v>0</x:v>
      </x:c>
      <x:c r="P80" t="n">
        <x:v>2</x:v>
      </x:c>
      <x:c r="Q80" t="n">
        <x:v>0</x:v>
      </x:c>
      <x:c r="R80" t="n">
        <x:v>2</x:v>
      </x:c>
      <x:c r="S80" t="n">
        <x:v>0</x:v>
      </x:c>
      <x:c r="T80" t="n">
        <x:v>0</x:v>
      </x:c>
      <x:c r="U80" t="n">
        <x:f>SUM(N80:T80)</x:f>
        <x:v>9</x:v>
      </x:c>
      <x:c r="V80" t="str">
        <x:v>OK</x:v>
      </x:c>
      <x:c r="W80" t="str">
        <x:v>Detalle 8vos publicado</x:v>
      </x:c>
    </x:row>
    <x:row r="81" ht="15" hidden="0" customHeight="1">
      <x:c r="A81" t="str">
        <x:v>8vos</x:v>
      </x:c>
      <x:c r="B81" t="str">
        <x:v>O8</x:v>
      </x:c>
      <x:c r="C81" t="str">
        <x:v>Manuel</x:v>
      </x:c>
      <x:c r="D81" t="str">
        <x:v>Argentina</x:v>
      </x:c>
      <x:c r="E81" t="str">
        <x:v>Egipto</x:v>
      </x:c>
      <x:c r="F81" t="n">
        <x:v>2</x:v>
      </x:c>
      <x:c r="G81" t="n">
        <x:v>1</x:v>
      </x:c>
      <x:c r="H81" t="str">
        <x:v>Argentina</x:v>
      </x:c>
      <x:c r="I81" t="str">
        <x:v>Suplementario</x:v>
      </x:c>
      <x:c r="J81" t="n">
        <x:v>3</x:v>
      </x:c>
      <x:c r="K81" t="n">
        <x:v>2</x:v>
      </x:c>
      <x:c r="L81" t="str">
        <x:v>Argentina</x:v>
      </x:c>
      <x:c r="M81" t="str">
        <x:v>90 minutos</x:v>
      </x:c>
      <x:c r="N81" t="n">
        <x:v>0</x:v>
      </x:c>
      <x:c r="O81" t="n">
        <x:v>0</x:v>
      </x:c>
      <x:c r="P81" t="n">
        <x:v>0</x:v>
      </x:c>
      <x:c r="Q81" t="n">
        <x:v>0</x:v>
      </x:c>
      <x:c r="R81" t="n">
        <x:v>0</x:v>
      </x:c>
      <x:c r="S81" t="n">
        <x:v>0</x:v>
      </x:c>
      <x:c r="T81" t="n">
        <x:v>0</x:v>
      </x:c>
      <x:c r="U81" t="n">
        <x:f>SUM(N81:T81)</x:f>
        <x:v>0</x:v>
      </x:c>
      <x:c r="V81" t="str">
        <x:v>Revisar: ganador en 90 debe tener método 90 minutos</x:v>
      </x:c>
      <x:c r="W81" t="str">
        <x:v>Detalle 8vos publicado</x:v>
      </x:c>
    </x:row>
    <x:row r="82" ht="15" hidden="0" customHeight="1">
      <x:c r="A82" t="str">
        <x:v>8vos</x:v>
      </x:c>
      <x:c r="B82" t="str">
        <x:v>O1</x:v>
      </x:c>
      <x:c r="C82" t="str">
        <x:v>Jorge</x:v>
      </x:c>
      <x:c r="D82" t="str">
        <x:v>Canadá</x:v>
      </x:c>
      <x:c r="E82" t="str">
        <x:v>Marruecos</x:v>
      </x:c>
      <x:c r="F82" t="n">
        <x:v>0</x:v>
      </x:c>
      <x:c r="G82" t="n">
        <x:v>3</x:v>
      </x:c>
      <x:c r="H82" t="str">
        <x:v>Marruecos</x:v>
      </x:c>
      <x:c r="I82" t="str">
        <x:v>90 minutos</x:v>
      </x:c>
      <x:c r="J82" t="n">
        <x:v>0</x:v>
      </x:c>
      <x:c r="K82" t="n">
        <x:v>3</x:v>
      </x:c>
      <x:c r="L82" t="str">
        <x:v>Marruecos</x:v>
      </x:c>
      <x:c r="M82" t="str">
        <x:v>90 minutos</x:v>
      </x:c>
      <x:c r="N82" t="n">
        <x:v>5</x:v>
      </x:c>
      <x:c r="O82" t="n">
        <x:v>3</x:v>
      </x:c>
      <x:c r="P82" t="n">
        <x:v>2</x:v>
      </x:c>
      <x:c r="Q82" t="n">
        <x:v>4</x:v>
      </x:c>
      <x:c r="R82" t="n">
        <x:v>2</x:v>
      </x:c>
      <x:c r="S82" t="n">
        <x:v>1</x:v>
      </x:c>
      <x:c r="T82" t="n">
        <x:v>1</x:v>
      </x:c>
      <x:c r="U82" t="n">
        <x:f>SUM(N82:T82)</x:f>
        <x:v>18</x:v>
      </x:c>
      <x:c r="V82" t="str">
        <x:v>OK</x:v>
      </x:c>
      <x:c r="W82" t="str">
        <x:v>Detalle 8vos publicado</x:v>
      </x:c>
    </x:row>
    <x:row r="83" ht="15" hidden="0" customHeight="1">
      <x:c r="A83" t="str">
        <x:v>8vos</x:v>
      </x:c>
      <x:c r="B83" t="str">
        <x:v>O2</x:v>
      </x:c>
      <x:c r="C83" t="str">
        <x:v>Jorge</x:v>
      </x:c>
      <x:c r="D83" t="str">
        <x:v>Paraguay</x:v>
      </x:c>
      <x:c r="E83" t="str">
        <x:v>Francia</x:v>
      </x:c>
      <x:c r="F83" t="n">
        <x:v>1</x:v>
      </x:c>
      <x:c r="G83" t="n">
        <x:v>3</x:v>
      </x:c>
      <x:c r="H83" t="str">
        <x:v>Francia</x:v>
      </x:c>
      <x:c r="I83" t="str">
        <x:v>90 minutos</x:v>
      </x:c>
      <x:c r="J83" t="n">
        <x:v>0</x:v>
      </x:c>
      <x:c r="K83" t="n">
        <x:v>1</x:v>
      </x:c>
      <x:c r="L83" t="str">
        <x:v>Francia</x:v>
      </x:c>
      <x:c r="M83" t="str">
        <x:v>90 minutos</x:v>
      </x:c>
      <x:c r="N83" t="n">
        <x:v>5</x:v>
      </x:c>
      <x:c r="O83" t="n">
        <x:v>3</x:v>
      </x:c>
      <x:c r="P83" t="n">
        <x:v>2</x:v>
      </x:c>
      <x:c r="Q83" t="n">
        <x:v>0</x:v>
      </x:c>
      <x:c r="R83" t="n">
        <x:v>0</x:v>
      </x:c>
      <x:c r="S83" t="n">
        <x:v>0</x:v>
      </x:c>
      <x:c r="T83" t="n">
        <x:v>0</x:v>
      </x:c>
      <x:c r="U83" t="n">
        <x:f>SUM(N83:T83)</x:f>
        <x:v>10</x:v>
      </x:c>
      <x:c r="V83" t="str">
        <x:v>OK</x:v>
      </x:c>
      <x:c r="W83" t="str">
        <x:v>Detalle 8vos publicado</x:v>
      </x:c>
    </x:row>
    <x:row r="84" ht="15" hidden="0" customHeight="1">
      <x:c r="A84" t="str">
        <x:v>8vos</x:v>
      </x:c>
      <x:c r="B84" t="str">
        <x:v>O3</x:v>
      </x:c>
      <x:c r="C84" t="str">
        <x:v>Jorge</x:v>
      </x:c>
      <x:c r="D84" t="str">
        <x:v>Brasil</x:v>
      </x:c>
      <x:c r="E84" t="str">
        <x:v>Noruega</x:v>
      </x:c>
      <x:c r="F84" t="n">
        <x:v>3</x:v>
      </x:c>
      <x:c r="G84" t="n">
        <x:v>1</x:v>
      </x:c>
      <x:c r="H84" t="str">
        <x:v>Brasil</x:v>
      </x:c>
      <x:c r="I84" t="str">
        <x:v>90 minutos</x:v>
      </x:c>
      <x:c r="J84" t="n">
        <x:v>1</x:v>
      </x:c>
      <x:c r="K84" t="n">
        <x:v>2</x:v>
      </x:c>
      <x:c r="L84" t="str">
        <x:v>Noruega</x:v>
      </x:c>
      <x:c r="M84" t="str">
        <x:v>90 minutos</x:v>
      </x:c>
      <x:c r="N84" t="n">
        <x:v>0</x:v>
      </x:c>
      <x:c r="O84" t="n">
        <x:v>0</x:v>
      </x:c>
      <x:c r="P84" t="n">
        <x:v>2</x:v>
      </x:c>
      <x:c r="Q84" t="n">
        <x:v>0</x:v>
      </x:c>
      <x:c r="R84" t="n">
        <x:v>0</x:v>
      </x:c>
      <x:c r="S84" t="n">
        <x:v>0</x:v>
      </x:c>
      <x:c r="T84" t="n">
        <x:v>0</x:v>
      </x:c>
      <x:c r="U84" t="n">
        <x:f>SUM(N84:T84)</x:f>
        <x:v>2</x:v>
      </x:c>
      <x:c r="V84" t="str">
        <x:v>OK</x:v>
      </x:c>
      <x:c r="W84" t="str">
        <x:v>Detalle 8vos publicado</x:v>
      </x:c>
    </x:row>
    <x:row r="85" ht="15" hidden="0" customHeight="1">
      <x:c r="A85" t="str">
        <x:v>8vos</x:v>
      </x:c>
      <x:c r="B85" t="str">
        <x:v>O4</x:v>
      </x:c>
      <x:c r="C85" t="str">
        <x:v>Jorge</x:v>
      </x:c>
      <x:c r="D85" t="str">
        <x:v>México</x:v>
      </x:c>
      <x:c r="E85" t="str">
        <x:v>Inglaterra</x:v>
      </x:c>
      <x:c r="F85" t="n">
        <x:v>1</x:v>
      </x:c>
      <x:c r="G85" t="n">
        <x:v>2</x:v>
      </x:c>
      <x:c r="H85" t="str">
        <x:v>Inglaterra</x:v>
      </x:c>
      <x:c r="I85" t="str">
        <x:v>Suplementario</x:v>
      </x:c>
      <x:c r="J85" t="n">
        <x:v>2</x:v>
      </x:c>
      <x:c r="K85" t="n">
        <x:v>3</x:v>
      </x:c>
      <x:c r="L85" t="str">
        <x:v>Inglaterra</x:v>
      </x:c>
      <x:c r="M85" t="str">
        <x:v>90 minutos</x:v>
      </x:c>
      <x:c r="N85" t="n">
        <x:v>0</x:v>
      </x:c>
      <x:c r="O85" t="n">
        <x:v>0</x:v>
      </x:c>
      <x:c r="P85" t="n">
        <x:v>0</x:v>
      </x:c>
      <x:c r="Q85" t="n">
        <x:v>0</x:v>
      </x:c>
      <x:c r="R85" t="n">
        <x:v>0</x:v>
      </x:c>
      <x:c r="S85" t="n">
        <x:v>0</x:v>
      </x:c>
      <x:c r="T85" t="n">
        <x:v>0</x:v>
      </x:c>
      <x:c r="U85" t="n">
        <x:f>SUM(N85:T85)</x:f>
        <x:v>0</x:v>
      </x:c>
      <x:c r="V85" t="str">
        <x:v>Revisar: ganador en 90 debe tener método 90 minutos</x:v>
      </x:c>
      <x:c r="W85" t="str">
        <x:v>Detalle 8vos publicado</x:v>
      </x:c>
    </x:row>
    <x:row r="86" ht="15" hidden="0" customHeight="1">
      <x:c r="A86" t="str">
        <x:v>8vos</x:v>
      </x:c>
      <x:c r="B86" t="str">
        <x:v>O5</x:v>
      </x:c>
      <x:c r="C86" t="str">
        <x:v>Jorge</x:v>
      </x:c>
      <x:c r="D86" t="str">
        <x:v>Estados Unidos</x:v>
      </x:c>
      <x:c r="E86" t="str">
        <x:v>Bélgica</x:v>
      </x:c>
      <x:c r="F86" t="n">
        <x:v>3</x:v>
      </x:c>
      <x:c r="G86" t="n">
        <x:v>1</x:v>
      </x:c>
      <x:c r="H86" t="str">
        <x:v>EEUU</x:v>
      </x:c>
      <x:c r="I86" t="str">
        <x:v>90 minutos</x:v>
      </x:c>
      <x:c r="J86" t="n">
        <x:v>1</x:v>
      </x:c>
      <x:c r="K86" t="n">
        <x:v>4</x:v>
      </x:c>
      <x:c r="L86" t="str">
        <x:v>Bélgica</x:v>
      </x:c>
      <x:c r="M86" t="str">
        <x:v>90 minutos</x:v>
      </x:c>
      <x:c r="N86" t="n">
        <x:v>0</x:v>
      </x:c>
      <x:c r="O86" t="n">
        <x:v>0</x:v>
      </x:c>
      <x:c r="P86" t="n">
        <x:v>0</x:v>
      </x:c>
      <x:c r="Q86" t="n">
        <x:v>0</x:v>
      </x:c>
      <x:c r="R86" t="n">
        <x:v>0</x:v>
      </x:c>
      <x:c r="S86" t="n">
        <x:v>0</x:v>
      </x:c>
      <x:c r="T86" t="n">
        <x:v>0</x:v>
      </x:c>
      <x:c r="U86" t="n">
        <x:f>SUM(N86:T86)</x:f>
        <x:v>0</x:v>
      </x:c>
      <x:c r="V86" t="str">
        <x:v>Revisar: clasifica debe ser Estados Unidos</x:v>
      </x:c>
      <x:c r="W86" t="str">
        <x:v>Detalle 8vos publicado</x:v>
      </x:c>
    </x:row>
    <x:row r="87" ht="15" hidden="0" customHeight="1">
      <x:c r="A87" t="str">
        <x:v>8vos</x:v>
      </x:c>
      <x:c r="B87" t="str">
        <x:v>O6</x:v>
      </x:c>
      <x:c r="C87" t="str">
        <x:v>Jorge</x:v>
      </x:c>
      <x:c r="D87" t="str">
        <x:v>Portugal</x:v>
      </x:c>
      <x:c r="E87" t="str">
        <x:v>España</x:v>
      </x:c>
      <x:c r="F87" t="n">
        <x:v>2</x:v>
      </x:c>
      <x:c r="G87" t="n">
        <x:v>4</x:v>
      </x:c>
      <x:c r="H87" t="str">
        <x:v>España</x:v>
      </x:c>
      <x:c r="I87" t="str">
        <x:v>90 minutos</x:v>
      </x:c>
      <x:c r="J87" t="n">
        <x:v>0</x:v>
      </x:c>
      <x:c r="K87" t="n">
        <x:v>1</x:v>
      </x:c>
      <x:c r="L87" t="str">
        <x:v>España</x:v>
      </x:c>
      <x:c r="M87" t="str">
        <x:v>90 minutos</x:v>
      </x:c>
      <x:c r="N87" t="n">
        <x:v>5</x:v>
      </x:c>
      <x:c r="O87" t="n">
        <x:v>3</x:v>
      </x:c>
      <x:c r="P87" t="n">
        <x:v>2</x:v>
      </x:c>
      <x:c r="Q87" t="n">
        <x:v>0</x:v>
      </x:c>
      <x:c r="R87" t="n">
        <x:v>0</x:v>
      </x:c>
      <x:c r="S87" t="n">
        <x:v>0</x:v>
      </x:c>
      <x:c r="T87" t="n">
        <x:v>0</x:v>
      </x:c>
      <x:c r="U87" t="n">
        <x:f>SUM(N87:T87)</x:f>
        <x:v>10</x:v>
      </x:c>
      <x:c r="V87" t="str">
        <x:v>OK</x:v>
      </x:c>
      <x:c r="W87" t="str">
        <x:v>Detalle 8vos publicado</x:v>
      </x:c>
    </x:row>
    <x:row r="88" ht="15" hidden="0" customHeight="1">
      <x:c r="A88" t="str">
        <x:v>8vos</x:v>
      </x:c>
      <x:c r="B88" t="str">
        <x:v>O7</x:v>
      </x:c>
      <x:c r="C88" t="str">
        <x:v>Jorge</x:v>
      </x:c>
      <x:c r="D88" t="str">
        <x:v>Suiza</x:v>
      </x:c>
      <x:c r="E88" t="str">
        <x:v>Colombia</x:v>
      </x:c>
      <x:c r="F88" t="n">
        <x:v>1</x:v>
      </x:c>
      <x:c r="G88" t="n">
        <x:v>2</x:v>
      </x:c>
      <x:c r="H88" t="str">
        <x:v>Colombia</x:v>
      </x:c>
      <x:c r="I88" t="str">
        <x:v>Suplementario</x:v>
      </x:c>
      <x:c r="J88" t="n">
        <x:v>0</x:v>
      </x:c>
      <x:c r="K88" t="n">
        <x:v>0</x:v>
      </x:c>
      <x:c r="L88" t="str">
        <x:v>Suiza</x:v>
      </x:c>
      <x:c r="M88" t="str">
        <x:v>Penales</x:v>
      </x:c>
      <x:c r="N88" t="n">
        <x:v>0</x:v>
      </x:c>
      <x:c r="O88" t="n">
        <x:v>0</x:v>
      </x:c>
      <x:c r="P88" t="n">
        <x:v>0</x:v>
      </x:c>
      <x:c r="Q88" t="n">
        <x:v>0</x:v>
      </x:c>
      <x:c r="R88" t="n">
        <x:v>0</x:v>
      </x:c>
      <x:c r="S88" t="n">
        <x:v>0</x:v>
      </x:c>
      <x:c r="T88" t="n">
        <x:v>0</x:v>
      </x:c>
      <x:c r="U88" t="n">
        <x:f>SUM(N88:T88)</x:f>
        <x:v>0</x:v>
      </x:c>
      <x:c r="V88" t="str">
        <x:v>Revisar: ganador en 90 debe tener método 90 minutos</x:v>
      </x:c>
      <x:c r="W88" t="str">
        <x:v>Detalle 8vos publicado</x:v>
      </x:c>
    </x:row>
    <x:row r="89" ht="15" hidden="0" customHeight="1">
      <x:c r="A89" t="str">
        <x:v>8vos</x:v>
      </x:c>
      <x:c r="B89" t="str">
        <x:v>O8</x:v>
      </x:c>
      <x:c r="C89" t="str">
        <x:v>Jorge</x:v>
      </x:c>
      <x:c r="D89" t="str">
        <x:v>Argentina</x:v>
      </x:c>
      <x:c r="E89" t="str">
        <x:v>Egipto</x:v>
      </x:c>
      <x:c r="F89" t="n">
        <x:v>3</x:v>
      </x:c>
      <x:c r="G89" t="n">
        <x:v>1</x:v>
      </x:c>
      <x:c r="H89" t="str">
        <x:v>Argentina</x:v>
      </x:c>
      <x:c r="I89" t="str">
        <x:v>90 minutos</x:v>
      </x:c>
      <x:c r="J89" t="n">
        <x:v>3</x:v>
      </x:c>
      <x:c r="K89" t="n">
        <x:v>2</x:v>
      </x:c>
      <x:c r="L89" t="str">
        <x:v>Argentina</x:v>
      </x:c>
      <x:c r="M89" t="str">
        <x:v>90 minutos</x:v>
      </x:c>
      <x:c r="N89" t="n">
        <x:v>5</x:v>
      </x:c>
      <x:c r="O89" t="n">
        <x:v>3</x:v>
      </x:c>
      <x:c r="P89" t="n">
        <x:v>2</x:v>
      </x:c>
      <x:c r="Q89" t="n">
        <x:v>0</x:v>
      </x:c>
      <x:c r="R89" t="n">
        <x:v>0</x:v>
      </x:c>
      <x:c r="S89" t="n">
        <x:v>1</x:v>
      </x:c>
      <x:c r="T89" t="n">
        <x:v>0</x:v>
      </x:c>
      <x:c r="U89" t="n">
        <x:f>SUM(N89:T89)</x:f>
        <x:v>11</x:v>
      </x:c>
      <x:c r="V89" t="str">
        <x:v>OK</x:v>
      </x:c>
      <x:c r="W89" t="str">
        <x:v>Detalle 8vos publicado</x:v>
      </x:c>
    </x:row>
    <x:row r="90" ht="15" hidden="0" customHeight="1">
      <x:c r="A90" t="str">
        <x:v>8vos</x:v>
      </x:c>
      <x:c r="B90" t="str">
        <x:v>O1</x:v>
      </x:c>
      <x:c r="C90" t="str">
        <x:v>Daniel</x:v>
      </x:c>
      <x:c r="D90" t="str">
        <x:v>Canadá</x:v>
      </x:c>
      <x:c r="E90" t="str">
        <x:v>Marruecos</x:v>
      </x:c>
      <x:c r="F90" t="n">
        <x:v>1</x:v>
      </x:c>
      <x:c r="G90" t="n">
        <x:v>1</x:v>
      </x:c>
      <x:c r="H90" t="str">
        <x:v>Canadá</x:v>
      </x:c>
      <x:c r="I90" t="str">
        <x:v>Penales</x:v>
      </x:c>
      <x:c r="J90" t="n">
        <x:v>0</x:v>
      </x:c>
      <x:c r="K90" t="n">
        <x:v>3</x:v>
      </x:c>
      <x:c r="L90" t="str">
        <x:v>Marruecos</x:v>
      </x:c>
      <x:c r="M90" t="str">
        <x:v>90 minutos</x:v>
      </x:c>
      <x:c r="N90" t="n">
        <x:v>0</x:v>
      </x:c>
      <x:c r="O90" t="n">
        <x:v>0</x:v>
      </x:c>
      <x:c r="P90" t="n">
        <x:v>0</x:v>
      </x:c>
      <x:c r="Q90" t="n">
        <x:v>0</x:v>
      </x:c>
      <x:c r="R90" t="n">
        <x:v>0</x:v>
      </x:c>
      <x:c r="S90" t="n">
        <x:v>0</x:v>
      </x:c>
      <x:c r="T90" t="n">
        <x:v>0</x:v>
      </x:c>
      <x:c r="U90" t="n">
        <x:f>SUM(N90:T90)</x:f>
        <x:v>0</x:v>
      </x:c>
      <x:c r="V90" t="str">
        <x:v>OK</x:v>
      </x:c>
      <x:c r="W90" t="str">
        <x:v>Detalle 8vos publicado</x:v>
      </x:c>
    </x:row>
    <x:row r="91" ht="15" hidden="0" customHeight="1">
      <x:c r="A91" t="str">
        <x:v>8vos</x:v>
      </x:c>
      <x:c r="B91" t="str">
        <x:v>O2</x:v>
      </x:c>
      <x:c r="C91" t="str">
        <x:v>Daniel</x:v>
      </x:c>
      <x:c r="D91" t="str">
        <x:v>Paraguay</x:v>
      </x:c>
      <x:c r="E91" t="str">
        <x:v>Francia</x:v>
      </x:c>
      <x:c r="F91" t="n">
        <x:v>1</x:v>
      </x:c>
      <x:c r="G91" t="n">
        <x:v>2</x:v>
      </x:c>
      <x:c r="H91" t="str">
        <x:v>Francia</x:v>
      </x:c>
      <x:c r="I91" t="str">
        <x:v>90 minutos</x:v>
      </x:c>
      <x:c r="J91" t="n">
        <x:v>0</x:v>
      </x:c>
      <x:c r="K91" t="n">
        <x:v>1</x:v>
      </x:c>
      <x:c r="L91" t="str">
        <x:v>Francia</x:v>
      </x:c>
      <x:c r="M91" t="str">
        <x:v>90 minutos</x:v>
      </x:c>
      <x:c r="N91" t="n">
        <x:v>5</x:v>
      </x:c>
      <x:c r="O91" t="n">
        <x:v>3</x:v>
      </x:c>
      <x:c r="P91" t="n">
        <x:v>2</x:v>
      </x:c>
      <x:c r="Q91" t="n">
        <x:v>0</x:v>
      </x:c>
      <x:c r="R91" t="n">
        <x:v>2</x:v>
      </x:c>
      <x:c r="S91" t="n">
        <x:v>0</x:v>
      </x:c>
      <x:c r="T91" t="n">
        <x:v>0</x:v>
      </x:c>
      <x:c r="U91" t="n">
        <x:f>SUM(N91:T91)</x:f>
        <x:v>12</x:v>
      </x:c>
      <x:c r="V91" t="str">
        <x:v>OK</x:v>
      </x:c>
      <x:c r="W91" t="str">
        <x:v>Detalle 8vos publicado</x:v>
      </x:c>
    </x:row>
    <x:row r="92" ht="15" hidden="0" customHeight="1">
      <x:c r="A92" t="str">
        <x:v>8vos</x:v>
      </x:c>
      <x:c r="B92" t="str">
        <x:v>O3</x:v>
      </x:c>
      <x:c r="C92" t="str">
        <x:v>Daniel</x:v>
      </x:c>
      <x:c r="D92" t="str">
        <x:v>Brasil</x:v>
      </x:c>
      <x:c r="E92" t="str">
        <x:v>Noruega</x:v>
      </x:c>
      <x:c r="F92" t="n">
        <x:v>1</x:v>
      </x:c>
      <x:c r="G92" t="n">
        <x:v>1</x:v>
      </x:c>
      <x:c r="H92" t="str">
        <x:v>Brasil</x:v>
      </x:c>
      <x:c r="I92" t="str">
        <x:v>Penales</x:v>
      </x:c>
      <x:c r="J92" t="n">
        <x:v>1</x:v>
      </x:c>
      <x:c r="K92" t="n">
        <x:v>2</x:v>
      </x:c>
      <x:c r="L92" t="str">
        <x:v>Noruega</x:v>
      </x:c>
      <x:c r="M92" t="str">
        <x:v>90 minutos</x:v>
      </x:c>
      <x:c r="N92" t="n">
        <x:v>0</x:v>
      </x:c>
      <x:c r="O92" t="n">
        <x:v>0</x:v>
      </x:c>
      <x:c r="P92" t="n">
        <x:v>0</x:v>
      </x:c>
      <x:c r="Q92" t="n">
        <x:v>0</x:v>
      </x:c>
      <x:c r="R92" t="n">
        <x:v>0</x:v>
      </x:c>
      <x:c r="S92" t="n">
        <x:v>1</x:v>
      </x:c>
      <x:c r="T92" t="n">
        <x:v>0</x:v>
      </x:c>
      <x:c r="U92" t="n">
        <x:f>SUM(N92:T92)</x:f>
        <x:v>1</x:v>
      </x:c>
      <x:c r="V92" t="str">
        <x:v>OK</x:v>
      </x:c>
      <x:c r="W92" t="str">
        <x:v>Detalle 8vos publicado</x:v>
      </x:c>
    </x:row>
    <x:row r="93" ht="15" hidden="0" customHeight="1">
      <x:c r="A93" t="str">
        <x:v>8vos</x:v>
      </x:c>
      <x:c r="B93" t="str">
        <x:v>O4</x:v>
      </x:c>
      <x:c r="C93" t="str">
        <x:v>Daniel</x:v>
      </x:c>
      <x:c r="D93" t="str">
        <x:v>México</x:v>
      </x:c>
      <x:c r="E93" t="str">
        <x:v>Inglaterra</x:v>
      </x:c>
      <x:c r="F93" t="n">
        <x:v>1</x:v>
      </x:c>
      <x:c r="G93" t="n">
        <x:v>1</x:v>
      </x:c>
      <x:c r="H93" t="str">
        <x:v>México</x:v>
      </x:c>
      <x:c r="I93" t="str">
        <x:v>Penales</x:v>
      </x:c>
      <x:c r="J93" t="n">
        <x:v>2</x:v>
      </x:c>
      <x:c r="K93" t="n">
        <x:v>3</x:v>
      </x:c>
      <x:c r="L93" t="str">
        <x:v>Inglaterra</x:v>
      </x:c>
      <x:c r="M93" t="str">
        <x:v>90 minutos</x:v>
      </x:c>
      <x:c r="N93" t="n">
        <x:v>0</x:v>
      </x:c>
      <x:c r="O93" t="n">
        <x:v>0</x:v>
      </x:c>
      <x:c r="P93" t="n">
        <x:v>0</x:v>
      </x:c>
      <x:c r="Q93" t="n">
        <x:v>0</x:v>
      </x:c>
      <x:c r="R93" t="n">
        <x:v>0</x:v>
      </x:c>
      <x:c r="S93" t="n">
        <x:v>0</x:v>
      </x:c>
      <x:c r="T93" t="n">
        <x:v>0</x:v>
      </x:c>
      <x:c r="U93" t="n">
        <x:f>SUM(N93:T93)</x:f>
        <x:v>0</x:v>
      </x:c>
      <x:c r="V93" t="str">
        <x:v>OK</x:v>
      </x:c>
      <x:c r="W93" t="str">
        <x:v>Detalle 8vos publicado</x:v>
      </x:c>
    </x:row>
    <x:row r="94" ht="15" hidden="0" customHeight="1">
      <x:c r="A94" t="str">
        <x:v>8vos</x:v>
      </x:c>
      <x:c r="B94" t="str">
        <x:v>O5</x:v>
      </x:c>
      <x:c r="C94" t="str">
        <x:v>Daniel</x:v>
      </x:c>
      <x:c r="D94" t="str">
        <x:v>Estados Unidos</x:v>
      </x:c>
      <x:c r="E94" t="str">
        <x:v>Bélgica</x:v>
      </x:c>
      <x:c r="F94" t="n">
        <x:v>1</x:v>
      </x:c>
      <x:c r="G94" t="n">
        <x:v>0</x:v>
      </x:c>
      <x:c r="H94" t="str">
        <x:v>EEUU</x:v>
      </x:c>
      <x:c r="I94" t="str">
        <x:v>90 minutos</x:v>
      </x:c>
      <x:c r="J94" t="n">
        <x:v>1</x:v>
      </x:c>
      <x:c r="K94" t="n">
        <x:v>4</x:v>
      </x:c>
      <x:c r="L94" t="str">
        <x:v>Bélgica</x:v>
      </x:c>
      <x:c r="M94" t="str">
        <x:v>90 minutos</x:v>
      </x:c>
      <x:c r="N94" t="n">
        <x:v>0</x:v>
      </x:c>
      <x:c r="O94" t="n">
        <x:v>0</x:v>
      </x:c>
      <x:c r="P94" t="n">
        <x:v>0</x:v>
      </x:c>
      <x:c r="Q94" t="n">
        <x:v>0</x:v>
      </x:c>
      <x:c r="R94" t="n">
        <x:v>0</x:v>
      </x:c>
      <x:c r="S94" t="n">
        <x:v>0</x:v>
      </x:c>
      <x:c r="T94" t="n">
        <x:v>0</x:v>
      </x:c>
      <x:c r="U94" t="n">
        <x:f>SUM(N94:T94)</x:f>
        <x:v>0</x:v>
      </x:c>
      <x:c r="V94" t="str">
        <x:v>Revisar: clasifica debe ser Estados Unidos</x:v>
      </x:c>
      <x:c r="W94" t="str">
        <x:v>Detalle 8vos publicado</x:v>
      </x:c>
    </x:row>
    <x:row r="95" ht="15" hidden="0" customHeight="1">
      <x:c r="A95" t="str">
        <x:v>8vos</x:v>
      </x:c>
      <x:c r="B95" t="str">
        <x:v>O6</x:v>
      </x:c>
      <x:c r="C95" t="str">
        <x:v>Daniel</x:v>
      </x:c>
      <x:c r="D95" t="str">
        <x:v>Portugal</x:v>
      </x:c>
      <x:c r="E95" t="str">
        <x:v>España</x:v>
      </x:c>
      <x:c r="F95" t="n">
        <x:v>2</x:v>
      </x:c>
      <x:c r="G95" t="n">
        <x:v>2</x:v>
      </x:c>
      <x:c r="H95" t="str">
        <x:v>Portugal</x:v>
      </x:c>
      <x:c r="I95" t="str">
        <x:v>Penales</x:v>
      </x:c>
      <x:c r="J95" t="n">
        <x:v>0</x:v>
      </x:c>
      <x:c r="K95" t="n">
        <x:v>1</x:v>
      </x:c>
      <x:c r="L95" t="str">
        <x:v>España</x:v>
      </x:c>
      <x:c r="M95" t="str">
        <x:v>90 minutos</x:v>
      </x:c>
      <x:c r="N95" t="n">
        <x:v>0</x:v>
      </x:c>
      <x:c r="O95" t="n">
        <x:v>0</x:v>
      </x:c>
      <x:c r="P95" t="n">
        <x:v>0</x:v>
      </x:c>
      <x:c r="Q95" t="n">
        <x:v>0</x:v>
      </x:c>
      <x:c r="R95" t="n">
        <x:v>0</x:v>
      </x:c>
      <x:c r="S95" t="n">
        <x:v>0</x:v>
      </x:c>
      <x:c r="T95" t="n">
        <x:v>0</x:v>
      </x:c>
      <x:c r="U95" t="n">
        <x:f>SUM(N95:T95)</x:f>
        <x:v>0</x:v>
      </x:c>
      <x:c r="V95" t="str">
        <x:v>OK</x:v>
      </x:c>
      <x:c r="W95" t="str">
        <x:v>Detalle 8vos publicado</x:v>
      </x:c>
    </x:row>
    <x:row r="96" ht="15" hidden="0" customHeight="1">
      <x:c r="A96" t="str">
        <x:v>8vos</x:v>
      </x:c>
      <x:c r="B96" t="str">
        <x:v>O7</x:v>
      </x:c>
      <x:c r="C96" t="str">
        <x:v>Daniel</x:v>
      </x:c>
      <x:c r="D96" t="str">
        <x:v>Suiza</x:v>
      </x:c>
      <x:c r="E96" t="str">
        <x:v>Colombia</x:v>
      </x:c>
      <x:c r="F96" t="n">
        <x:v>1</x:v>
      </x:c>
      <x:c r="G96" t="n">
        <x:v>2</x:v>
      </x:c>
      <x:c r="H96" t="str">
        <x:v>Colombia</x:v>
      </x:c>
      <x:c r="I96" t="str">
        <x:v>Suplementario</x:v>
      </x:c>
      <x:c r="J96" t="n">
        <x:v>0</x:v>
      </x:c>
      <x:c r="K96" t="n">
        <x:v>0</x:v>
      </x:c>
      <x:c r="L96" t="str">
        <x:v>Suiza</x:v>
      </x:c>
      <x:c r="M96" t="str">
        <x:v>Penales</x:v>
      </x:c>
      <x:c r="N96" t="n">
        <x:v>0</x:v>
      </x:c>
      <x:c r="O96" t="n">
        <x:v>0</x:v>
      </x:c>
      <x:c r="P96" t="n">
        <x:v>0</x:v>
      </x:c>
      <x:c r="Q96" t="n">
        <x:v>0</x:v>
      </x:c>
      <x:c r="R96" t="n">
        <x:v>0</x:v>
      </x:c>
      <x:c r="S96" t="n">
        <x:v>0</x:v>
      </x:c>
      <x:c r="T96" t="n">
        <x:v>0</x:v>
      </x:c>
      <x:c r="U96" t="n">
        <x:f>SUM(N96:T96)</x:f>
        <x:v>0</x:v>
      </x:c>
      <x:c r="V96" t="str">
        <x:v>Revisar: ganador en 90 debe tener método 90 minutos</x:v>
      </x:c>
      <x:c r="W96" t="str">
        <x:v>Detalle 8vos publicado</x:v>
      </x:c>
    </x:row>
    <x:row r="97" ht="15" hidden="0" customHeight="1">
      <x:c r="A97" t="str">
        <x:v>8vos</x:v>
      </x:c>
      <x:c r="B97" t="str">
        <x:v>O8</x:v>
      </x:c>
      <x:c r="C97" t="str">
        <x:v>Daniel</x:v>
      </x:c>
      <x:c r="D97" t="str">
        <x:v>Argentina</x:v>
      </x:c>
      <x:c r="E97" t="str">
        <x:v>Egipto</x:v>
      </x:c>
      <x:c r="F97" t="n">
        <x:v>2</x:v>
      </x:c>
      <x:c r="G97" t="n">
        <x:v>1</x:v>
      </x:c>
      <x:c r="H97" t="str">
        <x:v>Argentina</x:v>
      </x:c>
      <x:c r="I97" t="str">
        <x:v>90 minutos</x:v>
      </x:c>
      <x:c r="J97" t="n">
        <x:v>3</x:v>
      </x:c>
      <x:c r="K97" t="n">
        <x:v>2</x:v>
      </x:c>
      <x:c r="L97" t="str">
        <x:v>Argentina</x:v>
      </x:c>
      <x:c r="M97" t="str">
        <x:v>90 minutos</x:v>
      </x:c>
      <x:c r="N97" t="n">
        <x:v>5</x:v>
      </x:c>
      <x:c r="O97" t="n">
        <x:v>3</x:v>
      </x:c>
      <x:c r="P97" t="n">
        <x:v>2</x:v>
      </x:c>
      <x:c r="Q97" t="n">
        <x:v>0</x:v>
      </x:c>
      <x:c r="R97" t="n">
        <x:v>2</x:v>
      </x:c>
      <x:c r="S97" t="n">
        <x:v>0</x:v>
      </x:c>
      <x:c r="T97" t="n">
        <x:v>0</x:v>
      </x:c>
      <x:c r="U97" t="n">
        <x:f>SUM(N97:T97)</x:f>
        <x:v>12</x:v>
      </x:c>
      <x:c r="V97" t="str">
        <x:v>OK</x:v>
      </x:c>
      <x:c r="W97" t="str">
        <x:v>Detalle 8vos publicado</x:v>
      </x:c>
    </x:row>
    <x:row r="98" ht="15" hidden="0" customHeight="1">
      <x:c r="A98" t="str">
        <x:v>8vos</x:v>
      </x:c>
      <x:c r="B98" t="str">
        <x:v>O1</x:v>
      </x:c>
      <x:c r="C98" t="str">
        <x:v>Arthur</x:v>
      </x:c>
      <x:c r="D98" t="str">
        <x:v>Canadá</x:v>
      </x:c>
      <x:c r="E98" t="str">
        <x:v>Marruecos</x:v>
      </x:c>
      <x:c r="F98" t="n">
        <x:v>4</x:v>
      </x:c>
      <x:c r="G98" t="n">
        <x:v>5</x:v>
      </x:c>
      <x:c r="H98" t="str">
        <x:v>Marruecos</x:v>
      </x:c>
      <x:c r="I98" t="str">
        <x:v>Penales</x:v>
      </x:c>
      <x:c r="J98" t="n">
        <x:v>0</x:v>
      </x:c>
      <x:c r="K98" t="n">
        <x:v>3</x:v>
      </x:c>
      <x:c r="L98" t="str">
        <x:v>Marruecos</x:v>
      </x:c>
      <x:c r="M98" t="str">
        <x:v>90 minutos</x:v>
      </x:c>
      <x:c r="N98" t="n">
        <x:v>0</x:v>
      </x:c>
      <x:c r="O98" t="n">
        <x:v>0</x:v>
      </x:c>
      <x:c r="P98" t="n">
        <x:v>0</x:v>
      </x:c>
      <x:c r="Q98" t="n">
        <x:v>0</x:v>
      </x:c>
      <x:c r="R98" t="n">
        <x:v>0</x:v>
      </x:c>
      <x:c r="S98" t="n">
        <x:v>0</x:v>
      </x:c>
      <x:c r="T98" t="n">
        <x:v>0</x:v>
      </x:c>
      <x:c r="U98" t="n">
        <x:f>SUM(N98:T98)</x:f>
        <x:v>0</x:v>
      </x:c>
      <x:c r="V98" t="str">
        <x:v>Revisar: ganador en 90 debe tener método 90 minutos</x:v>
      </x:c>
      <x:c r="W98" t="str">
        <x:v>Detalle 8vos publicado</x:v>
      </x:c>
    </x:row>
    <x:row r="99" ht="15" hidden="0" customHeight="1">
      <x:c r="A99" t="str">
        <x:v>8vos</x:v>
      </x:c>
      <x:c r="B99" t="str">
        <x:v>O2</x:v>
      </x:c>
      <x:c r="C99" t="str">
        <x:v>Arthur</x:v>
      </x:c>
      <x:c r="D99" t="str">
        <x:v>Paraguay</x:v>
      </x:c>
      <x:c r="E99" t="str">
        <x:v>Francia</x:v>
      </x:c>
      <x:c r="F99" t="n">
        <x:v>0</x:v>
      </x:c>
      <x:c r="G99" t="n">
        <x:v>2</x:v>
      </x:c>
      <x:c r="H99" t="str">
        <x:v>Francia</x:v>
      </x:c>
      <x:c r="I99" t="str">
        <x:v>90 minutos</x:v>
      </x:c>
      <x:c r="J99" t="n">
        <x:v>0</x:v>
      </x:c>
      <x:c r="K99" t="n">
        <x:v>1</x:v>
      </x:c>
      <x:c r="L99" t="str">
        <x:v>Francia</x:v>
      </x:c>
      <x:c r="M99" t="str">
        <x:v>90 minutos</x:v>
      </x:c>
      <x:c r="N99" t="n">
        <x:v>5</x:v>
      </x:c>
      <x:c r="O99" t="n">
        <x:v>3</x:v>
      </x:c>
      <x:c r="P99" t="n">
        <x:v>2</x:v>
      </x:c>
      <x:c r="Q99" t="n">
        <x:v>0</x:v>
      </x:c>
      <x:c r="R99" t="n">
        <x:v>0</x:v>
      </x:c>
      <x:c r="S99" t="n">
        <x:v>1</x:v>
      </x:c>
      <x:c r="T99" t="n">
        <x:v>0</x:v>
      </x:c>
      <x:c r="U99" t="n">
        <x:f>SUM(N99:T99)</x:f>
        <x:v>11</x:v>
      </x:c>
      <x:c r="V99" t="str">
        <x:v>OK</x:v>
      </x:c>
      <x:c r="W99" t="str">
        <x:v>Detalle 8vos publicado</x:v>
      </x:c>
    </x:row>
    <x:row r="100" ht="15" hidden="0" customHeight="1">
      <x:c r="A100" t="str">
        <x:v>8vos</x:v>
      </x:c>
      <x:c r="B100" t="str">
        <x:v>O3</x:v>
      </x:c>
      <x:c r="C100" t="str">
        <x:v>Arthur</x:v>
      </x:c>
      <x:c r="D100" t="str">
        <x:v>Brasil</x:v>
      </x:c>
      <x:c r="E100" t="str">
        <x:v>Noruega</x:v>
      </x:c>
      <x:c r="F100" t="n">
        <x:v>2</x:v>
      </x:c>
      <x:c r="G100" t="n">
        <x:v>1</x:v>
      </x:c>
      <x:c r="H100" t="str">
        <x:v>Brasil</x:v>
      </x:c>
      <x:c r="I100" t="str">
        <x:v>90 minutos</x:v>
      </x:c>
      <x:c r="J100" t="n">
        <x:v>1</x:v>
      </x:c>
      <x:c r="K100" t="n">
        <x:v>2</x:v>
      </x:c>
      <x:c r="L100" t="str">
        <x:v>Noruega</x:v>
      </x:c>
      <x:c r="M100" t="str">
        <x:v>90 minutos</x:v>
      </x:c>
      <x:c r="N100" t="n">
        <x:v>0</x:v>
      </x:c>
      <x:c r="O100" t="n">
        <x:v>0</x:v>
      </x:c>
      <x:c r="P100" t="n">
        <x:v>2</x:v>
      </x:c>
      <x:c r="Q100" t="n">
        <x:v>0</x:v>
      </x:c>
      <x:c r="R100" t="n">
        <x:v>0</x:v>
      </x:c>
      <x:c r="S100" t="n">
        <x:v>0</x:v>
      </x:c>
      <x:c r="T100" t="n">
        <x:v>0</x:v>
      </x:c>
      <x:c r="U100" t="n">
        <x:f>SUM(N100:T100)</x:f>
        <x:v>2</x:v>
      </x:c>
      <x:c r="V100" t="str">
        <x:v>OK</x:v>
      </x:c>
      <x:c r="W100" t="str">
        <x:v>Detalle 8vos publicado</x:v>
      </x:c>
    </x:row>
    <x:row r="101" ht="15" hidden="0" customHeight="1">
      <x:c r="A101" t="str">
        <x:v>8vos</x:v>
      </x:c>
      <x:c r="B101" t="str">
        <x:v>O4</x:v>
      </x:c>
      <x:c r="C101" t="str">
        <x:v>Arthur</x:v>
      </x:c>
      <x:c r="D101" t="str">
        <x:v>México</x:v>
      </x:c>
      <x:c r="E101" t="str">
        <x:v>Inglaterra</x:v>
      </x:c>
      <x:c r="F101" t="n">
        <x:v>2</x:v>
      </x:c>
      <x:c r="G101" t="n">
        <x:v>4</x:v>
      </x:c>
      <x:c r="H101" t="str">
        <x:v>Inglaterra</x:v>
      </x:c>
      <x:c r="I101" t="str">
        <x:v>Penales</x:v>
      </x:c>
      <x:c r="J101" t="n">
        <x:v>2</x:v>
      </x:c>
      <x:c r="K101" t="n">
        <x:v>3</x:v>
      </x:c>
      <x:c r="L101" t="str">
        <x:v>Inglaterra</x:v>
      </x:c>
      <x:c r="M101" t="str">
        <x:v>90 minutos</x:v>
      </x:c>
      <x:c r="N101" t="n">
        <x:v>0</x:v>
      </x:c>
      <x:c r="O101" t="n">
        <x:v>0</x:v>
      </x:c>
      <x:c r="P101" t="n">
        <x:v>0</x:v>
      </x:c>
      <x:c r="Q101" t="n">
        <x:v>0</x:v>
      </x:c>
      <x:c r="R101" t="n">
        <x:v>0</x:v>
      </x:c>
      <x:c r="S101" t="n">
        <x:v>0</x:v>
      </x:c>
      <x:c r="T101" t="n">
        <x:v>0</x:v>
      </x:c>
      <x:c r="U101" t="n">
        <x:f>SUM(N101:T101)</x:f>
        <x:v>0</x:v>
      </x:c>
      <x:c r="V101" t="str">
        <x:v>Revisar: ganador en 90 debe tener método 90 minutos</x:v>
      </x:c>
      <x:c r="W101" t="str">
        <x:v>Detalle 8vos publicado</x:v>
      </x:c>
    </x:row>
    <x:row r="102" ht="15" hidden="0" customHeight="1">
      <x:c r="A102" t="str">
        <x:v>8vos</x:v>
      </x:c>
      <x:c r="B102" t="str">
        <x:v>O5</x:v>
      </x:c>
      <x:c r="C102" t="str">
        <x:v>Arthur</x:v>
      </x:c>
      <x:c r="D102" t="str">
        <x:v>Estados Unidos</x:v>
      </x:c>
      <x:c r="E102" t="str">
        <x:v>Bélgica</x:v>
      </x:c>
      <x:c r="F102" t="n">
        <x:v>3</x:v>
      </x:c>
      <x:c r="G102" t="n">
        <x:v>4</x:v>
      </x:c>
      <x:c r="H102" t="str">
        <x:v>Bélgica</x:v>
      </x:c>
      <x:c r="I102" t="str">
        <x:v>Penales</x:v>
      </x:c>
      <x:c r="J102" t="n">
        <x:v>1</x:v>
      </x:c>
      <x:c r="K102" t="n">
        <x:v>4</x:v>
      </x:c>
      <x:c r="L102" t="str">
        <x:v>Bélgica</x:v>
      </x:c>
      <x:c r="M102" t="str">
        <x:v>90 minutos</x:v>
      </x:c>
      <x:c r="N102" t="n">
        <x:v>0</x:v>
      </x:c>
      <x:c r="O102" t="n">
        <x:v>0</x:v>
      </x:c>
      <x:c r="P102" t="n">
        <x:v>0</x:v>
      </x:c>
      <x:c r="Q102" t="n">
        <x:v>0</x:v>
      </x:c>
      <x:c r="R102" t="n">
        <x:v>0</x:v>
      </x:c>
      <x:c r="S102" t="n">
        <x:v>0</x:v>
      </x:c>
      <x:c r="T102" t="n">
        <x:v>0</x:v>
      </x:c>
      <x:c r="U102" t="n">
        <x:f>SUM(N102:T102)</x:f>
        <x:v>0</x:v>
      </x:c>
      <x:c r="V102" t="str">
        <x:v>Revisar: ganador en 90 debe tener método 90 minutos</x:v>
      </x:c>
      <x:c r="W102" t="str">
        <x:v>Detalle 8vos publicado</x:v>
      </x:c>
    </x:row>
    <x:row r="103" ht="15" hidden="0" customHeight="1">
      <x:c r="A103" t="str">
        <x:v>8vos</x:v>
      </x:c>
      <x:c r="B103" t="str">
        <x:v>O6</x:v>
      </x:c>
      <x:c r="C103" t="str">
        <x:v>Arthur</x:v>
      </x:c>
      <x:c r="D103" t="str">
        <x:v>Portugal</x:v>
      </x:c>
      <x:c r="E103" t="str">
        <x:v>España</x:v>
      </x:c>
      <x:c r="F103" t="n">
        <x:v>2</x:v>
      </x:c>
      <x:c r="G103" t="n">
        <x:v>1</x:v>
      </x:c>
      <x:c r="H103" t="str">
        <x:v>Portugal</x:v>
      </x:c>
      <x:c r="I103" t="str">
        <x:v>90 minutos</x:v>
      </x:c>
      <x:c r="J103" t="n">
        <x:v>0</x:v>
      </x:c>
      <x:c r="K103" t="n">
        <x:v>1</x:v>
      </x:c>
      <x:c r="L103" t="str">
        <x:v>España</x:v>
      </x:c>
      <x:c r="M103" t="str">
        <x:v>90 minutos</x:v>
      </x:c>
      <x:c r="N103" t="n">
        <x:v>0</x:v>
      </x:c>
      <x:c r="O103" t="n">
        <x:v>0</x:v>
      </x:c>
      <x:c r="P103" t="n">
        <x:v>2</x:v>
      </x:c>
      <x:c r="Q103" t="n">
        <x:v>0</x:v>
      </x:c>
      <x:c r="R103" t="n">
        <x:v>0</x:v>
      </x:c>
      <x:c r="S103" t="n">
        <x:v>0</x:v>
      </x:c>
      <x:c r="T103" t="n">
        <x:v>1</x:v>
      </x:c>
      <x:c r="U103" t="n">
        <x:f>SUM(N103:T103)</x:f>
        <x:v>3</x:v>
      </x:c>
      <x:c r="V103" t="str">
        <x:v>OK</x:v>
      </x:c>
      <x:c r="W103" t="str">
        <x:v>Detalle 8vos publicado</x:v>
      </x:c>
    </x:row>
    <x:row r="104" ht="15" hidden="0" customHeight="1">
      <x:c r="A104" t="str">
        <x:v>8vos</x:v>
      </x:c>
      <x:c r="B104" t="str">
        <x:v>O7</x:v>
      </x:c>
      <x:c r="C104" t="str">
        <x:v>Arthur</x:v>
      </x:c>
      <x:c r="D104" t="str">
        <x:v>Suiza</x:v>
      </x:c>
      <x:c r="E104" t="str">
        <x:v>Colombia</x:v>
      </x:c>
      <x:c r="F104" t="n">
        <x:v>1</x:v>
      </x:c>
      <x:c r="G104" t="n">
        <x:v>2</x:v>
      </x:c>
      <x:c r="H104" t="str">
        <x:v>Colombia</x:v>
      </x:c>
      <x:c r="I104" t="str">
        <x:v>90 minutos</x:v>
      </x:c>
      <x:c r="J104" t="n">
        <x:v>0</x:v>
      </x:c>
      <x:c r="K104" t="n">
        <x:v>0</x:v>
      </x:c>
      <x:c r="L104" t="str">
        <x:v>Suiza</x:v>
      </x:c>
      <x:c r="M104" t="str">
        <x:v>Penales</x:v>
      </x:c>
      <x:c r="N104" t="n">
        <x:v>0</x:v>
      </x:c>
      <x:c r="O104" t="n">
        <x:v>0</x:v>
      </x:c>
      <x:c r="P104" t="n">
        <x:v>0</x:v>
      </x:c>
      <x:c r="Q104" t="n">
        <x:v>0</x:v>
      </x:c>
      <x:c r="R104" t="n">
        <x:v>0</x:v>
      </x:c>
      <x:c r="S104" t="n">
        <x:v>0</x:v>
      </x:c>
      <x:c r="T104" t="n">
        <x:v>0</x:v>
      </x:c>
      <x:c r="U104" t="n">
        <x:f>SUM(N104:T104)</x:f>
        <x:v>0</x:v>
      </x:c>
      <x:c r="V104" t="str">
        <x:v>OK</x:v>
      </x:c>
      <x:c r="W104" t="str">
        <x:v>Detalle 8vos publicado</x:v>
      </x:c>
    </x:row>
    <x:row r="105" ht="15" hidden="0" customHeight="1">
      <x:c r="A105" t="str">
        <x:v>8vos</x:v>
      </x:c>
      <x:c r="B105" t="str">
        <x:v>O8</x:v>
      </x:c>
      <x:c r="C105" t="str">
        <x:v>Arthur</x:v>
      </x:c>
      <x:c r="D105" t="str">
        <x:v>Argentina</x:v>
      </x:c>
      <x:c r="E105" t="str">
        <x:v>Egipto</x:v>
      </x:c>
      <x:c r="F105" t="n">
        <x:v>2</x:v>
      </x:c>
      <x:c r="G105" t="n">
        <x:v>0</x:v>
      </x:c>
      <x:c r="H105" t="str">
        <x:v>Argentina</x:v>
      </x:c>
      <x:c r="I105" t="str">
        <x:v>90 minutos</x:v>
      </x:c>
      <x:c r="J105" t="n">
        <x:v>3</x:v>
      </x:c>
      <x:c r="K105" t="n">
        <x:v>2</x:v>
      </x:c>
      <x:c r="L105" t="str">
        <x:v>Argentina</x:v>
      </x:c>
      <x:c r="M105" t="str">
        <x:v>90 minutos</x:v>
      </x:c>
      <x:c r="N105" t="n">
        <x:v>5</x:v>
      </x:c>
      <x:c r="O105" t="n">
        <x:v>3</x:v>
      </x:c>
      <x:c r="P105" t="n">
        <x:v>2</x:v>
      </x:c>
      <x:c r="Q105" t="n">
        <x:v>0</x:v>
      </x:c>
      <x:c r="R105" t="n">
        <x:v>0</x:v>
      </x:c>
      <x:c r="S105" t="n">
        <x:v>0</x:v>
      </x:c>
      <x:c r="T105" t="n">
        <x:v>0</x:v>
      </x:c>
      <x:c r="U105" t="n">
        <x:f>SUM(N105:T105)</x:f>
        <x:v>10</x:v>
      </x:c>
      <x:c r="V105" t="str">
        <x:v>OK</x:v>
      </x:c>
      <x:c r="W105" t="str">
        <x:v>Detalle 8vos publicado</x:v>
      </x:c>
    </x:row>
    <x:row r="106" ht="15" hidden="0" customHeight="1">
      <x:c r="A106" t="str">
        <x:v>8vos</x:v>
      </x:c>
      <x:c r="B106" t="str">
        <x:v>O1</x:v>
      </x:c>
      <x:c r="C106" t="str">
        <x:v>José Luis</x:v>
      </x:c>
      <x:c r="D106" t="str">
        <x:v>Canadá</x:v>
      </x:c>
      <x:c r="E106" t="str">
        <x:v>Marruecos</x:v>
      </x:c>
      <x:c r="F106"/>
      <x:c r="G106"/>
      <x:c r="H106" t="str">
        <x:v>Sin envío</x:v>
      </x:c>
      <x:c r="I106" t="str">
        <x:v>Sin envío</x:v>
      </x:c>
      <x:c r="J106" t="n">
        <x:v>0</x:v>
      </x:c>
      <x:c r="K106" t="n">
        <x:v>3</x:v>
      </x:c>
      <x:c r="L106" t="str">
        <x:v>Marruecos</x:v>
      </x:c>
      <x:c r="M106" t="str">
        <x:v>90 minutos</x:v>
      </x:c>
      <x:c r="N106" t="n">
        <x:v>0</x:v>
      </x:c>
      <x:c r="O106" t="n">
        <x:v>0</x:v>
      </x:c>
      <x:c r="P106" t="n">
        <x:v>0</x:v>
      </x:c>
      <x:c r="Q106" t="n">
        <x:v>0</x:v>
      </x:c>
      <x:c r="R106" t="n">
        <x:v>0</x:v>
      </x:c>
      <x:c r="S106" t="n">
        <x:v>0</x:v>
      </x:c>
      <x:c r="T106" t="n">
        <x:v>0</x:v>
      </x:c>
      <x:c r="U106" t="n">
        <x:f>SUM(N106:T106)</x:f>
        <x:v>0</x:v>
      </x:c>
      <x:c r="V106" t="str">
        <x:v>Sin respuesta CSV</x:v>
      </x:c>
      <x:c r="W106" t="str">
        <x:v>Detalle 8vos publicado</x:v>
      </x:c>
    </x:row>
    <x:row r="107" ht="15" hidden="0" customHeight="1">
      <x:c r="A107" t="str">
        <x:v>8vos</x:v>
      </x:c>
      <x:c r="B107" t="str">
        <x:v>O2</x:v>
      </x:c>
      <x:c r="C107" t="str">
        <x:v>José Luis</x:v>
      </x:c>
      <x:c r="D107" t="str">
        <x:v>Paraguay</x:v>
      </x:c>
      <x:c r="E107" t="str">
        <x:v>Francia</x:v>
      </x:c>
      <x:c r="F107"/>
      <x:c r="G107"/>
      <x:c r="H107" t="str">
        <x:v>Sin envío</x:v>
      </x:c>
      <x:c r="I107" t="str">
        <x:v>Sin envío</x:v>
      </x:c>
      <x:c r="J107" t="n">
        <x:v>0</x:v>
      </x:c>
      <x:c r="K107" t="n">
        <x:v>1</x:v>
      </x:c>
      <x:c r="L107" t="str">
        <x:v>Francia</x:v>
      </x:c>
      <x:c r="M107" t="str">
        <x:v>90 minutos</x:v>
      </x:c>
      <x:c r="N107" t="n">
        <x:v>0</x:v>
      </x:c>
      <x:c r="O107" t="n">
        <x:v>0</x:v>
      </x:c>
      <x:c r="P107" t="n">
        <x:v>0</x:v>
      </x:c>
      <x:c r="Q107" t="n">
        <x:v>0</x:v>
      </x:c>
      <x:c r="R107" t="n">
        <x:v>0</x:v>
      </x:c>
      <x:c r="S107" t="n">
        <x:v>0</x:v>
      </x:c>
      <x:c r="T107" t="n">
        <x:v>0</x:v>
      </x:c>
      <x:c r="U107" t="n">
        <x:f>SUM(N107:T107)</x:f>
        <x:v>0</x:v>
      </x:c>
      <x:c r="V107" t="str">
        <x:v>Sin respuesta CSV</x:v>
      </x:c>
      <x:c r="W107" t="str">
        <x:v>Detalle 8vos publicado</x:v>
      </x:c>
    </x:row>
    <x:row r="108" ht="15" hidden="0" customHeight="1">
      <x:c r="A108" t="str">
        <x:v>8vos</x:v>
      </x:c>
      <x:c r="B108" t="str">
        <x:v>O3</x:v>
      </x:c>
      <x:c r="C108" t="str">
        <x:v>José Luis</x:v>
      </x:c>
      <x:c r="D108" t="str">
        <x:v>Brasil</x:v>
      </x:c>
      <x:c r="E108" t="str">
        <x:v>Noruega</x:v>
      </x:c>
      <x:c r="F108"/>
      <x:c r="G108"/>
      <x:c r="H108" t="str">
        <x:v>Sin envío</x:v>
      </x:c>
      <x:c r="I108" t="str">
        <x:v>Sin envío</x:v>
      </x:c>
      <x:c r="J108" t="n">
        <x:v>1</x:v>
      </x:c>
      <x:c r="K108" t="n">
        <x:v>2</x:v>
      </x:c>
      <x:c r="L108" t="str">
        <x:v>Noruega</x:v>
      </x:c>
      <x:c r="M108" t="str">
        <x:v>90 minutos</x:v>
      </x:c>
      <x:c r="N108" t="n">
        <x:v>0</x:v>
      </x:c>
      <x:c r="O108" t="n">
        <x:v>0</x:v>
      </x:c>
      <x:c r="P108" t="n">
        <x:v>0</x:v>
      </x:c>
      <x:c r="Q108" t="n">
        <x:v>0</x:v>
      </x:c>
      <x:c r="R108" t="n">
        <x:v>0</x:v>
      </x:c>
      <x:c r="S108" t="n">
        <x:v>0</x:v>
      </x:c>
      <x:c r="T108" t="n">
        <x:v>0</x:v>
      </x:c>
      <x:c r="U108" t="n">
        <x:f>SUM(N108:T108)</x:f>
        <x:v>0</x:v>
      </x:c>
      <x:c r="V108" t="str">
        <x:v>Sin respuesta CSV</x:v>
      </x:c>
      <x:c r="W108" t="str">
        <x:v>Detalle 8vos publicado</x:v>
      </x:c>
    </x:row>
    <x:row r="109" ht="15" hidden="0" customHeight="1">
      <x:c r="A109" t="str">
        <x:v>8vos</x:v>
      </x:c>
      <x:c r="B109" t="str">
        <x:v>O4</x:v>
      </x:c>
      <x:c r="C109" t="str">
        <x:v>José Luis</x:v>
      </x:c>
      <x:c r="D109" t="str">
        <x:v>México</x:v>
      </x:c>
      <x:c r="E109" t="str">
        <x:v>Inglaterra</x:v>
      </x:c>
      <x:c r="F109"/>
      <x:c r="G109"/>
      <x:c r="H109" t="str">
        <x:v>Sin envío</x:v>
      </x:c>
      <x:c r="I109" t="str">
        <x:v>Sin envío</x:v>
      </x:c>
      <x:c r="J109" t="n">
        <x:v>2</x:v>
      </x:c>
      <x:c r="K109" t="n">
        <x:v>3</x:v>
      </x:c>
      <x:c r="L109" t="str">
        <x:v>Inglaterra</x:v>
      </x:c>
      <x:c r="M109" t="str">
        <x:v>90 minutos</x:v>
      </x:c>
      <x:c r="N109" t="n">
        <x:v>0</x:v>
      </x:c>
      <x:c r="O109" t="n">
        <x:v>0</x:v>
      </x:c>
      <x:c r="P109" t="n">
        <x:v>0</x:v>
      </x:c>
      <x:c r="Q109" t="n">
        <x:v>0</x:v>
      </x:c>
      <x:c r="R109" t="n">
        <x:v>0</x:v>
      </x:c>
      <x:c r="S109" t="n">
        <x:v>0</x:v>
      </x:c>
      <x:c r="T109" t="n">
        <x:v>0</x:v>
      </x:c>
      <x:c r="U109" t="n">
        <x:f>SUM(N109:T109)</x:f>
        <x:v>0</x:v>
      </x:c>
      <x:c r="V109" t="str">
        <x:v>Sin respuesta CSV</x:v>
      </x:c>
      <x:c r="W109" t="str">
        <x:v>Detalle 8vos publicado</x:v>
      </x:c>
    </x:row>
    <x:row r="110" ht="15" hidden="0" customHeight="1">
      <x:c r="A110" t="str">
        <x:v>8vos</x:v>
      </x:c>
      <x:c r="B110" t="str">
        <x:v>O5</x:v>
      </x:c>
      <x:c r="C110" t="str">
        <x:v>José Luis</x:v>
      </x:c>
      <x:c r="D110" t="str">
        <x:v>Estados Unidos</x:v>
      </x:c>
      <x:c r="E110" t="str">
        <x:v>Bélgica</x:v>
      </x:c>
      <x:c r="F110"/>
      <x:c r="G110"/>
      <x:c r="H110" t="str">
        <x:v>Sin envío</x:v>
      </x:c>
      <x:c r="I110" t="str">
        <x:v>Sin envío</x:v>
      </x:c>
      <x:c r="J110" t="n">
        <x:v>1</x:v>
      </x:c>
      <x:c r="K110" t="n">
        <x:v>4</x:v>
      </x:c>
      <x:c r="L110" t="str">
        <x:v>Bélgica</x:v>
      </x:c>
      <x:c r="M110" t="str">
        <x:v>90 minutos</x:v>
      </x:c>
      <x:c r="N110" t="n">
        <x:v>0</x:v>
      </x:c>
      <x:c r="O110" t="n">
        <x:v>0</x:v>
      </x:c>
      <x:c r="P110" t="n">
        <x:v>0</x:v>
      </x:c>
      <x:c r="Q110" t="n">
        <x:v>0</x:v>
      </x:c>
      <x:c r="R110" t="n">
        <x:v>0</x:v>
      </x:c>
      <x:c r="S110" t="n">
        <x:v>0</x:v>
      </x:c>
      <x:c r="T110" t="n">
        <x:v>0</x:v>
      </x:c>
      <x:c r="U110" t="n">
        <x:f>SUM(N110:T110)</x:f>
        <x:v>0</x:v>
      </x:c>
      <x:c r="V110" t="str">
        <x:v>Sin respuesta CSV</x:v>
      </x:c>
      <x:c r="W110" t="str">
        <x:v>Detalle 8vos publicado</x:v>
      </x:c>
    </x:row>
    <x:row r="111" ht="15" hidden="0" customHeight="1">
      <x:c r="A111" t="str">
        <x:v>8vos</x:v>
      </x:c>
      <x:c r="B111" t="str">
        <x:v>O6</x:v>
      </x:c>
      <x:c r="C111" t="str">
        <x:v>José Luis</x:v>
      </x:c>
      <x:c r="D111" t="str">
        <x:v>Portugal</x:v>
      </x:c>
      <x:c r="E111" t="str">
        <x:v>España</x:v>
      </x:c>
      <x:c r="F111"/>
      <x:c r="G111"/>
      <x:c r="H111" t="str">
        <x:v>Sin envío</x:v>
      </x:c>
      <x:c r="I111" t="str">
        <x:v>Sin envío</x:v>
      </x:c>
      <x:c r="J111" t="n">
        <x:v>0</x:v>
      </x:c>
      <x:c r="K111" t="n">
        <x:v>1</x:v>
      </x:c>
      <x:c r="L111" t="str">
        <x:v>España</x:v>
      </x:c>
      <x:c r="M111" t="str">
        <x:v>90 minutos</x:v>
      </x:c>
      <x:c r="N111" t="n">
        <x:v>0</x:v>
      </x:c>
      <x:c r="O111" t="n">
        <x:v>0</x:v>
      </x:c>
      <x:c r="P111" t="n">
        <x:v>0</x:v>
      </x:c>
      <x:c r="Q111" t="n">
        <x:v>0</x:v>
      </x:c>
      <x:c r="R111" t="n">
        <x:v>0</x:v>
      </x:c>
      <x:c r="S111" t="n">
        <x:v>0</x:v>
      </x:c>
      <x:c r="T111" t="n">
        <x:v>0</x:v>
      </x:c>
      <x:c r="U111" t="n">
        <x:f>SUM(N111:T111)</x:f>
        <x:v>0</x:v>
      </x:c>
      <x:c r="V111" t="str">
        <x:v>Sin respuesta CSV</x:v>
      </x:c>
      <x:c r="W111" t="str">
        <x:v>Detalle 8vos publicado</x:v>
      </x:c>
    </x:row>
    <x:row r="112" ht="15" hidden="0" customHeight="1">
      <x:c r="A112" t="str">
        <x:v>8vos</x:v>
      </x:c>
      <x:c r="B112" t="str">
        <x:v>O7</x:v>
      </x:c>
      <x:c r="C112" t="str">
        <x:v>José Luis</x:v>
      </x:c>
      <x:c r="D112" t="str">
        <x:v>Suiza</x:v>
      </x:c>
      <x:c r="E112" t="str">
        <x:v>Colombia</x:v>
      </x:c>
      <x:c r="F112"/>
      <x:c r="G112"/>
      <x:c r="H112" t="str">
        <x:v>Sin envío</x:v>
      </x:c>
      <x:c r="I112" t="str">
        <x:v>Sin envío</x:v>
      </x:c>
      <x:c r="J112" t="n">
        <x:v>0</x:v>
      </x:c>
      <x:c r="K112" t="n">
        <x:v>0</x:v>
      </x:c>
      <x:c r="L112" t="str">
        <x:v>Suiza</x:v>
      </x:c>
      <x:c r="M112" t="str">
        <x:v>Penales</x:v>
      </x:c>
      <x:c r="N112" t="n">
        <x:v>0</x:v>
      </x:c>
      <x:c r="O112" t="n">
        <x:v>0</x:v>
      </x:c>
      <x:c r="P112" t="n">
        <x:v>0</x:v>
      </x:c>
      <x:c r="Q112" t="n">
        <x:v>0</x:v>
      </x:c>
      <x:c r="R112" t="n">
        <x:v>0</x:v>
      </x:c>
      <x:c r="S112" t="n">
        <x:v>0</x:v>
      </x:c>
      <x:c r="T112" t="n">
        <x:v>0</x:v>
      </x:c>
      <x:c r="U112" t="n">
        <x:f>SUM(N112:T112)</x:f>
        <x:v>0</x:v>
      </x:c>
      <x:c r="V112" t="str">
        <x:v>Sin respuesta CSV</x:v>
      </x:c>
      <x:c r="W112" t="str">
        <x:v>Detalle 8vos publicado</x:v>
      </x:c>
    </x:row>
    <x:row r="113" ht="15" hidden="0" customHeight="1">
      <x:c r="A113" t="str">
        <x:v>8vos</x:v>
      </x:c>
      <x:c r="B113" t="str">
        <x:v>O8</x:v>
      </x:c>
      <x:c r="C113" t="str">
        <x:v>José Luis</x:v>
      </x:c>
      <x:c r="D113" t="str">
        <x:v>Argentina</x:v>
      </x:c>
      <x:c r="E113" t="str">
        <x:v>Egipto</x:v>
      </x:c>
      <x:c r="F113"/>
      <x:c r="G113"/>
      <x:c r="H113" t="str">
        <x:v>Sin envío</x:v>
      </x:c>
      <x:c r="I113" t="str">
        <x:v>Sin envío</x:v>
      </x:c>
      <x:c r="J113" t="n">
        <x:v>3</x:v>
      </x:c>
      <x:c r="K113" t="n">
        <x:v>2</x:v>
      </x:c>
      <x:c r="L113" t="str">
        <x:v>Argentina</x:v>
      </x:c>
      <x:c r="M113" t="str">
        <x:v>90 minutos</x:v>
      </x:c>
      <x:c r="N113" t="n">
        <x:v>0</x:v>
      </x:c>
      <x:c r="O113" t="n">
        <x:v>0</x:v>
      </x:c>
      <x:c r="P113" t="n">
        <x:v>0</x:v>
      </x:c>
      <x:c r="Q113" t="n">
        <x:v>0</x:v>
      </x:c>
      <x:c r="R113" t="n">
        <x:v>0</x:v>
      </x:c>
      <x:c r="S113" t="n">
        <x:v>0</x:v>
      </x:c>
      <x:c r="T113" t="n">
        <x:v>0</x:v>
      </x:c>
      <x:c r="U113" t="n">
        <x:f>SUM(N113:T113)</x:f>
        <x:v>0</x:v>
      </x:c>
      <x:c r="V113" t="str">
        <x:v>Sin respuesta CSV</x:v>
      </x:c>
      <x:c r="W113" t="str">
        <x:v>Detalle 8vos publicado</x:v>
      </x:c>
    </x:row>
    <x:row r="114" ht="15" hidden="0" customHeight="1">
      <x:c r="A114" t="str">
        <x:v>8vos</x:v>
      </x:c>
      <x:c r="B114" t="str">
        <x:v>O1</x:v>
      </x:c>
      <x:c r="C114" t="str">
        <x:v>Marcelo</x:v>
      </x:c>
      <x:c r="D114" t="str">
        <x:v>Canadá</x:v>
      </x:c>
      <x:c r="E114" t="str">
        <x:v>Marruecos</x:v>
      </x:c>
      <x:c r="F114"/>
      <x:c r="G114"/>
      <x:c r="H114" t="str">
        <x:v>Sin envío</x:v>
      </x:c>
      <x:c r="I114" t="str">
        <x:v>Sin envío</x:v>
      </x:c>
      <x:c r="J114" t="n">
        <x:v>0</x:v>
      </x:c>
      <x:c r="K114" t="n">
        <x:v>3</x:v>
      </x:c>
      <x:c r="L114" t="str">
        <x:v>Marruecos</x:v>
      </x:c>
      <x:c r="M114" t="str">
        <x:v>90 minutos</x:v>
      </x:c>
      <x:c r="N114" t="n">
        <x:v>0</x:v>
      </x:c>
      <x:c r="O114" t="n">
        <x:v>0</x:v>
      </x:c>
      <x:c r="P114" t="n">
        <x:v>0</x:v>
      </x:c>
      <x:c r="Q114" t="n">
        <x:v>0</x:v>
      </x:c>
      <x:c r="R114" t="n">
        <x:v>0</x:v>
      </x:c>
      <x:c r="S114" t="n">
        <x:v>0</x:v>
      </x:c>
      <x:c r="T114" t="n">
        <x:v>0</x:v>
      </x:c>
      <x:c r="U114" t="n">
        <x:f>SUM(N114:T114)</x:f>
        <x:v>0</x:v>
      </x:c>
      <x:c r="V114" t="str">
        <x:v>Sin respuesta CSV</x:v>
      </x:c>
      <x:c r="W114" t="str">
        <x:v>Detalle 8vos publicado</x:v>
      </x:c>
    </x:row>
    <x:row r="115" ht="15" hidden="0" customHeight="1">
      <x:c r="A115" t="str">
        <x:v>8vos</x:v>
      </x:c>
      <x:c r="B115" t="str">
        <x:v>O2</x:v>
      </x:c>
      <x:c r="C115" t="str">
        <x:v>Marcelo</x:v>
      </x:c>
      <x:c r="D115" t="str">
        <x:v>Paraguay</x:v>
      </x:c>
      <x:c r="E115" t="str">
        <x:v>Francia</x:v>
      </x:c>
      <x:c r="F115"/>
      <x:c r="G115"/>
      <x:c r="H115" t="str">
        <x:v>Sin envío</x:v>
      </x:c>
      <x:c r="I115" t="str">
        <x:v>Sin envío</x:v>
      </x:c>
      <x:c r="J115" t="n">
        <x:v>0</x:v>
      </x:c>
      <x:c r="K115" t="n">
        <x:v>1</x:v>
      </x:c>
      <x:c r="L115" t="str">
        <x:v>Francia</x:v>
      </x:c>
      <x:c r="M115" t="str">
        <x:v>90 minutos</x:v>
      </x:c>
      <x:c r="N115" t="n">
        <x:v>0</x:v>
      </x:c>
      <x:c r="O115" t="n">
        <x:v>0</x:v>
      </x:c>
      <x:c r="P115" t="n">
        <x:v>0</x:v>
      </x:c>
      <x:c r="Q115" t="n">
        <x:v>0</x:v>
      </x:c>
      <x:c r="R115" t="n">
        <x:v>0</x:v>
      </x:c>
      <x:c r="S115" t="n">
        <x:v>0</x:v>
      </x:c>
      <x:c r="T115" t="n">
        <x:v>0</x:v>
      </x:c>
      <x:c r="U115" t="n">
        <x:f>SUM(N115:T115)</x:f>
        <x:v>0</x:v>
      </x:c>
      <x:c r="V115" t="str">
        <x:v>Sin respuesta CSV</x:v>
      </x:c>
      <x:c r="W115" t="str">
        <x:v>Detalle 8vos publicado</x:v>
      </x:c>
    </x:row>
    <x:row r="116" ht="15" hidden="0" customHeight="1">
      <x:c r="A116" t="str">
        <x:v>8vos</x:v>
      </x:c>
      <x:c r="B116" t="str">
        <x:v>O3</x:v>
      </x:c>
      <x:c r="C116" t="str">
        <x:v>Marcelo</x:v>
      </x:c>
      <x:c r="D116" t="str">
        <x:v>Brasil</x:v>
      </x:c>
      <x:c r="E116" t="str">
        <x:v>Noruega</x:v>
      </x:c>
      <x:c r="F116"/>
      <x:c r="G116"/>
      <x:c r="H116" t="str">
        <x:v>Sin envío</x:v>
      </x:c>
      <x:c r="I116" t="str">
        <x:v>Sin envío</x:v>
      </x:c>
      <x:c r="J116" t="n">
        <x:v>1</x:v>
      </x:c>
      <x:c r="K116" t="n">
        <x:v>2</x:v>
      </x:c>
      <x:c r="L116" t="str">
        <x:v>Noruega</x:v>
      </x:c>
      <x:c r="M116" t="str">
        <x:v>90 minutos</x:v>
      </x:c>
      <x:c r="N116" t="n">
        <x:v>0</x:v>
      </x:c>
      <x:c r="O116" t="n">
        <x:v>0</x:v>
      </x:c>
      <x:c r="P116" t="n">
        <x:v>0</x:v>
      </x:c>
      <x:c r="Q116" t="n">
        <x:v>0</x:v>
      </x:c>
      <x:c r="R116" t="n">
        <x:v>0</x:v>
      </x:c>
      <x:c r="S116" t="n">
        <x:v>0</x:v>
      </x:c>
      <x:c r="T116" t="n">
        <x:v>0</x:v>
      </x:c>
      <x:c r="U116" t="n">
        <x:f>SUM(N116:T116)</x:f>
        <x:v>0</x:v>
      </x:c>
      <x:c r="V116" t="str">
        <x:v>Sin respuesta CSV</x:v>
      </x:c>
      <x:c r="W116" t="str">
        <x:v>Detalle 8vos publicado</x:v>
      </x:c>
    </x:row>
    <x:row r="117" ht="15" hidden="0" customHeight="1">
      <x:c r="A117" t="str">
        <x:v>8vos</x:v>
      </x:c>
      <x:c r="B117" t="str">
        <x:v>O4</x:v>
      </x:c>
      <x:c r="C117" t="str">
        <x:v>Marcelo</x:v>
      </x:c>
      <x:c r="D117" t="str">
        <x:v>México</x:v>
      </x:c>
      <x:c r="E117" t="str">
        <x:v>Inglaterra</x:v>
      </x:c>
      <x:c r="F117"/>
      <x:c r="G117"/>
      <x:c r="H117" t="str">
        <x:v>Sin envío</x:v>
      </x:c>
      <x:c r="I117" t="str">
        <x:v>Sin envío</x:v>
      </x:c>
      <x:c r="J117" t="n">
        <x:v>2</x:v>
      </x:c>
      <x:c r="K117" t="n">
        <x:v>3</x:v>
      </x:c>
      <x:c r="L117" t="str">
        <x:v>Inglaterra</x:v>
      </x:c>
      <x:c r="M117" t="str">
        <x:v>90 minutos</x:v>
      </x:c>
      <x:c r="N117" t="n">
        <x:v>0</x:v>
      </x:c>
      <x:c r="O117" t="n">
        <x:v>0</x:v>
      </x:c>
      <x:c r="P117" t="n">
        <x:v>0</x:v>
      </x:c>
      <x:c r="Q117" t="n">
        <x:v>0</x:v>
      </x:c>
      <x:c r="R117" t="n">
        <x:v>0</x:v>
      </x:c>
      <x:c r="S117" t="n">
        <x:v>0</x:v>
      </x:c>
      <x:c r="T117" t="n">
        <x:v>0</x:v>
      </x:c>
      <x:c r="U117" t="n">
        <x:f>SUM(N117:T117)</x:f>
        <x:v>0</x:v>
      </x:c>
      <x:c r="V117" t="str">
        <x:v>Sin respuesta CSV</x:v>
      </x:c>
      <x:c r="W117" t="str">
        <x:v>Detalle 8vos publicado</x:v>
      </x:c>
    </x:row>
    <x:row r="118" ht="15" hidden="0" customHeight="1">
      <x:c r="A118" t="str">
        <x:v>8vos</x:v>
      </x:c>
      <x:c r="B118" t="str">
        <x:v>O5</x:v>
      </x:c>
      <x:c r="C118" t="str">
        <x:v>Marcelo</x:v>
      </x:c>
      <x:c r="D118" t="str">
        <x:v>Estados Unidos</x:v>
      </x:c>
      <x:c r="E118" t="str">
        <x:v>Bélgica</x:v>
      </x:c>
      <x:c r="F118"/>
      <x:c r="G118"/>
      <x:c r="H118" t="str">
        <x:v>Sin envío</x:v>
      </x:c>
      <x:c r="I118" t="str">
        <x:v>Sin envío</x:v>
      </x:c>
      <x:c r="J118" t="n">
        <x:v>1</x:v>
      </x:c>
      <x:c r="K118" t="n">
        <x:v>4</x:v>
      </x:c>
      <x:c r="L118" t="str">
        <x:v>Bélgica</x:v>
      </x:c>
      <x:c r="M118" t="str">
        <x:v>90 minutos</x:v>
      </x:c>
      <x:c r="N118" t="n">
        <x:v>0</x:v>
      </x:c>
      <x:c r="O118" t="n">
        <x:v>0</x:v>
      </x:c>
      <x:c r="P118" t="n">
        <x:v>0</x:v>
      </x:c>
      <x:c r="Q118" t="n">
        <x:v>0</x:v>
      </x:c>
      <x:c r="R118" t="n">
        <x:v>0</x:v>
      </x:c>
      <x:c r="S118" t="n">
        <x:v>0</x:v>
      </x:c>
      <x:c r="T118" t="n">
        <x:v>0</x:v>
      </x:c>
      <x:c r="U118" t="n">
        <x:f>SUM(N118:T118)</x:f>
        <x:v>0</x:v>
      </x:c>
      <x:c r="V118" t="str">
        <x:v>Sin respuesta CSV</x:v>
      </x:c>
      <x:c r="W118" t="str">
        <x:v>Detalle 8vos publicado</x:v>
      </x:c>
    </x:row>
    <x:row r="119" ht="15" hidden="0" customHeight="1">
      <x:c r="A119" t="str">
        <x:v>8vos</x:v>
      </x:c>
      <x:c r="B119" t="str">
        <x:v>O6</x:v>
      </x:c>
      <x:c r="C119" t="str">
        <x:v>Marcelo</x:v>
      </x:c>
      <x:c r="D119" t="str">
        <x:v>Portugal</x:v>
      </x:c>
      <x:c r="E119" t="str">
        <x:v>España</x:v>
      </x:c>
      <x:c r="F119"/>
      <x:c r="G119"/>
      <x:c r="H119" t="str">
        <x:v>Sin envío</x:v>
      </x:c>
      <x:c r="I119" t="str">
        <x:v>Sin envío</x:v>
      </x:c>
      <x:c r="J119" t="n">
        <x:v>0</x:v>
      </x:c>
      <x:c r="K119" t="n">
        <x:v>1</x:v>
      </x:c>
      <x:c r="L119" t="str">
        <x:v>España</x:v>
      </x:c>
      <x:c r="M119" t="str">
        <x:v>90 minutos</x:v>
      </x:c>
      <x:c r="N119" t="n">
        <x:v>0</x:v>
      </x:c>
      <x:c r="O119" t="n">
        <x:v>0</x:v>
      </x:c>
      <x:c r="P119" t="n">
        <x:v>0</x:v>
      </x:c>
      <x:c r="Q119" t="n">
        <x:v>0</x:v>
      </x:c>
      <x:c r="R119" t="n">
        <x:v>0</x:v>
      </x:c>
      <x:c r="S119" t="n">
        <x:v>0</x:v>
      </x:c>
      <x:c r="T119" t="n">
        <x:v>0</x:v>
      </x:c>
      <x:c r="U119" t="n">
        <x:f>SUM(N119:T119)</x:f>
        <x:v>0</x:v>
      </x:c>
      <x:c r="V119" t="str">
        <x:v>Sin respuesta CSV</x:v>
      </x:c>
      <x:c r="W119" t="str">
        <x:v>Detalle 8vos publicado</x:v>
      </x:c>
    </x:row>
    <x:row r="120" ht="15" hidden="0" customHeight="1">
      <x:c r="A120" t="str">
        <x:v>8vos</x:v>
      </x:c>
      <x:c r="B120" t="str">
        <x:v>O7</x:v>
      </x:c>
      <x:c r="C120" t="str">
        <x:v>Marcelo</x:v>
      </x:c>
      <x:c r="D120" t="str">
        <x:v>Suiza</x:v>
      </x:c>
      <x:c r="E120" t="str">
        <x:v>Colombia</x:v>
      </x:c>
      <x:c r="F120"/>
      <x:c r="G120"/>
      <x:c r="H120" t="str">
        <x:v>Sin envío</x:v>
      </x:c>
      <x:c r="I120" t="str">
        <x:v>Sin envío</x:v>
      </x:c>
      <x:c r="J120" t="n">
        <x:v>0</x:v>
      </x:c>
      <x:c r="K120" t="n">
        <x:v>0</x:v>
      </x:c>
      <x:c r="L120" t="str">
        <x:v>Suiza</x:v>
      </x:c>
      <x:c r="M120" t="str">
        <x:v>Penales</x:v>
      </x:c>
      <x:c r="N120" t="n">
        <x:v>0</x:v>
      </x:c>
      <x:c r="O120" t="n">
        <x:v>0</x:v>
      </x:c>
      <x:c r="P120" t="n">
        <x:v>0</x:v>
      </x:c>
      <x:c r="Q120" t="n">
        <x:v>0</x:v>
      </x:c>
      <x:c r="R120" t="n">
        <x:v>0</x:v>
      </x:c>
      <x:c r="S120" t="n">
        <x:v>0</x:v>
      </x:c>
      <x:c r="T120" t="n">
        <x:v>0</x:v>
      </x:c>
      <x:c r="U120" t="n">
        <x:f>SUM(N120:T120)</x:f>
        <x:v>0</x:v>
      </x:c>
      <x:c r="V120" t="str">
        <x:v>Sin respuesta CSV</x:v>
      </x:c>
      <x:c r="W120" t="str">
        <x:v>Detalle 8vos publicado</x:v>
      </x:c>
    </x:row>
    <x:row r="121" ht="15" hidden="0" customHeight="1">
      <x:c r="A121" t="str">
        <x:v>8vos</x:v>
      </x:c>
      <x:c r="B121" t="str">
        <x:v>O8</x:v>
      </x:c>
      <x:c r="C121" t="str">
        <x:v>Marcelo</x:v>
      </x:c>
      <x:c r="D121" t="str">
        <x:v>Argentina</x:v>
      </x:c>
      <x:c r="E121" t="str">
        <x:v>Egipto</x:v>
      </x:c>
      <x:c r="F121"/>
      <x:c r="G121"/>
      <x:c r="H121" t="str">
        <x:v>Sin envío</x:v>
      </x:c>
      <x:c r="I121" t="str">
        <x:v>Sin envío</x:v>
      </x:c>
      <x:c r="J121" t="n">
        <x:v>3</x:v>
      </x:c>
      <x:c r="K121" t="n">
        <x:v>2</x:v>
      </x:c>
      <x:c r="L121" t="str">
        <x:v>Argentina</x:v>
      </x:c>
      <x:c r="M121" t="str">
        <x:v>90 minutos</x:v>
      </x:c>
      <x:c r="N121" t="n">
        <x:v>0</x:v>
      </x:c>
      <x:c r="O121" t="n">
        <x:v>0</x:v>
      </x:c>
      <x:c r="P121" t="n">
        <x:v>0</x:v>
      </x:c>
      <x:c r="Q121" t="n">
        <x:v>0</x:v>
      </x:c>
      <x:c r="R121" t="n">
        <x:v>0</x:v>
      </x:c>
      <x:c r="S121" t="n">
        <x:v>0</x:v>
      </x:c>
      <x:c r="T121" t="n">
        <x:v>0</x:v>
      </x:c>
      <x:c r="U121" t="n">
        <x:f>SUM(N121:T121)</x:f>
        <x:v>0</x:v>
      </x:c>
      <x:c r="V121" t="str">
        <x:v>Sin respuesta CSV</x:v>
      </x:c>
      <x:c r="W121" t="str">
        <x:v>Detalle 8vos publicado</x:v>
      </x:c>
    </x:row>
    <x:row r="122" ht="15" hidden="0" customHeight="1">
      <x:c r="A122" t="str">
        <x:v>8vos</x:v>
      </x:c>
      <x:c r="B122" t="str">
        <x:v>O1</x:v>
      </x:c>
      <x:c r="C122" t="str">
        <x:v>Anny</x:v>
      </x:c>
      <x:c r="D122" t="str">
        <x:v>Canadá</x:v>
      </x:c>
      <x:c r="E122" t="str">
        <x:v>Marruecos</x:v>
      </x:c>
      <x:c r="F122" t="n">
        <x:v>1</x:v>
      </x:c>
      <x:c r="G122" t="n">
        <x:v>2</x:v>
      </x:c>
      <x:c r="H122" t="str">
        <x:v>Marruecos</x:v>
      </x:c>
      <x:c r="I122" t="str">
        <x:v>90 minutos</x:v>
      </x:c>
      <x:c r="J122" t="n">
        <x:v>0</x:v>
      </x:c>
      <x:c r="K122" t="n">
        <x:v>3</x:v>
      </x:c>
      <x:c r="L122" t="str">
        <x:v>Marruecos</x:v>
      </x:c>
      <x:c r="M122" t="str">
        <x:v>90 minutos</x:v>
      </x:c>
      <x:c r="N122" t="n">
        <x:v>5</x:v>
      </x:c>
      <x:c r="O122" t="n">
        <x:v>3</x:v>
      </x:c>
      <x:c r="P122" t="n">
        <x:v>2</x:v>
      </x:c>
      <x:c r="Q122" t="n">
        <x:v>0</x:v>
      </x:c>
      <x:c r="R122" t="n">
        <x:v>0</x:v>
      </x:c>
      <x:c r="S122" t="n">
        <x:v>0</x:v>
      </x:c>
      <x:c r="T122" t="n">
        <x:v>0</x:v>
      </x:c>
      <x:c r="U122" t="n">
        <x:f>SUM(N122:T122)</x:f>
        <x:v>10</x:v>
      </x:c>
      <x:c r="V122" t="str">
        <x:v>OK</x:v>
      </x:c>
      <x:c r="W122" t="str">
        <x:v>Detalle 8vos publicado</x:v>
      </x:c>
    </x:row>
    <x:row r="123" ht="15" hidden="0" customHeight="1">
      <x:c r="A123" t="str">
        <x:v>8vos</x:v>
      </x:c>
      <x:c r="B123" t="str">
        <x:v>O2</x:v>
      </x:c>
      <x:c r="C123" t="str">
        <x:v>Anny</x:v>
      </x:c>
      <x:c r="D123" t="str">
        <x:v>Paraguay</x:v>
      </x:c>
      <x:c r="E123" t="str">
        <x:v>Francia</x:v>
      </x:c>
      <x:c r="F123" t="n">
        <x:v>0</x:v>
      </x:c>
      <x:c r="G123" t="n">
        <x:v>3</x:v>
      </x:c>
      <x:c r="H123" t="str">
        <x:v>Francia</x:v>
      </x:c>
      <x:c r="I123" t="str">
        <x:v>90 minutos</x:v>
      </x:c>
      <x:c r="J123" t="n">
        <x:v>0</x:v>
      </x:c>
      <x:c r="K123" t="n">
        <x:v>1</x:v>
      </x:c>
      <x:c r="L123" t="str">
        <x:v>Francia</x:v>
      </x:c>
      <x:c r="M123" t="str">
        <x:v>90 minutos</x:v>
      </x:c>
      <x:c r="N123" t="n">
        <x:v>5</x:v>
      </x:c>
      <x:c r="O123" t="n">
        <x:v>3</x:v>
      </x:c>
      <x:c r="P123" t="n">
        <x:v>2</x:v>
      </x:c>
      <x:c r="Q123" t="n">
        <x:v>0</x:v>
      </x:c>
      <x:c r="R123" t="n">
        <x:v>0</x:v>
      </x:c>
      <x:c r="S123" t="n">
        <x:v>1</x:v>
      </x:c>
      <x:c r="T123" t="n">
        <x:v>0</x:v>
      </x:c>
      <x:c r="U123" t="n">
        <x:f>SUM(N123:T123)</x:f>
        <x:v>11</x:v>
      </x:c>
      <x:c r="V123" t="str">
        <x:v>OK</x:v>
      </x:c>
      <x:c r="W123" t="str">
        <x:v>Detalle 8vos publicado</x:v>
      </x:c>
    </x:row>
    <x:row r="124" ht="15" hidden="0" customHeight="1">
      <x:c r="A124" t="str">
        <x:v>8vos</x:v>
      </x:c>
      <x:c r="B124" t="str">
        <x:v>O3</x:v>
      </x:c>
      <x:c r="C124" t="str">
        <x:v>Anny</x:v>
      </x:c>
      <x:c r="D124" t="str">
        <x:v>Brasil</x:v>
      </x:c>
      <x:c r="E124" t="str">
        <x:v>Noruega</x:v>
      </x:c>
      <x:c r="F124" t="n">
        <x:v>3</x:v>
      </x:c>
      <x:c r="G124" t="n">
        <x:v>1</x:v>
      </x:c>
      <x:c r="H124" t="str">
        <x:v>Brasil</x:v>
      </x:c>
      <x:c r="I124" t="str">
        <x:v>90 minutos</x:v>
      </x:c>
      <x:c r="J124" t="n">
        <x:v>1</x:v>
      </x:c>
      <x:c r="K124" t="n">
        <x:v>2</x:v>
      </x:c>
      <x:c r="L124" t="str">
        <x:v>Noruega</x:v>
      </x:c>
      <x:c r="M124" t="str">
        <x:v>90 minutos</x:v>
      </x:c>
      <x:c r="N124" t="n">
        <x:v>0</x:v>
      </x:c>
      <x:c r="O124" t="n">
        <x:v>0</x:v>
      </x:c>
      <x:c r="P124" t="n">
        <x:v>2</x:v>
      </x:c>
      <x:c r="Q124" t="n">
        <x:v>0</x:v>
      </x:c>
      <x:c r="R124" t="n">
        <x:v>0</x:v>
      </x:c>
      <x:c r="S124" t="n">
        <x:v>0</x:v>
      </x:c>
      <x:c r="T124" t="n">
        <x:v>0</x:v>
      </x:c>
      <x:c r="U124" t="n">
        <x:f>SUM(N124:T124)</x:f>
        <x:v>2</x:v>
      </x:c>
      <x:c r="V124" t="str">
        <x:v>OK</x:v>
      </x:c>
      <x:c r="W124" t="str">
        <x:v>Detalle 8vos publicado</x:v>
      </x:c>
    </x:row>
    <x:row r="125" ht="15" hidden="0" customHeight="1">
      <x:c r="A125" t="str">
        <x:v>8vos</x:v>
      </x:c>
      <x:c r="B125" t="str">
        <x:v>O4</x:v>
      </x:c>
      <x:c r="C125" t="str">
        <x:v>Anny</x:v>
      </x:c>
      <x:c r="D125" t="str">
        <x:v>México</x:v>
      </x:c>
      <x:c r="E125" t="str">
        <x:v>Inglaterra</x:v>
      </x:c>
      <x:c r="F125" t="n">
        <x:v>1</x:v>
      </x:c>
      <x:c r="G125" t="n">
        <x:v>2</x:v>
      </x:c>
      <x:c r="H125" t="str">
        <x:v>Inglaterra</x:v>
      </x:c>
      <x:c r="I125" t="str">
        <x:v>90 minutos</x:v>
      </x:c>
      <x:c r="J125" t="n">
        <x:v>2</x:v>
      </x:c>
      <x:c r="K125" t="n">
        <x:v>3</x:v>
      </x:c>
      <x:c r="L125" t="str">
        <x:v>Inglaterra</x:v>
      </x:c>
      <x:c r="M125" t="str">
        <x:v>90 minutos</x:v>
      </x:c>
      <x:c r="N125" t="n">
        <x:v>5</x:v>
      </x:c>
      <x:c r="O125" t="n">
        <x:v>3</x:v>
      </x:c>
      <x:c r="P125" t="n">
        <x:v>2</x:v>
      </x:c>
      <x:c r="Q125" t="n">
        <x:v>0</x:v>
      </x:c>
      <x:c r="R125" t="n">
        <x:v>2</x:v>
      </x:c>
      <x:c r="S125" t="n">
        <x:v>0</x:v>
      </x:c>
      <x:c r="T125" t="n">
        <x:v>0</x:v>
      </x:c>
      <x:c r="U125" t="n">
        <x:f>SUM(N125:T125)</x:f>
        <x:v>12</x:v>
      </x:c>
      <x:c r="V125" t="str">
        <x:v>OK</x:v>
      </x:c>
      <x:c r="W125" t="str">
        <x:v>Detalle 8vos publicado</x:v>
      </x:c>
    </x:row>
    <x:row r="126" ht="15" hidden="0" customHeight="1">
      <x:c r="A126" t="str">
        <x:v>8vos</x:v>
      </x:c>
      <x:c r="B126" t="str">
        <x:v>O5</x:v>
      </x:c>
      <x:c r="C126" t="str">
        <x:v>Anny</x:v>
      </x:c>
      <x:c r="D126" t="str">
        <x:v>Estados Unidos</x:v>
      </x:c>
      <x:c r="E126" t="str">
        <x:v>Bélgica</x:v>
      </x:c>
      <x:c r="F126" t="n">
        <x:v>1</x:v>
      </x:c>
      <x:c r="G126" t="n">
        <x:v>1</x:v>
      </x:c>
      <x:c r="H126" t="str">
        <x:v>EEUU</x:v>
      </x:c>
      <x:c r="I126" t="str">
        <x:v>Penales</x:v>
      </x:c>
      <x:c r="J126" t="n">
        <x:v>1</x:v>
      </x:c>
      <x:c r="K126" t="n">
        <x:v>4</x:v>
      </x:c>
      <x:c r="L126" t="str">
        <x:v>Bélgica</x:v>
      </x:c>
      <x:c r="M126" t="str">
        <x:v>90 minutos</x:v>
      </x:c>
      <x:c r="N126" t="n">
        <x:v>0</x:v>
      </x:c>
      <x:c r="O126" t="n">
        <x:v>0</x:v>
      </x:c>
      <x:c r="P126" t="n">
        <x:v>0</x:v>
      </x:c>
      <x:c r="Q126" t="n">
        <x:v>0</x:v>
      </x:c>
      <x:c r="R126" t="n">
        <x:v>0</x:v>
      </x:c>
      <x:c r="S126" t="n">
        <x:v>1</x:v>
      </x:c>
      <x:c r="T126" t="n">
        <x:v>0</x:v>
      </x:c>
      <x:c r="U126" t="n">
        <x:f>SUM(N126:T126)</x:f>
        <x:v>1</x:v>
      </x:c>
      <x:c r="V126" t="str">
        <x:v>OK</x:v>
      </x:c>
      <x:c r="W126" t="str">
        <x:v>Detalle 8vos publicado</x:v>
      </x:c>
    </x:row>
    <x:row r="127" ht="15" hidden="0" customHeight="1">
      <x:c r="A127" t="str">
        <x:v>8vos</x:v>
      </x:c>
      <x:c r="B127" t="str">
        <x:v>O6</x:v>
      </x:c>
      <x:c r="C127" t="str">
        <x:v>Anny</x:v>
      </x:c>
      <x:c r="D127" t="str">
        <x:v>Portugal</x:v>
      </x:c>
      <x:c r="E127" t="str">
        <x:v>España</x:v>
      </x:c>
      <x:c r="F127" t="n">
        <x:v>2</x:v>
      </x:c>
      <x:c r="G127" t="n">
        <x:v>2</x:v>
      </x:c>
      <x:c r="H127" t="str">
        <x:v>España</x:v>
      </x:c>
      <x:c r="I127" t="str">
        <x:v>Penales</x:v>
      </x:c>
      <x:c r="J127" t="n">
        <x:v>0</x:v>
      </x:c>
      <x:c r="K127" t="n">
        <x:v>1</x:v>
      </x:c>
      <x:c r="L127" t="str">
        <x:v>España</x:v>
      </x:c>
      <x:c r="M127" t="str">
        <x:v>90 minutos</x:v>
      </x:c>
      <x:c r="N127" t="n">
        <x:v>0</x:v>
      </x:c>
      <x:c r="O127" t="n">
        <x:v>3</x:v>
      </x:c>
      <x:c r="P127" t="n">
        <x:v>0</x:v>
      </x:c>
      <x:c r="Q127" t="n">
        <x:v>0</x:v>
      </x:c>
      <x:c r="R127" t="n">
        <x:v>0</x:v>
      </x:c>
      <x:c r="S127" t="n">
        <x:v>0</x:v>
      </x:c>
      <x:c r="T127" t="n">
        <x:v>0</x:v>
      </x:c>
      <x:c r="U127" t="n">
        <x:f>SUM(N127:T127)</x:f>
        <x:v>3</x:v>
      </x:c>
      <x:c r="V127" t="str">
        <x:v>OK</x:v>
      </x:c>
      <x:c r="W127" t="str">
        <x:v>Detalle 8vos publicado</x:v>
      </x:c>
    </x:row>
    <x:row r="128" ht="15" hidden="0" customHeight="1">
      <x:c r="A128" t="str">
        <x:v>8vos</x:v>
      </x:c>
      <x:c r="B128" t="str">
        <x:v>O7</x:v>
      </x:c>
      <x:c r="C128" t="str">
        <x:v>Anny</x:v>
      </x:c>
      <x:c r="D128" t="str">
        <x:v>Suiza</x:v>
      </x:c>
      <x:c r="E128" t="str">
        <x:v>Colombia</x:v>
      </x:c>
      <x:c r="F128" t="n">
        <x:v>2</x:v>
      </x:c>
      <x:c r="G128" t="n">
        <x:v>2</x:v>
      </x:c>
      <x:c r="H128" t="str">
        <x:v>Colombia</x:v>
      </x:c>
      <x:c r="I128" t="str">
        <x:v>Penales</x:v>
      </x:c>
      <x:c r="J128" t="n">
        <x:v>0</x:v>
      </x:c>
      <x:c r="K128" t="n">
        <x:v>0</x:v>
      </x:c>
      <x:c r="L128" t="str">
        <x:v>Suiza</x:v>
      </x:c>
      <x:c r="M128" t="str">
        <x:v>Penales</x:v>
      </x:c>
      <x:c r="N128" t="n">
        <x:v>5</x:v>
      </x:c>
      <x:c r="O128" t="n">
        <x:v>0</x:v>
      </x:c>
      <x:c r="P128" t="n">
        <x:v>2</x:v>
      </x:c>
      <x:c r="Q128" t="n">
        <x:v>0</x:v>
      </x:c>
      <x:c r="R128" t="n">
        <x:v>2</x:v>
      </x:c>
      <x:c r="S128" t="n">
        <x:v>0</x:v>
      </x:c>
      <x:c r="T128" t="n">
        <x:v>0</x:v>
      </x:c>
      <x:c r="U128" t="n">
        <x:f>SUM(N128:T128)</x:f>
        <x:v>9</x:v>
      </x:c>
      <x:c r="V128" t="str">
        <x:v>OK</x:v>
      </x:c>
      <x:c r="W128" t="str">
        <x:v>Detalle 8vos publicado</x:v>
      </x:c>
    </x:row>
    <x:row r="129" ht="15" hidden="0" customHeight="1">
      <x:c r="A129" t="str">
        <x:v>8vos</x:v>
      </x:c>
      <x:c r="B129" t="str">
        <x:v>O8</x:v>
      </x:c>
      <x:c r="C129" t="str">
        <x:v>Anny</x:v>
      </x:c>
      <x:c r="D129" t="str">
        <x:v>Argentina</x:v>
      </x:c>
      <x:c r="E129" t="str">
        <x:v>Egipto</x:v>
      </x:c>
      <x:c r="F129" t="n">
        <x:v>2</x:v>
      </x:c>
      <x:c r="G129" t="n">
        <x:v>1</x:v>
      </x:c>
      <x:c r="H129" t="str">
        <x:v>Argentina</x:v>
      </x:c>
      <x:c r="I129" t="str">
        <x:v>90 minutos</x:v>
      </x:c>
      <x:c r="J129" t="n">
        <x:v>3</x:v>
      </x:c>
      <x:c r="K129" t="n">
        <x:v>2</x:v>
      </x:c>
      <x:c r="L129" t="str">
        <x:v>Argentina</x:v>
      </x:c>
      <x:c r="M129" t="str">
        <x:v>90 minutos</x:v>
      </x:c>
      <x:c r="N129" t="n">
        <x:v>5</x:v>
      </x:c>
      <x:c r="O129" t="n">
        <x:v>3</x:v>
      </x:c>
      <x:c r="P129" t="n">
        <x:v>2</x:v>
      </x:c>
      <x:c r="Q129" t="n">
        <x:v>0</x:v>
      </x:c>
      <x:c r="R129" t="n">
        <x:v>2</x:v>
      </x:c>
      <x:c r="S129" t="n">
        <x:v>0</x:v>
      </x:c>
      <x:c r="T129" t="n">
        <x:v>0</x:v>
      </x:c>
      <x:c r="U129" t="n">
        <x:f>SUM(N129:T129)</x:f>
        <x:v>12</x:v>
      </x:c>
      <x:c r="V129" t="str">
        <x:v>OK</x:v>
      </x:c>
      <x:c r="W129" t="str">
        <x:v>Detalle 8vos publicado</x:v>
      </x:c>
    </x:row>
    <x:row r="130" ht="15" hidden="0" customHeight="1">
      <x:c r="A130" t="str">
        <x:v>8vos</x:v>
      </x:c>
      <x:c r="B130" t="str">
        <x:v>O1</x:v>
      </x:c>
      <x:c r="C130" t="str">
        <x:v>Moisés</x:v>
      </x:c>
      <x:c r="D130" t="str">
        <x:v>Canadá</x:v>
      </x:c>
      <x:c r="E130" t="str">
        <x:v>Marruecos</x:v>
      </x:c>
      <x:c r="F130" t="n">
        <x:v>1</x:v>
      </x:c>
      <x:c r="G130" t="n">
        <x:v>2</x:v>
      </x:c>
      <x:c r="H130" t="str">
        <x:v>Marruecos</x:v>
      </x:c>
      <x:c r="I130" t="str">
        <x:v>Suplementario</x:v>
      </x:c>
      <x:c r="J130" t="n">
        <x:v>0</x:v>
      </x:c>
      <x:c r="K130" t="n">
        <x:v>3</x:v>
      </x:c>
      <x:c r="L130" t="str">
        <x:v>Marruecos</x:v>
      </x:c>
      <x:c r="M130" t="str">
        <x:v>90 minutos</x:v>
      </x:c>
      <x:c r="N130" t="n">
        <x:v>0</x:v>
      </x:c>
      <x:c r="O130" t="n">
        <x:v>0</x:v>
      </x:c>
      <x:c r="P130" t="n">
        <x:v>0</x:v>
      </x:c>
      <x:c r="Q130" t="n">
        <x:v>0</x:v>
      </x:c>
      <x:c r="R130" t="n">
        <x:v>0</x:v>
      </x:c>
      <x:c r="S130" t="n">
        <x:v>0</x:v>
      </x:c>
      <x:c r="T130" t="n">
        <x:v>0</x:v>
      </x:c>
      <x:c r="U130" t="n">
        <x:f>SUM(N130:T130)</x:f>
        <x:v>0</x:v>
      </x:c>
      <x:c r="V130" t="str">
        <x:v>Revisar: ganador en 90 debe tener método 90 minutos</x:v>
      </x:c>
      <x:c r="W130" t="str">
        <x:v>Detalle 8vos publicado</x:v>
      </x:c>
    </x:row>
    <x:row r="131" ht="15" hidden="0" customHeight="1">
      <x:c r="A131" t="str">
        <x:v>8vos</x:v>
      </x:c>
      <x:c r="B131" t="str">
        <x:v>O2</x:v>
      </x:c>
      <x:c r="C131" t="str">
        <x:v>Moisés</x:v>
      </x:c>
      <x:c r="D131" t="str">
        <x:v>Paraguay</x:v>
      </x:c>
      <x:c r="E131" t="str">
        <x:v>Francia</x:v>
      </x:c>
      <x:c r="F131" t="n">
        <x:v>1</x:v>
      </x:c>
      <x:c r="G131" t="n">
        <x:v>3</x:v>
      </x:c>
      <x:c r="H131" t="str">
        <x:v>Francia</x:v>
      </x:c>
      <x:c r="I131" t="str">
        <x:v>90 minutos</x:v>
      </x:c>
      <x:c r="J131" t="n">
        <x:v>0</x:v>
      </x:c>
      <x:c r="K131" t="n">
        <x:v>1</x:v>
      </x:c>
      <x:c r="L131" t="str">
        <x:v>Francia</x:v>
      </x:c>
      <x:c r="M131" t="str">
        <x:v>90 minutos</x:v>
      </x:c>
      <x:c r="N131" t="n">
        <x:v>5</x:v>
      </x:c>
      <x:c r="O131" t="n">
        <x:v>3</x:v>
      </x:c>
      <x:c r="P131" t="n">
        <x:v>2</x:v>
      </x:c>
      <x:c r="Q131" t="n">
        <x:v>0</x:v>
      </x:c>
      <x:c r="R131" t="n">
        <x:v>0</x:v>
      </x:c>
      <x:c r="S131" t="n">
        <x:v>0</x:v>
      </x:c>
      <x:c r="T131" t="n">
        <x:v>0</x:v>
      </x:c>
      <x:c r="U131" t="n">
        <x:f>SUM(N131:T131)</x:f>
        <x:v>10</x:v>
      </x:c>
      <x:c r="V131" t="str">
        <x:v>OK</x:v>
      </x:c>
      <x:c r="W131" t="str">
        <x:v>Detalle 8vos publicado</x:v>
      </x:c>
    </x:row>
    <x:row r="132" ht="15" hidden="0" customHeight="1">
      <x:c r="A132" t="str">
        <x:v>8vos</x:v>
      </x:c>
      <x:c r="B132" t="str">
        <x:v>O3</x:v>
      </x:c>
      <x:c r="C132" t="str">
        <x:v>Moisés</x:v>
      </x:c>
      <x:c r="D132" t="str">
        <x:v>Brasil</x:v>
      </x:c>
      <x:c r="E132" t="str">
        <x:v>Noruega</x:v>
      </x:c>
      <x:c r="F132" t="n">
        <x:v>2</x:v>
      </x:c>
      <x:c r="G132" t="n">
        <x:v>1</x:v>
      </x:c>
      <x:c r="H132" t="str">
        <x:v>Brasil</x:v>
      </x:c>
      <x:c r="I132" t="str">
        <x:v>Penales</x:v>
      </x:c>
      <x:c r="J132" t="n">
        <x:v>1</x:v>
      </x:c>
      <x:c r="K132" t="n">
        <x:v>2</x:v>
      </x:c>
      <x:c r="L132" t="str">
        <x:v>Noruega</x:v>
      </x:c>
      <x:c r="M132" t="str">
        <x:v>90 minutos</x:v>
      </x:c>
      <x:c r="N132" t="n">
        <x:v>0</x:v>
      </x:c>
      <x:c r="O132" t="n">
        <x:v>0</x:v>
      </x:c>
      <x:c r="P132" t="n">
        <x:v>0</x:v>
      </x:c>
      <x:c r="Q132" t="n">
        <x:v>0</x:v>
      </x:c>
      <x:c r="R132" t="n">
        <x:v>0</x:v>
      </x:c>
      <x:c r="S132" t="n">
        <x:v>0</x:v>
      </x:c>
      <x:c r="T132" t="n">
        <x:v>0</x:v>
      </x:c>
      <x:c r="U132" t="n">
        <x:f>SUM(N132:T132)</x:f>
        <x:v>0</x:v>
      </x:c>
      <x:c r="V132" t="str">
        <x:v>Revisar: ganador en 90 debe tener método 90 minutos</x:v>
      </x:c>
      <x:c r="W132" t="str">
        <x:v>Detalle 8vos publicado</x:v>
      </x:c>
    </x:row>
    <x:row r="133" ht="15" hidden="0" customHeight="1">
      <x:c r="A133" t="str">
        <x:v>8vos</x:v>
      </x:c>
      <x:c r="B133" t="str">
        <x:v>O4</x:v>
      </x:c>
      <x:c r="C133" t="str">
        <x:v>Moisés</x:v>
      </x:c>
      <x:c r="D133" t="str">
        <x:v>México</x:v>
      </x:c>
      <x:c r="E133" t="str">
        <x:v>Inglaterra</x:v>
      </x:c>
      <x:c r="F133" t="n">
        <x:v>2</x:v>
      </x:c>
      <x:c r="G133" t="n">
        <x:v>3</x:v>
      </x:c>
      <x:c r="H133" t="str">
        <x:v>Inglaterra</x:v>
      </x:c>
      <x:c r="I133" t="str">
        <x:v>Penales</x:v>
      </x:c>
      <x:c r="J133" t="n">
        <x:v>2</x:v>
      </x:c>
      <x:c r="K133" t="n">
        <x:v>3</x:v>
      </x:c>
      <x:c r="L133" t="str">
        <x:v>Inglaterra</x:v>
      </x:c>
      <x:c r="M133" t="str">
        <x:v>90 minutos</x:v>
      </x:c>
      <x:c r="N133" t="n">
        <x:v>0</x:v>
      </x:c>
      <x:c r="O133" t="n">
        <x:v>0</x:v>
      </x:c>
      <x:c r="P133" t="n">
        <x:v>0</x:v>
      </x:c>
      <x:c r="Q133" t="n">
        <x:v>0</x:v>
      </x:c>
      <x:c r="R133" t="n">
        <x:v>0</x:v>
      </x:c>
      <x:c r="S133" t="n">
        <x:v>0</x:v>
      </x:c>
      <x:c r="T133" t="n">
        <x:v>0</x:v>
      </x:c>
      <x:c r="U133" t="n">
        <x:f>SUM(N133:T133)</x:f>
        <x:v>0</x:v>
      </x:c>
      <x:c r="V133" t="str">
        <x:v>Revisar: ganador en 90 debe tener método 90 minutos</x:v>
      </x:c>
      <x:c r="W133" t="str">
        <x:v>Detalle 8vos publicado</x:v>
      </x:c>
    </x:row>
    <x:row r="134" ht="15" hidden="0" customHeight="1">
      <x:c r="A134" t="str">
        <x:v>8vos</x:v>
      </x:c>
      <x:c r="B134" t="str">
        <x:v>O5</x:v>
      </x:c>
      <x:c r="C134" t="str">
        <x:v>Moisés</x:v>
      </x:c>
      <x:c r="D134" t="str">
        <x:v>Estados Unidos</x:v>
      </x:c>
      <x:c r="E134" t="str">
        <x:v>Bélgica</x:v>
      </x:c>
      <x:c r="F134" t="n">
        <x:v>2</x:v>
      </x:c>
      <x:c r="G134" t="n">
        <x:v>3</x:v>
      </x:c>
      <x:c r="H134" t="str">
        <x:v>Bélgica</x:v>
      </x:c>
      <x:c r="I134" t="str">
        <x:v>Suplementario</x:v>
      </x:c>
      <x:c r="J134" t="n">
        <x:v>1</x:v>
      </x:c>
      <x:c r="K134" t="n">
        <x:v>4</x:v>
      </x:c>
      <x:c r="L134" t="str">
        <x:v>Bélgica</x:v>
      </x:c>
      <x:c r="M134" t="str">
        <x:v>90 minutos</x:v>
      </x:c>
      <x:c r="N134" t="n">
        <x:v>0</x:v>
      </x:c>
      <x:c r="O134" t="n">
        <x:v>0</x:v>
      </x:c>
      <x:c r="P134" t="n">
        <x:v>0</x:v>
      </x:c>
      <x:c r="Q134" t="n">
        <x:v>0</x:v>
      </x:c>
      <x:c r="R134" t="n">
        <x:v>0</x:v>
      </x:c>
      <x:c r="S134" t="n">
        <x:v>0</x:v>
      </x:c>
      <x:c r="T134" t="n">
        <x:v>0</x:v>
      </x:c>
      <x:c r="U134" t="n">
        <x:f>SUM(N134:T134)</x:f>
        <x:v>0</x:v>
      </x:c>
      <x:c r="V134" t="str">
        <x:v>Revisar: ganador en 90 debe tener método 90 minutos</x:v>
      </x:c>
      <x:c r="W134" t="str">
        <x:v>Detalle 8vos publicado</x:v>
      </x:c>
    </x:row>
    <x:row r="135" ht="15" hidden="0" customHeight="1">
      <x:c r="A135" t="str">
        <x:v>8vos</x:v>
      </x:c>
      <x:c r="B135" t="str">
        <x:v>O6</x:v>
      </x:c>
      <x:c r="C135" t="str">
        <x:v>Moisés</x:v>
      </x:c>
      <x:c r="D135" t="str">
        <x:v>Portugal</x:v>
      </x:c>
      <x:c r="E135" t="str">
        <x:v>España</x:v>
      </x:c>
      <x:c r="F135" t="n">
        <x:v>2</x:v>
      </x:c>
      <x:c r="G135" t="n">
        <x:v>1</x:v>
      </x:c>
      <x:c r="H135" t="str">
        <x:v>Portugal</x:v>
      </x:c>
      <x:c r="I135" t="str">
        <x:v>Penales</x:v>
      </x:c>
      <x:c r="J135" t="n">
        <x:v>0</x:v>
      </x:c>
      <x:c r="K135" t="n">
        <x:v>1</x:v>
      </x:c>
      <x:c r="L135" t="str">
        <x:v>España</x:v>
      </x:c>
      <x:c r="M135" t="str">
        <x:v>90 minutos</x:v>
      </x:c>
      <x:c r="N135" t="n">
        <x:v>0</x:v>
      </x:c>
      <x:c r="O135" t="n">
        <x:v>0</x:v>
      </x:c>
      <x:c r="P135" t="n">
        <x:v>0</x:v>
      </x:c>
      <x:c r="Q135" t="n">
        <x:v>0</x:v>
      </x:c>
      <x:c r="R135" t="n">
        <x:v>0</x:v>
      </x:c>
      <x:c r="S135" t="n">
        <x:v>0</x:v>
      </x:c>
      <x:c r="T135" t="n">
        <x:v>0</x:v>
      </x:c>
      <x:c r="U135" t="n">
        <x:f>SUM(N135:T135)</x:f>
        <x:v>0</x:v>
      </x:c>
      <x:c r="V135" t="str">
        <x:v>Revisar: ganador en 90 debe tener método 90 minutos</x:v>
      </x:c>
      <x:c r="W135" t="str">
        <x:v>Detalle 8vos publicado</x:v>
      </x:c>
    </x:row>
    <x:row r="136" ht="15" hidden="0" customHeight="1">
      <x:c r="A136" t="str">
        <x:v>8vos</x:v>
      </x:c>
      <x:c r="B136" t="str">
        <x:v>O7</x:v>
      </x:c>
      <x:c r="C136" t="str">
        <x:v>Moisés</x:v>
      </x:c>
      <x:c r="D136" t="str">
        <x:v>Suiza</x:v>
      </x:c>
      <x:c r="E136" t="str">
        <x:v>Colombia</x:v>
      </x:c>
      <x:c r="F136" t="n">
        <x:v>1</x:v>
      </x:c>
      <x:c r="G136" t="n">
        <x:v>2</x:v>
      </x:c>
      <x:c r="H136" t="str">
        <x:v>Colombia</x:v>
      </x:c>
      <x:c r="I136" t="str">
        <x:v>Suplementario</x:v>
      </x:c>
      <x:c r="J136" t="n">
        <x:v>0</x:v>
      </x:c>
      <x:c r="K136" t="n">
        <x:v>0</x:v>
      </x:c>
      <x:c r="L136" t="str">
        <x:v>Suiza</x:v>
      </x:c>
      <x:c r="M136" t="str">
        <x:v>Penales</x:v>
      </x:c>
      <x:c r="N136" t="n">
        <x:v>0</x:v>
      </x:c>
      <x:c r="O136" t="n">
        <x:v>0</x:v>
      </x:c>
      <x:c r="P136" t="n">
        <x:v>0</x:v>
      </x:c>
      <x:c r="Q136" t="n">
        <x:v>0</x:v>
      </x:c>
      <x:c r="R136" t="n">
        <x:v>0</x:v>
      </x:c>
      <x:c r="S136" t="n">
        <x:v>0</x:v>
      </x:c>
      <x:c r="T136" t="n">
        <x:v>0</x:v>
      </x:c>
      <x:c r="U136" t="n">
        <x:f>SUM(N136:T136)</x:f>
        <x:v>0</x:v>
      </x:c>
      <x:c r="V136" t="str">
        <x:v>Revisar: ganador en 90 debe tener método 90 minutos</x:v>
      </x:c>
      <x:c r="W136" t="str">
        <x:v>Detalle 8vos publicado</x:v>
      </x:c>
    </x:row>
    <x:row r="137" ht="15" hidden="0" customHeight="1">
      <x:c r="A137" t="str">
        <x:v>8vos</x:v>
      </x:c>
      <x:c r="B137" t="str">
        <x:v>O8</x:v>
      </x:c>
      <x:c r="C137" t="str">
        <x:v>Moisés</x:v>
      </x:c>
      <x:c r="D137" t="str">
        <x:v>Argentina</x:v>
      </x:c>
      <x:c r="E137" t="str">
        <x:v>Egipto</x:v>
      </x:c>
      <x:c r="F137" t="n">
        <x:v>2</x:v>
      </x:c>
      <x:c r="G137" t="n">
        <x:v>1</x:v>
      </x:c>
      <x:c r="H137" t="str">
        <x:v>Argentina</x:v>
      </x:c>
      <x:c r="I137" t="str">
        <x:v>Suplementario</x:v>
      </x:c>
      <x:c r="J137" t="n">
        <x:v>3</x:v>
      </x:c>
      <x:c r="K137" t="n">
        <x:v>2</x:v>
      </x:c>
      <x:c r="L137" t="str">
        <x:v>Argentina</x:v>
      </x:c>
      <x:c r="M137" t="str">
        <x:v>90 minutos</x:v>
      </x:c>
      <x:c r="N137" t="n">
        <x:v>0</x:v>
      </x:c>
      <x:c r="O137" t="n">
        <x:v>0</x:v>
      </x:c>
      <x:c r="P137" t="n">
        <x:v>0</x:v>
      </x:c>
      <x:c r="Q137" t="n">
        <x:v>0</x:v>
      </x:c>
      <x:c r="R137" t="n">
        <x:v>0</x:v>
      </x:c>
      <x:c r="S137" t="n">
        <x:v>0</x:v>
      </x:c>
      <x:c r="T137" t="n">
        <x:v>0</x:v>
      </x:c>
      <x:c r="U137" t="n">
        <x:f>SUM(N137:T137)</x:f>
        <x:v>0</x:v>
      </x:c>
      <x:c r="V137" t="str">
        <x:v>Revisar: ganador en 90 debe tener método 90 minutos</x:v>
      </x:c>
      <x:c r="W137" t="str">
        <x:v>Detalle 8vos publicado</x:v>
      </x:c>
    </x:row>
    <x:row r="138" ht="15" hidden="0" customHeight="1">
      <x:c r="A138" t="str">
        <x:v>8vos</x:v>
      </x:c>
      <x:c r="B138" t="str">
        <x:v>O1</x:v>
      </x:c>
      <x:c r="C138" t="str">
        <x:v>Alex</x:v>
      </x:c>
      <x:c r="D138" t="str">
        <x:v>Canadá</x:v>
      </x:c>
      <x:c r="E138" t="str">
        <x:v>Marruecos</x:v>
      </x:c>
      <x:c r="F138" t="n">
        <x:v>2</x:v>
      </x:c>
      <x:c r="G138" t="n">
        <x:v>3</x:v>
      </x:c>
      <x:c r="H138" t="str">
        <x:v>Marruecos</x:v>
      </x:c>
      <x:c r="I138" t="str">
        <x:v>Suplementario</x:v>
      </x:c>
      <x:c r="J138" t="n">
        <x:v>0</x:v>
      </x:c>
      <x:c r="K138" t="n">
        <x:v>3</x:v>
      </x:c>
      <x:c r="L138" t="str">
        <x:v>Marruecos</x:v>
      </x:c>
      <x:c r="M138" t="str">
        <x:v>90 minutos</x:v>
      </x:c>
      <x:c r="N138" t="n">
        <x:v>0</x:v>
      </x:c>
      <x:c r="O138" t="n">
        <x:v>0</x:v>
      </x:c>
      <x:c r="P138" t="n">
        <x:v>0</x:v>
      </x:c>
      <x:c r="Q138" t="n">
        <x:v>0</x:v>
      </x:c>
      <x:c r="R138" t="n">
        <x:v>0</x:v>
      </x:c>
      <x:c r="S138" t="n">
        <x:v>0</x:v>
      </x:c>
      <x:c r="T138" t="n">
        <x:v>0</x:v>
      </x:c>
      <x:c r="U138" t="n">
        <x:f>SUM(N138:T138)</x:f>
        <x:v>0</x:v>
      </x:c>
      <x:c r="V138" t="str">
        <x:v>Revisar: ganador en 90 debe tener método 90 minutos</x:v>
      </x:c>
      <x:c r="W138" t="str">
        <x:v>Detalle 8vos publicado</x:v>
      </x:c>
    </x:row>
    <x:row r="139" ht="15" hidden="0" customHeight="1">
      <x:c r="A139" t="str">
        <x:v>8vos</x:v>
      </x:c>
      <x:c r="B139" t="str">
        <x:v>O2</x:v>
      </x:c>
      <x:c r="C139" t="str">
        <x:v>Alex</x:v>
      </x:c>
      <x:c r="D139" t="str">
        <x:v>Paraguay</x:v>
      </x:c>
      <x:c r="E139" t="str">
        <x:v>Francia</x:v>
      </x:c>
      <x:c r="F139" t="n">
        <x:v>1</x:v>
      </x:c>
      <x:c r="G139" t="n">
        <x:v>3</x:v>
      </x:c>
      <x:c r="H139" t="str">
        <x:v>Francia</x:v>
      </x:c>
      <x:c r="I139" t="str">
        <x:v>90 minutos</x:v>
      </x:c>
      <x:c r="J139" t="n">
        <x:v>0</x:v>
      </x:c>
      <x:c r="K139" t="n">
        <x:v>1</x:v>
      </x:c>
      <x:c r="L139" t="str">
        <x:v>Francia</x:v>
      </x:c>
      <x:c r="M139" t="str">
        <x:v>90 minutos</x:v>
      </x:c>
      <x:c r="N139" t="n">
        <x:v>5</x:v>
      </x:c>
      <x:c r="O139" t="n">
        <x:v>3</x:v>
      </x:c>
      <x:c r="P139" t="n">
        <x:v>2</x:v>
      </x:c>
      <x:c r="Q139" t="n">
        <x:v>0</x:v>
      </x:c>
      <x:c r="R139" t="n">
        <x:v>0</x:v>
      </x:c>
      <x:c r="S139" t="n">
        <x:v>0</x:v>
      </x:c>
      <x:c r="T139" t="n">
        <x:v>0</x:v>
      </x:c>
      <x:c r="U139" t="n">
        <x:f>SUM(N139:T139)</x:f>
        <x:v>10</x:v>
      </x:c>
      <x:c r="V139" t="str">
        <x:v>OK</x:v>
      </x:c>
      <x:c r="W139" t="str">
        <x:v>Detalle 8vos publicado</x:v>
      </x:c>
    </x:row>
    <x:row r="140" ht="15" hidden="0" customHeight="1">
      <x:c r="A140" t="str">
        <x:v>8vos</x:v>
      </x:c>
      <x:c r="B140" t="str">
        <x:v>O3</x:v>
      </x:c>
      <x:c r="C140" t="str">
        <x:v>Alex</x:v>
      </x:c>
      <x:c r="D140" t="str">
        <x:v>Brasil</x:v>
      </x:c>
      <x:c r="E140" t="str">
        <x:v>Noruega</x:v>
      </x:c>
      <x:c r="F140" t="n">
        <x:v>2</x:v>
      </x:c>
      <x:c r="G140" t="n">
        <x:v>3</x:v>
      </x:c>
      <x:c r="H140" t="str">
        <x:v>Noruega</x:v>
      </x:c>
      <x:c r="I140" t="str">
        <x:v>Suplementario</x:v>
      </x:c>
      <x:c r="J140" t="n">
        <x:v>1</x:v>
      </x:c>
      <x:c r="K140" t="n">
        <x:v>2</x:v>
      </x:c>
      <x:c r="L140" t="str">
        <x:v>Noruega</x:v>
      </x:c>
      <x:c r="M140" t="str">
        <x:v>90 minutos</x:v>
      </x:c>
      <x:c r="N140" t="n">
        <x:v>0</x:v>
      </x:c>
      <x:c r="O140" t="n">
        <x:v>0</x:v>
      </x:c>
      <x:c r="P140" t="n">
        <x:v>0</x:v>
      </x:c>
      <x:c r="Q140" t="n">
        <x:v>0</x:v>
      </x:c>
      <x:c r="R140" t="n">
        <x:v>0</x:v>
      </x:c>
      <x:c r="S140" t="n">
        <x:v>0</x:v>
      </x:c>
      <x:c r="T140" t="n">
        <x:v>0</x:v>
      </x:c>
      <x:c r="U140" t="n">
        <x:f>SUM(N140:T140)</x:f>
        <x:v>0</x:v>
      </x:c>
      <x:c r="V140" t="str">
        <x:v>Revisar: ganador en 90 debe tener método 90 minutos</x:v>
      </x:c>
      <x:c r="W140" t="str">
        <x:v>Detalle 8vos publicado</x:v>
      </x:c>
    </x:row>
    <x:row r="141" ht="15" hidden="0" customHeight="1">
      <x:c r="A141" t="str">
        <x:v>8vos</x:v>
      </x:c>
      <x:c r="B141" t="str">
        <x:v>O4</x:v>
      </x:c>
      <x:c r="C141" t="str">
        <x:v>Alex</x:v>
      </x:c>
      <x:c r="D141" t="str">
        <x:v>México</x:v>
      </x:c>
      <x:c r="E141" t="str">
        <x:v>Inglaterra</x:v>
      </x:c>
      <x:c r="F141" t="n">
        <x:v>2</x:v>
      </x:c>
      <x:c r="G141" t="n">
        <x:v>3</x:v>
      </x:c>
      <x:c r="H141" t="str">
        <x:v>Inglaterra</x:v>
      </x:c>
      <x:c r="I141" t="str">
        <x:v>Suplementario</x:v>
      </x:c>
      <x:c r="J141" t="n">
        <x:v>2</x:v>
      </x:c>
      <x:c r="K141" t="n">
        <x:v>3</x:v>
      </x:c>
      <x:c r="L141" t="str">
        <x:v>Inglaterra</x:v>
      </x:c>
      <x:c r="M141" t="str">
        <x:v>90 minutos</x:v>
      </x:c>
      <x:c r="N141" t="n">
        <x:v>0</x:v>
      </x:c>
      <x:c r="O141" t="n">
        <x:v>0</x:v>
      </x:c>
      <x:c r="P141" t="n">
        <x:v>0</x:v>
      </x:c>
      <x:c r="Q141" t="n">
        <x:v>0</x:v>
      </x:c>
      <x:c r="R141" t="n">
        <x:v>0</x:v>
      </x:c>
      <x:c r="S141" t="n">
        <x:v>0</x:v>
      </x:c>
      <x:c r="T141" t="n">
        <x:v>0</x:v>
      </x:c>
      <x:c r="U141" t="n">
        <x:f>SUM(N141:T141)</x:f>
        <x:v>0</x:v>
      </x:c>
      <x:c r="V141" t="str">
        <x:v>Revisar: ganador en 90 debe tener método 90 minutos</x:v>
      </x:c>
      <x:c r="W141" t="str">
        <x:v>Detalle 8vos publicado</x:v>
      </x:c>
    </x:row>
    <x:row r="142" ht="15" hidden="0" customHeight="1">
      <x:c r="A142" t="str">
        <x:v>8vos</x:v>
      </x:c>
      <x:c r="B142" t="str">
        <x:v>O5</x:v>
      </x:c>
      <x:c r="C142" t="str">
        <x:v>Alex</x:v>
      </x:c>
      <x:c r="D142" t="str">
        <x:v>Estados Unidos</x:v>
      </x:c>
      <x:c r="E142" t="str">
        <x:v>Bélgica</x:v>
      </x:c>
      <x:c r="F142" t="n">
        <x:v>2</x:v>
      </x:c>
      <x:c r="G142" t="n">
        <x:v>3</x:v>
      </x:c>
      <x:c r="H142" t="str">
        <x:v>Bélgica</x:v>
      </x:c>
      <x:c r="I142" t="str">
        <x:v>90 minutos</x:v>
      </x:c>
      <x:c r="J142" t="n">
        <x:v>1</x:v>
      </x:c>
      <x:c r="K142" t="n">
        <x:v>4</x:v>
      </x:c>
      <x:c r="L142" t="str">
        <x:v>Bélgica</x:v>
      </x:c>
      <x:c r="M142" t="str">
        <x:v>90 minutos</x:v>
      </x:c>
      <x:c r="N142" t="n">
        <x:v>5</x:v>
      </x:c>
      <x:c r="O142" t="n">
        <x:v>3</x:v>
      </x:c>
      <x:c r="P142" t="n">
        <x:v>2</x:v>
      </x:c>
      <x:c r="Q142" t="n">
        <x:v>0</x:v>
      </x:c>
      <x:c r="R142" t="n">
        <x:v>0</x:v>
      </x:c>
      <x:c r="S142" t="n">
        <x:v>0</x:v>
      </x:c>
      <x:c r="T142" t="n">
        <x:v>0</x:v>
      </x:c>
      <x:c r="U142" t="n">
        <x:f>SUM(N142:T142)</x:f>
        <x:v>10</x:v>
      </x:c>
      <x:c r="V142" t="str">
        <x:v>OK</x:v>
      </x:c>
      <x:c r="W142" t="str">
        <x:v>Detalle 8vos publicado</x:v>
      </x:c>
    </x:row>
    <x:row r="143" ht="15" hidden="0" customHeight="1">
      <x:c r="A143" t="str">
        <x:v>8vos</x:v>
      </x:c>
      <x:c r="B143" t="str">
        <x:v>O6</x:v>
      </x:c>
      <x:c r="C143" t="str">
        <x:v>Alex</x:v>
      </x:c>
      <x:c r="D143" t="str">
        <x:v>Portugal</x:v>
      </x:c>
      <x:c r="E143" t="str">
        <x:v>España</x:v>
      </x:c>
      <x:c r="F143" t="n">
        <x:v>2</x:v>
      </x:c>
      <x:c r="G143" t="n">
        <x:v>3</x:v>
      </x:c>
      <x:c r="H143" t="str">
        <x:v>España</x:v>
      </x:c>
      <x:c r="I143" t="str">
        <x:v>Penales</x:v>
      </x:c>
      <x:c r="J143" t="n">
        <x:v>0</x:v>
      </x:c>
      <x:c r="K143" t="n">
        <x:v>1</x:v>
      </x:c>
      <x:c r="L143" t="str">
        <x:v>España</x:v>
      </x:c>
      <x:c r="M143" t="str">
        <x:v>90 minutos</x:v>
      </x:c>
      <x:c r="N143" t="n">
        <x:v>0</x:v>
      </x:c>
      <x:c r="O143" t="n">
        <x:v>0</x:v>
      </x:c>
      <x:c r="P143" t="n">
        <x:v>0</x:v>
      </x:c>
      <x:c r="Q143" t="n">
        <x:v>0</x:v>
      </x:c>
      <x:c r="R143" t="n">
        <x:v>0</x:v>
      </x:c>
      <x:c r="S143" t="n">
        <x:v>0</x:v>
      </x:c>
      <x:c r="T143" t="n">
        <x:v>0</x:v>
      </x:c>
      <x:c r="U143" t="n">
        <x:f>SUM(N143:T143)</x:f>
        <x:v>0</x:v>
      </x:c>
      <x:c r="V143" t="str">
        <x:v>Revisar: ganador en 90 debe tener método 90 minutos</x:v>
      </x:c>
      <x:c r="W143" t="str">
        <x:v>Detalle 8vos publicado</x:v>
      </x:c>
    </x:row>
    <x:row r="144" ht="15" hidden="0" customHeight="1">
      <x:c r="A144" t="str">
        <x:v>8vos</x:v>
      </x:c>
      <x:c r="B144" t="str">
        <x:v>O7</x:v>
      </x:c>
      <x:c r="C144" t="str">
        <x:v>Alex</x:v>
      </x:c>
      <x:c r="D144" t="str">
        <x:v>Suiza</x:v>
      </x:c>
      <x:c r="E144" t="str">
        <x:v>Colombia</x:v>
      </x:c>
      <x:c r="F144" t="n">
        <x:v>2</x:v>
      </x:c>
      <x:c r="G144" t="n">
        <x:v>3</x:v>
      </x:c>
      <x:c r="H144" t="str">
        <x:v>Colombia</x:v>
      </x:c>
      <x:c r="I144" t="str">
        <x:v>Suplementario</x:v>
      </x:c>
      <x:c r="J144" t="n">
        <x:v>0</x:v>
      </x:c>
      <x:c r="K144" t="n">
        <x:v>0</x:v>
      </x:c>
      <x:c r="L144" t="str">
        <x:v>Suiza</x:v>
      </x:c>
      <x:c r="M144" t="str">
        <x:v>Penales</x:v>
      </x:c>
      <x:c r="N144" t="n">
        <x:v>0</x:v>
      </x:c>
      <x:c r="O144" t="n">
        <x:v>0</x:v>
      </x:c>
      <x:c r="P144" t="n">
        <x:v>0</x:v>
      </x:c>
      <x:c r="Q144" t="n">
        <x:v>0</x:v>
      </x:c>
      <x:c r="R144" t="n">
        <x:v>0</x:v>
      </x:c>
      <x:c r="S144" t="n">
        <x:v>0</x:v>
      </x:c>
      <x:c r="T144" t="n">
        <x:v>0</x:v>
      </x:c>
      <x:c r="U144" t="n">
        <x:f>SUM(N144:T144)</x:f>
        <x:v>0</x:v>
      </x:c>
      <x:c r="V144" t="str">
        <x:v>Revisar: ganador en 90 debe tener método 90 minutos</x:v>
      </x:c>
      <x:c r="W144" t="str">
        <x:v>Detalle 8vos publicado</x:v>
      </x:c>
    </x:row>
    <x:row r="145" ht="15" hidden="0" customHeight="1">
      <x:c r="A145" t="str">
        <x:v>8vos</x:v>
      </x:c>
      <x:c r="B145" t="str">
        <x:v>O8</x:v>
      </x:c>
      <x:c r="C145" t="str">
        <x:v>Alex</x:v>
      </x:c>
      <x:c r="D145" t="str">
        <x:v>Argentina</x:v>
      </x:c>
      <x:c r="E145" t="str">
        <x:v>Egipto</x:v>
      </x:c>
      <x:c r="F145" t="n">
        <x:v>2</x:v>
      </x:c>
      <x:c r="G145" t="n">
        <x:v>1</x:v>
      </x:c>
      <x:c r="H145" t="str">
        <x:v>Argentina</x:v>
      </x:c>
      <x:c r="I145" t="str">
        <x:v>90 minutos</x:v>
      </x:c>
      <x:c r="J145" t="n">
        <x:v>3</x:v>
      </x:c>
      <x:c r="K145" t="n">
        <x:v>2</x:v>
      </x:c>
      <x:c r="L145" t="str">
        <x:v>Argentina</x:v>
      </x:c>
      <x:c r="M145" t="str">
        <x:v>90 minutos</x:v>
      </x:c>
      <x:c r="N145" t="n">
        <x:v>5</x:v>
      </x:c>
      <x:c r="O145" t="n">
        <x:v>3</x:v>
      </x:c>
      <x:c r="P145" t="n">
        <x:v>2</x:v>
      </x:c>
      <x:c r="Q145" t="n">
        <x:v>0</x:v>
      </x:c>
      <x:c r="R145" t="n">
        <x:v>2</x:v>
      </x:c>
      <x:c r="S145" t="n">
        <x:v>0</x:v>
      </x:c>
      <x:c r="T145" t="n">
        <x:v>0</x:v>
      </x:c>
      <x:c r="U145" t="n">
        <x:f>SUM(N145:T145)</x:f>
        <x:v>12</x:v>
      </x:c>
      <x:c r="V145" t="str">
        <x:v>OK</x:v>
      </x:c>
      <x:c r="W145" t="str">
        <x:v>Detalle 8vos publicado</x:v>
      </x:c>
    </x:row>
    <x:row r="146" ht="15" hidden="0" customHeight="1">
      <x:c r="A146" t="str">
        <x:v>8vos</x:v>
      </x:c>
      <x:c r="B146" t="str">
        <x:v>O1</x:v>
      </x:c>
      <x:c r="C146" t="str">
        <x:v>Omar</x:v>
      </x:c>
      <x:c r="D146" t="str">
        <x:v>Canadá</x:v>
      </x:c>
      <x:c r="E146" t="str">
        <x:v>Marruecos</x:v>
      </x:c>
      <x:c r="F146"/>
      <x:c r="G146"/>
      <x:c r="H146" t="str">
        <x:v>Sin envío</x:v>
      </x:c>
      <x:c r="I146" t="str">
        <x:v>Sin envío</x:v>
      </x:c>
      <x:c r="J146" t="n">
        <x:v>0</x:v>
      </x:c>
      <x:c r="K146" t="n">
        <x:v>3</x:v>
      </x:c>
      <x:c r="L146" t="str">
        <x:v>Marruecos</x:v>
      </x:c>
      <x:c r="M146" t="str">
        <x:v>90 minutos</x:v>
      </x:c>
      <x:c r="N146" t="n">
        <x:v>0</x:v>
      </x:c>
      <x:c r="O146" t="n">
        <x:v>0</x:v>
      </x:c>
      <x:c r="P146" t="n">
        <x:v>0</x:v>
      </x:c>
      <x:c r="Q146" t="n">
        <x:v>0</x:v>
      </x:c>
      <x:c r="R146" t="n">
        <x:v>0</x:v>
      </x:c>
      <x:c r="S146" t="n">
        <x:v>0</x:v>
      </x:c>
      <x:c r="T146" t="n">
        <x:v>0</x:v>
      </x:c>
      <x:c r="U146" t="n">
        <x:f>SUM(N146:T146)</x:f>
        <x:v>0</x:v>
      </x:c>
      <x:c r="V146" t="str">
        <x:v>Sin respuesta CSV</x:v>
      </x:c>
      <x:c r="W146" t="str">
        <x:v>Detalle 8vos publicado</x:v>
      </x:c>
    </x:row>
    <x:row r="147" ht="15" hidden="0" customHeight="1">
      <x:c r="A147" t="str">
        <x:v>8vos</x:v>
      </x:c>
      <x:c r="B147" t="str">
        <x:v>O2</x:v>
      </x:c>
      <x:c r="C147" t="str">
        <x:v>Omar</x:v>
      </x:c>
      <x:c r="D147" t="str">
        <x:v>Paraguay</x:v>
      </x:c>
      <x:c r="E147" t="str">
        <x:v>Francia</x:v>
      </x:c>
      <x:c r="F147"/>
      <x:c r="G147"/>
      <x:c r="H147" t="str">
        <x:v>Sin envío</x:v>
      </x:c>
      <x:c r="I147" t="str">
        <x:v>Sin envío</x:v>
      </x:c>
      <x:c r="J147" t="n">
        <x:v>0</x:v>
      </x:c>
      <x:c r="K147" t="n">
        <x:v>1</x:v>
      </x:c>
      <x:c r="L147" t="str">
        <x:v>Francia</x:v>
      </x:c>
      <x:c r="M147" t="str">
        <x:v>90 minutos</x:v>
      </x:c>
      <x:c r="N147" t="n">
        <x:v>0</x:v>
      </x:c>
      <x:c r="O147" t="n">
        <x:v>0</x:v>
      </x:c>
      <x:c r="P147" t="n">
        <x:v>0</x:v>
      </x:c>
      <x:c r="Q147" t="n">
        <x:v>0</x:v>
      </x:c>
      <x:c r="R147" t="n">
        <x:v>0</x:v>
      </x:c>
      <x:c r="S147" t="n">
        <x:v>0</x:v>
      </x:c>
      <x:c r="T147" t="n">
        <x:v>0</x:v>
      </x:c>
      <x:c r="U147" t="n">
        <x:f>SUM(N147:T147)</x:f>
        <x:v>0</x:v>
      </x:c>
      <x:c r="V147" t="str">
        <x:v>Sin respuesta CSV</x:v>
      </x:c>
      <x:c r="W147" t="str">
        <x:v>Detalle 8vos publicado</x:v>
      </x:c>
    </x:row>
    <x:row r="148" ht="15" hidden="0" customHeight="1">
      <x:c r="A148" t="str">
        <x:v>8vos</x:v>
      </x:c>
      <x:c r="B148" t="str">
        <x:v>O3</x:v>
      </x:c>
      <x:c r="C148" t="str">
        <x:v>Omar</x:v>
      </x:c>
      <x:c r="D148" t="str">
        <x:v>Brasil</x:v>
      </x:c>
      <x:c r="E148" t="str">
        <x:v>Noruega</x:v>
      </x:c>
      <x:c r="F148"/>
      <x:c r="G148"/>
      <x:c r="H148" t="str">
        <x:v>Sin envío</x:v>
      </x:c>
      <x:c r="I148" t="str">
        <x:v>Sin envío</x:v>
      </x:c>
      <x:c r="J148" t="n">
        <x:v>1</x:v>
      </x:c>
      <x:c r="K148" t="n">
        <x:v>2</x:v>
      </x:c>
      <x:c r="L148" t="str">
        <x:v>Noruega</x:v>
      </x:c>
      <x:c r="M148" t="str">
        <x:v>90 minutos</x:v>
      </x:c>
      <x:c r="N148" t="n">
        <x:v>0</x:v>
      </x:c>
      <x:c r="O148" t="n">
        <x:v>0</x:v>
      </x:c>
      <x:c r="P148" t="n">
        <x:v>0</x:v>
      </x:c>
      <x:c r="Q148" t="n">
        <x:v>0</x:v>
      </x:c>
      <x:c r="R148" t="n">
        <x:v>0</x:v>
      </x:c>
      <x:c r="S148" t="n">
        <x:v>0</x:v>
      </x:c>
      <x:c r="T148" t="n">
        <x:v>0</x:v>
      </x:c>
      <x:c r="U148" t="n">
        <x:f>SUM(N148:T148)</x:f>
        <x:v>0</x:v>
      </x:c>
      <x:c r="V148" t="str">
        <x:v>Sin respuesta CSV</x:v>
      </x:c>
      <x:c r="W148" t="str">
        <x:v>Detalle 8vos publicado</x:v>
      </x:c>
    </x:row>
    <x:row r="149" ht="15" hidden="0" customHeight="1">
      <x:c r="A149" t="str">
        <x:v>8vos</x:v>
      </x:c>
      <x:c r="B149" t="str">
        <x:v>O4</x:v>
      </x:c>
      <x:c r="C149" t="str">
        <x:v>Omar</x:v>
      </x:c>
      <x:c r="D149" t="str">
        <x:v>México</x:v>
      </x:c>
      <x:c r="E149" t="str">
        <x:v>Inglaterra</x:v>
      </x:c>
      <x:c r="F149"/>
      <x:c r="G149"/>
      <x:c r="H149" t="str">
        <x:v>Sin envío</x:v>
      </x:c>
      <x:c r="I149" t="str">
        <x:v>Sin envío</x:v>
      </x:c>
      <x:c r="J149" t="n">
        <x:v>2</x:v>
      </x:c>
      <x:c r="K149" t="n">
        <x:v>3</x:v>
      </x:c>
      <x:c r="L149" t="str">
        <x:v>Inglaterra</x:v>
      </x:c>
      <x:c r="M149" t="str">
        <x:v>90 minutos</x:v>
      </x:c>
      <x:c r="N149" t="n">
        <x:v>0</x:v>
      </x:c>
      <x:c r="O149" t="n">
        <x:v>0</x:v>
      </x:c>
      <x:c r="P149" t="n">
        <x:v>0</x:v>
      </x:c>
      <x:c r="Q149" t="n">
        <x:v>0</x:v>
      </x:c>
      <x:c r="R149" t="n">
        <x:v>0</x:v>
      </x:c>
      <x:c r="S149" t="n">
        <x:v>0</x:v>
      </x:c>
      <x:c r="T149" t="n">
        <x:v>0</x:v>
      </x:c>
      <x:c r="U149" t="n">
        <x:f>SUM(N149:T149)</x:f>
        <x:v>0</x:v>
      </x:c>
      <x:c r="V149" t="str">
        <x:v>Sin respuesta CSV</x:v>
      </x:c>
      <x:c r="W149" t="str">
        <x:v>Detalle 8vos publicado</x:v>
      </x:c>
    </x:row>
    <x:row r="150" ht="15" hidden="0" customHeight="1">
      <x:c r="A150" t="str">
        <x:v>8vos</x:v>
      </x:c>
      <x:c r="B150" t="str">
        <x:v>O5</x:v>
      </x:c>
      <x:c r="C150" t="str">
        <x:v>Omar</x:v>
      </x:c>
      <x:c r="D150" t="str">
        <x:v>Estados Unidos</x:v>
      </x:c>
      <x:c r="E150" t="str">
        <x:v>Bélgica</x:v>
      </x:c>
      <x:c r="F150"/>
      <x:c r="G150"/>
      <x:c r="H150" t="str">
        <x:v>Sin envío</x:v>
      </x:c>
      <x:c r="I150" t="str">
        <x:v>Sin envío</x:v>
      </x:c>
      <x:c r="J150" t="n">
        <x:v>1</x:v>
      </x:c>
      <x:c r="K150" t="n">
        <x:v>4</x:v>
      </x:c>
      <x:c r="L150" t="str">
        <x:v>Bélgica</x:v>
      </x:c>
      <x:c r="M150" t="str">
        <x:v>90 minutos</x:v>
      </x:c>
      <x:c r="N150" t="n">
        <x:v>0</x:v>
      </x:c>
      <x:c r="O150" t="n">
        <x:v>0</x:v>
      </x:c>
      <x:c r="P150" t="n">
        <x:v>0</x:v>
      </x:c>
      <x:c r="Q150" t="n">
        <x:v>0</x:v>
      </x:c>
      <x:c r="R150" t="n">
        <x:v>0</x:v>
      </x:c>
      <x:c r="S150" t="n">
        <x:v>0</x:v>
      </x:c>
      <x:c r="T150" t="n">
        <x:v>0</x:v>
      </x:c>
      <x:c r="U150" t="n">
        <x:f>SUM(N150:T150)</x:f>
        <x:v>0</x:v>
      </x:c>
      <x:c r="V150" t="str">
        <x:v>Sin respuesta CSV</x:v>
      </x:c>
      <x:c r="W150" t="str">
        <x:v>Detalle 8vos publicado</x:v>
      </x:c>
    </x:row>
    <x:row r="151" ht="15" hidden="0" customHeight="1">
      <x:c r="A151" t="str">
        <x:v>8vos</x:v>
      </x:c>
      <x:c r="B151" t="str">
        <x:v>O6</x:v>
      </x:c>
      <x:c r="C151" t="str">
        <x:v>Omar</x:v>
      </x:c>
      <x:c r="D151" t="str">
        <x:v>Portugal</x:v>
      </x:c>
      <x:c r="E151" t="str">
        <x:v>España</x:v>
      </x:c>
      <x:c r="F151"/>
      <x:c r="G151"/>
      <x:c r="H151" t="str">
        <x:v>Sin envío</x:v>
      </x:c>
      <x:c r="I151" t="str">
        <x:v>Sin envío</x:v>
      </x:c>
      <x:c r="J151" t="n">
        <x:v>0</x:v>
      </x:c>
      <x:c r="K151" t="n">
        <x:v>1</x:v>
      </x:c>
      <x:c r="L151" t="str">
        <x:v>España</x:v>
      </x:c>
      <x:c r="M151" t="str">
        <x:v>90 minutos</x:v>
      </x:c>
      <x:c r="N151" t="n">
        <x:v>0</x:v>
      </x:c>
      <x:c r="O151" t="n">
        <x:v>0</x:v>
      </x:c>
      <x:c r="P151" t="n">
        <x:v>0</x:v>
      </x:c>
      <x:c r="Q151" t="n">
        <x:v>0</x:v>
      </x:c>
      <x:c r="R151" t="n">
        <x:v>0</x:v>
      </x:c>
      <x:c r="S151" t="n">
        <x:v>0</x:v>
      </x:c>
      <x:c r="T151" t="n">
        <x:v>0</x:v>
      </x:c>
      <x:c r="U151" t="n">
        <x:f>SUM(N151:T151)</x:f>
        <x:v>0</x:v>
      </x:c>
      <x:c r="V151" t="str">
        <x:v>Sin respuesta CSV</x:v>
      </x:c>
      <x:c r="W151" t="str">
        <x:v>Detalle 8vos publicado</x:v>
      </x:c>
    </x:row>
    <x:row r="152" ht="15" hidden="0" customHeight="1">
      <x:c r="A152" t="str">
        <x:v>8vos</x:v>
      </x:c>
      <x:c r="B152" t="str">
        <x:v>O7</x:v>
      </x:c>
      <x:c r="C152" t="str">
        <x:v>Omar</x:v>
      </x:c>
      <x:c r="D152" t="str">
        <x:v>Suiza</x:v>
      </x:c>
      <x:c r="E152" t="str">
        <x:v>Colombia</x:v>
      </x:c>
      <x:c r="F152"/>
      <x:c r="G152"/>
      <x:c r="H152" t="str">
        <x:v>Sin envío</x:v>
      </x:c>
      <x:c r="I152" t="str">
        <x:v>Sin envío</x:v>
      </x:c>
      <x:c r="J152" t="n">
        <x:v>0</x:v>
      </x:c>
      <x:c r="K152" t="n">
        <x:v>0</x:v>
      </x:c>
      <x:c r="L152" t="str">
        <x:v>Suiza</x:v>
      </x:c>
      <x:c r="M152" t="str">
        <x:v>Penales</x:v>
      </x:c>
      <x:c r="N152" t="n">
        <x:v>0</x:v>
      </x:c>
      <x:c r="O152" t="n">
        <x:v>0</x:v>
      </x:c>
      <x:c r="P152" t="n">
        <x:v>0</x:v>
      </x:c>
      <x:c r="Q152" t="n">
        <x:v>0</x:v>
      </x:c>
      <x:c r="R152" t="n">
        <x:v>0</x:v>
      </x:c>
      <x:c r="S152" t="n">
        <x:v>0</x:v>
      </x:c>
      <x:c r="T152" t="n">
        <x:v>0</x:v>
      </x:c>
      <x:c r="U152" t="n">
        <x:f>SUM(N152:T152)</x:f>
        <x:v>0</x:v>
      </x:c>
      <x:c r="V152" t="str">
        <x:v>Sin respuesta CSV</x:v>
      </x:c>
      <x:c r="W152" t="str">
        <x:v>Detalle 8vos publicado</x:v>
      </x:c>
    </x:row>
    <x:row r="153" ht="15" hidden="0" customHeight="1">
      <x:c r="A153" t="str">
        <x:v>8vos</x:v>
      </x:c>
      <x:c r="B153" t="str">
        <x:v>O8</x:v>
      </x:c>
      <x:c r="C153" t="str">
        <x:v>Omar</x:v>
      </x:c>
      <x:c r="D153" t="str">
        <x:v>Argentina</x:v>
      </x:c>
      <x:c r="E153" t="str">
        <x:v>Egipto</x:v>
      </x:c>
      <x:c r="F153"/>
      <x:c r="G153"/>
      <x:c r="H153" t="str">
        <x:v>Sin envío</x:v>
      </x:c>
      <x:c r="I153" t="str">
        <x:v>Sin envío</x:v>
      </x:c>
      <x:c r="J153" t="n">
        <x:v>3</x:v>
      </x:c>
      <x:c r="K153" t="n">
        <x:v>2</x:v>
      </x:c>
      <x:c r="L153" t="str">
        <x:v>Argentina</x:v>
      </x:c>
      <x:c r="M153" t="str">
        <x:v>90 minutos</x:v>
      </x:c>
      <x:c r="N153" t="n">
        <x:v>0</x:v>
      </x:c>
      <x:c r="O153" t="n">
        <x:v>0</x:v>
      </x:c>
      <x:c r="P153" t="n">
        <x:v>0</x:v>
      </x:c>
      <x:c r="Q153" t="n">
        <x:v>0</x:v>
      </x:c>
      <x:c r="R153" t="n">
        <x:v>0</x:v>
      </x:c>
      <x:c r="S153" t="n">
        <x:v>0</x:v>
      </x:c>
      <x:c r="T153" t="n">
        <x:v>0</x:v>
      </x:c>
      <x:c r="U153" t="n">
        <x:f>SUM(N153:T153)</x:f>
        <x:v>0</x:v>
      </x:c>
      <x:c r="V153" t="str">
        <x:v>Sin respuesta CSV</x:v>
      </x:c>
      <x:c r="W153" t="str">
        <x:v>Detalle 8vos publicado</x:v>
      </x:c>
    </x:row>
    <x:row r="154" ht="15" hidden="0" customHeight="1">
      <x:c r="A154" t="str">
        <x:v>8vos</x:v>
      </x:c>
      <x:c r="B154" t="str">
        <x:v>O1</x:v>
      </x:c>
      <x:c r="C154" t="str">
        <x:v>Fernando</x:v>
      </x:c>
      <x:c r="D154" t="str">
        <x:v>Canadá</x:v>
      </x:c>
      <x:c r="E154" t="str">
        <x:v>Marruecos</x:v>
      </x:c>
      <x:c r="F154" t="n">
        <x:v>1</x:v>
      </x:c>
      <x:c r="G154" t="n">
        <x:v>2</x:v>
      </x:c>
      <x:c r="H154" t="str">
        <x:v>Marruecos</x:v>
      </x:c>
      <x:c r="I154" t="str">
        <x:v>90 minutos</x:v>
      </x:c>
      <x:c r="J154" t="n">
        <x:v>0</x:v>
      </x:c>
      <x:c r="K154" t="n">
        <x:v>3</x:v>
      </x:c>
      <x:c r="L154" t="str">
        <x:v>Marruecos</x:v>
      </x:c>
      <x:c r="M154" t="str">
        <x:v>90 minutos</x:v>
      </x:c>
      <x:c r="N154" t="n">
        <x:v>5</x:v>
      </x:c>
      <x:c r="O154" t="n">
        <x:v>3</x:v>
      </x:c>
      <x:c r="P154" t="n">
        <x:v>2</x:v>
      </x:c>
      <x:c r="Q154" t="n">
        <x:v>0</x:v>
      </x:c>
      <x:c r="R154" t="n">
        <x:v>0</x:v>
      </x:c>
      <x:c r="S154" t="n">
        <x:v>0</x:v>
      </x:c>
      <x:c r="T154" t="n">
        <x:v>0</x:v>
      </x:c>
      <x:c r="U154" t="n">
        <x:f>SUM(N154:T154)</x:f>
        <x:v>10</x:v>
      </x:c>
      <x:c r="V154" t="str">
        <x:v>OK</x:v>
      </x:c>
      <x:c r="W154" t="str">
        <x:v>Detalle 8vos publicado</x:v>
      </x:c>
    </x:row>
    <x:row r="155" ht="15" hidden="0" customHeight="1">
      <x:c r="A155" t="str">
        <x:v>8vos</x:v>
      </x:c>
      <x:c r="B155" t="str">
        <x:v>O2</x:v>
      </x:c>
      <x:c r="C155" t="str">
        <x:v>Fernando</x:v>
      </x:c>
      <x:c r="D155" t="str">
        <x:v>Paraguay</x:v>
      </x:c>
      <x:c r="E155" t="str">
        <x:v>Francia</x:v>
      </x:c>
      <x:c r="F155" t="n">
        <x:v>1</x:v>
      </x:c>
      <x:c r="G155" t="n">
        <x:v>1</x:v>
      </x:c>
      <x:c r="H155" t="str">
        <x:v>Paraguay</x:v>
      </x:c>
      <x:c r="I155" t="str">
        <x:v>Penales</x:v>
      </x:c>
      <x:c r="J155" t="n">
        <x:v>0</x:v>
      </x:c>
      <x:c r="K155" t="n">
        <x:v>1</x:v>
      </x:c>
      <x:c r="L155" t="str">
        <x:v>Francia</x:v>
      </x:c>
      <x:c r="M155" t="str">
        <x:v>90 minutos</x:v>
      </x:c>
      <x:c r="N155" t="n">
        <x:v>0</x:v>
      </x:c>
      <x:c r="O155" t="n">
        <x:v>0</x:v>
      </x:c>
      <x:c r="P155" t="n">
        <x:v>0</x:v>
      </x:c>
      <x:c r="Q155" t="n">
        <x:v>0</x:v>
      </x:c>
      <x:c r="R155" t="n">
        <x:v>0</x:v>
      </x:c>
      <x:c r="S155" t="n">
        <x:v>0</x:v>
      </x:c>
      <x:c r="T155" t="n">
        <x:v>1</x:v>
      </x:c>
      <x:c r="U155" t="n">
        <x:f>SUM(N155:T155)</x:f>
        <x:v>1</x:v>
      </x:c>
      <x:c r="V155" t="str">
        <x:v>OK</x:v>
      </x:c>
      <x:c r="W155" t="str">
        <x:v>Detalle 8vos publicado</x:v>
      </x:c>
    </x:row>
    <x:row r="156" ht="15" hidden="0" customHeight="1">
      <x:c r="A156" t="str">
        <x:v>8vos</x:v>
      </x:c>
      <x:c r="B156" t="str">
        <x:v>O3</x:v>
      </x:c>
      <x:c r="C156" t="str">
        <x:v>Fernando</x:v>
      </x:c>
      <x:c r="D156" t="str">
        <x:v>Brasil</x:v>
      </x:c>
      <x:c r="E156" t="str">
        <x:v>Noruega</x:v>
      </x:c>
      <x:c r="F156" t="n">
        <x:v>2</x:v>
      </x:c>
      <x:c r="G156" t="n">
        <x:v>1</x:v>
      </x:c>
      <x:c r="H156" t="str">
        <x:v>Brasil</x:v>
      </x:c>
      <x:c r="I156" t="str">
        <x:v>90 minutos</x:v>
      </x:c>
      <x:c r="J156" t="n">
        <x:v>1</x:v>
      </x:c>
      <x:c r="K156" t="n">
        <x:v>2</x:v>
      </x:c>
      <x:c r="L156" t="str">
        <x:v>Noruega</x:v>
      </x:c>
      <x:c r="M156" t="str">
        <x:v>90 minutos</x:v>
      </x:c>
      <x:c r="N156" t="n">
        <x:v>0</x:v>
      </x:c>
      <x:c r="O156" t="n">
        <x:v>0</x:v>
      </x:c>
      <x:c r="P156" t="n">
        <x:v>2</x:v>
      </x:c>
      <x:c r="Q156" t="n">
        <x:v>0</x:v>
      </x:c>
      <x:c r="R156" t="n">
        <x:v>0</x:v>
      </x:c>
      <x:c r="S156" t="n">
        <x:v>0</x:v>
      </x:c>
      <x:c r="T156" t="n">
        <x:v>0</x:v>
      </x:c>
      <x:c r="U156" t="n">
        <x:f>SUM(N156:T156)</x:f>
        <x:v>2</x:v>
      </x:c>
      <x:c r="V156" t="str">
        <x:v>OK</x:v>
      </x:c>
      <x:c r="W156" t="str">
        <x:v>Detalle 8vos publicado</x:v>
      </x:c>
    </x:row>
    <x:row r="157" ht="15" hidden="0" customHeight="1">
      <x:c r="A157" t="str">
        <x:v>8vos</x:v>
      </x:c>
      <x:c r="B157" t="str">
        <x:v>O4</x:v>
      </x:c>
      <x:c r="C157" t="str">
        <x:v>Fernando</x:v>
      </x:c>
      <x:c r="D157" t="str">
        <x:v>México</x:v>
      </x:c>
      <x:c r="E157" t="str">
        <x:v>Inglaterra</x:v>
      </x:c>
      <x:c r="F157" t="n">
        <x:v>1</x:v>
      </x:c>
      <x:c r="G157" t="n">
        <x:v>2</x:v>
      </x:c>
      <x:c r="H157" t="str">
        <x:v>Inglaterra</x:v>
      </x:c>
      <x:c r="I157" t="str">
        <x:v>Suplementario</x:v>
      </x:c>
      <x:c r="J157" t="n">
        <x:v>2</x:v>
      </x:c>
      <x:c r="K157" t="n">
        <x:v>3</x:v>
      </x:c>
      <x:c r="L157" t="str">
        <x:v>Inglaterra</x:v>
      </x:c>
      <x:c r="M157" t="str">
        <x:v>90 minutos</x:v>
      </x:c>
      <x:c r="N157" t="n">
        <x:v>0</x:v>
      </x:c>
      <x:c r="O157" t="n">
        <x:v>0</x:v>
      </x:c>
      <x:c r="P157" t="n">
        <x:v>0</x:v>
      </x:c>
      <x:c r="Q157" t="n">
        <x:v>0</x:v>
      </x:c>
      <x:c r="R157" t="n">
        <x:v>0</x:v>
      </x:c>
      <x:c r="S157" t="n">
        <x:v>0</x:v>
      </x:c>
      <x:c r="T157" t="n">
        <x:v>0</x:v>
      </x:c>
      <x:c r="U157" t="n">
        <x:f>SUM(N157:T157)</x:f>
        <x:v>0</x:v>
      </x:c>
      <x:c r="V157" t="str">
        <x:v>Revisar: ganador en 90 debe tener método 90 minutos</x:v>
      </x:c>
      <x:c r="W157" t="str">
        <x:v>Detalle 8vos publicado</x:v>
      </x:c>
    </x:row>
    <x:row r="158" ht="15" hidden="0" customHeight="1">
      <x:c r="A158" t="str">
        <x:v>8vos</x:v>
      </x:c>
      <x:c r="B158" t="str">
        <x:v>O5</x:v>
      </x:c>
      <x:c r="C158" t="str">
        <x:v>Fernando</x:v>
      </x:c>
      <x:c r="D158" t="str">
        <x:v>Estados Unidos</x:v>
      </x:c>
      <x:c r="E158" t="str">
        <x:v>Bélgica</x:v>
      </x:c>
      <x:c r="F158" t="n">
        <x:v>3</x:v>
      </x:c>
      <x:c r="G158" t="n">
        <x:v>2</x:v>
      </x:c>
      <x:c r="H158" t="str">
        <x:v>EEUU</x:v>
      </x:c>
      <x:c r="I158" t="str">
        <x:v>90 minutos</x:v>
      </x:c>
      <x:c r="J158" t="n">
        <x:v>1</x:v>
      </x:c>
      <x:c r="K158" t="n">
        <x:v>4</x:v>
      </x:c>
      <x:c r="L158" t="str">
        <x:v>Bélgica</x:v>
      </x:c>
      <x:c r="M158" t="str">
        <x:v>90 minutos</x:v>
      </x:c>
      <x:c r="N158" t="n">
        <x:v>0</x:v>
      </x:c>
      <x:c r="O158" t="n">
        <x:v>0</x:v>
      </x:c>
      <x:c r="P158" t="n">
        <x:v>0</x:v>
      </x:c>
      <x:c r="Q158" t="n">
        <x:v>0</x:v>
      </x:c>
      <x:c r="R158" t="n">
        <x:v>0</x:v>
      </x:c>
      <x:c r="S158" t="n">
        <x:v>0</x:v>
      </x:c>
      <x:c r="T158" t="n">
        <x:v>0</x:v>
      </x:c>
      <x:c r="U158" t="n">
        <x:f>SUM(N158:T158)</x:f>
        <x:v>0</x:v>
      </x:c>
      <x:c r="V158" t="str">
        <x:v>Revisar: clasifica debe ser Estados Unidos</x:v>
      </x:c>
      <x:c r="W158" t="str">
        <x:v>Detalle 8vos publicado</x:v>
      </x:c>
    </x:row>
    <x:row r="159" ht="15" hidden="0" customHeight="1">
      <x:c r="A159" t="str">
        <x:v>8vos</x:v>
      </x:c>
      <x:c r="B159" t="str">
        <x:v>O6</x:v>
      </x:c>
      <x:c r="C159" t="str">
        <x:v>Fernando</x:v>
      </x:c>
      <x:c r="D159" t="str">
        <x:v>Portugal</x:v>
      </x:c>
      <x:c r="E159" t="str">
        <x:v>España</x:v>
      </x:c>
      <x:c r="F159" t="n">
        <x:v>2</x:v>
      </x:c>
      <x:c r="G159" t="n">
        <x:v>2</x:v>
      </x:c>
      <x:c r="H159" t="str">
        <x:v>Portugal</x:v>
      </x:c>
      <x:c r="I159" t="str">
        <x:v>Penales</x:v>
      </x:c>
      <x:c r="J159" t="n">
        <x:v>0</x:v>
      </x:c>
      <x:c r="K159" t="n">
        <x:v>1</x:v>
      </x:c>
      <x:c r="L159" t="str">
        <x:v>España</x:v>
      </x:c>
      <x:c r="M159" t="str">
        <x:v>90 minutos</x:v>
      </x:c>
      <x:c r="N159" t="n">
        <x:v>0</x:v>
      </x:c>
      <x:c r="O159" t="n">
        <x:v>0</x:v>
      </x:c>
      <x:c r="P159" t="n">
        <x:v>0</x:v>
      </x:c>
      <x:c r="Q159" t="n">
        <x:v>0</x:v>
      </x:c>
      <x:c r="R159" t="n">
        <x:v>0</x:v>
      </x:c>
      <x:c r="S159" t="n">
        <x:v>0</x:v>
      </x:c>
      <x:c r="T159" t="n">
        <x:v>0</x:v>
      </x:c>
      <x:c r="U159" t="n">
        <x:f>SUM(N159:T159)</x:f>
        <x:v>0</x:v>
      </x:c>
      <x:c r="V159" t="str">
        <x:v>OK</x:v>
      </x:c>
      <x:c r="W159" t="str">
        <x:v>Detalle 8vos publicado</x:v>
      </x:c>
    </x:row>
    <x:row r="160" ht="15" hidden="0" customHeight="1">
      <x:c r="A160" t="str">
        <x:v>8vos</x:v>
      </x:c>
      <x:c r="B160" t="str">
        <x:v>O7</x:v>
      </x:c>
      <x:c r="C160" t="str">
        <x:v>Fernando</x:v>
      </x:c>
      <x:c r="D160" t="str">
        <x:v>Suiza</x:v>
      </x:c>
      <x:c r="E160" t="str">
        <x:v>Colombia</x:v>
      </x:c>
      <x:c r="F160" t="n">
        <x:v>1</x:v>
      </x:c>
      <x:c r="G160" t="n">
        <x:v>2</x:v>
      </x:c>
      <x:c r="H160" t="str">
        <x:v>Colombia</x:v>
      </x:c>
      <x:c r="I160" t="str">
        <x:v>Suplementario</x:v>
      </x:c>
      <x:c r="J160" t="n">
        <x:v>0</x:v>
      </x:c>
      <x:c r="K160" t="n">
        <x:v>0</x:v>
      </x:c>
      <x:c r="L160" t="str">
        <x:v>Suiza</x:v>
      </x:c>
      <x:c r="M160" t="str">
        <x:v>Penales</x:v>
      </x:c>
      <x:c r="N160" t="n">
        <x:v>0</x:v>
      </x:c>
      <x:c r="O160" t="n">
        <x:v>0</x:v>
      </x:c>
      <x:c r="P160" t="n">
        <x:v>0</x:v>
      </x:c>
      <x:c r="Q160" t="n">
        <x:v>0</x:v>
      </x:c>
      <x:c r="R160" t="n">
        <x:v>0</x:v>
      </x:c>
      <x:c r="S160" t="n">
        <x:v>0</x:v>
      </x:c>
      <x:c r="T160" t="n">
        <x:v>0</x:v>
      </x:c>
      <x:c r="U160" t="n">
        <x:f>SUM(N160:T160)</x:f>
        <x:v>0</x:v>
      </x:c>
      <x:c r="V160" t="str">
        <x:v>Revisar: ganador en 90 debe tener método 90 minutos</x:v>
      </x:c>
      <x:c r="W160" t="str">
        <x:v>Detalle 8vos publicado</x:v>
      </x:c>
    </x:row>
    <x:row r="161" ht="15" hidden="0" customHeight="1">
      <x:c r="A161" t="str">
        <x:v>8vos</x:v>
      </x:c>
      <x:c r="B161" t="str">
        <x:v>O8</x:v>
      </x:c>
      <x:c r="C161" t="str">
        <x:v>Fernando</x:v>
      </x:c>
      <x:c r="D161" t="str">
        <x:v>Argentina</x:v>
      </x:c>
      <x:c r="E161" t="str">
        <x:v>Egipto</x:v>
      </x:c>
      <x:c r="F161" t="n">
        <x:v>3</x:v>
      </x:c>
      <x:c r="G161" t="n">
        <x:v>2</x:v>
      </x:c>
      <x:c r="H161" t="str">
        <x:v>Argentina</x:v>
      </x:c>
      <x:c r="I161" t="str">
        <x:v>Suplementario</x:v>
      </x:c>
      <x:c r="J161" t="n">
        <x:v>3</x:v>
      </x:c>
      <x:c r="K161" t="n">
        <x:v>2</x:v>
      </x:c>
      <x:c r="L161" t="str">
        <x:v>Argentina</x:v>
      </x:c>
      <x:c r="M161" t="str">
        <x:v>90 minutos</x:v>
      </x:c>
      <x:c r="N161" t="n">
        <x:v>0</x:v>
      </x:c>
      <x:c r="O161" t="n">
        <x:v>0</x:v>
      </x:c>
      <x:c r="P161" t="n">
        <x:v>0</x:v>
      </x:c>
      <x:c r="Q161" t="n">
        <x:v>0</x:v>
      </x:c>
      <x:c r="R161" t="n">
        <x:v>0</x:v>
      </x:c>
      <x:c r="S161" t="n">
        <x:v>0</x:v>
      </x:c>
      <x:c r="T161" t="n">
        <x:v>0</x:v>
      </x:c>
      <x:c r="U161" t="n">
        <x:f>SUM(N161:T161)</x:f>
        <x:v>0</x:v>
      </x:c>
      <x:c r="V161" t="str">
        <x:v>Revisar: ganador en 90 debe tener método 90 minutos</x:v>
      </x:c>
      <x:c r="W161" t="str">
        <x:v>Detalle 8vos publicado</x:v>
      </x:c>
    </x:row>
    <x:row r="162" ht="15" hidden="0" customHeight="1">
      <x:c r="A162" t="str">
        <x:v>8vos</x:v>
      </x:c>
      <x:c r="B162" t="str">
        <x:v>O1</x:v>
      </x:c>
      <x:c r="C162" t="str">
        <x:v>Diana</x:v>
      </x:c>
      <x:c r="D162" t="str">
        <x:v>Canadá</x:v>
      </x:c>
      <x:c r="E162" t="str">
        <x:v>Marruecos</x:v>
      </x:c>
      <x:c r="F162" t="n">
        <x:v>0</x:v>
      </x:c>
      <x:c r="G162" t="n">
        <x:v>0</x:v>
      </x:c>
      <x:c r="H162" t="str">
        <x:v>Canadá</x:v>
      </x:c>
      <x:c r="I162" t="str">
        <x:v>Penales</x:v>
      </x:c>
      <x:c r="J162" t="n">
        <x:v>0</x:v>
      </x:c>
      <x:c r="K162" t="n">
        <x:v>3</x:v>
      </x:c>
      <x:c r="L162" t="str">
        <x:v>Marruecos</x:v>
      </x:c>
      <x:c r="M162" t="str">
        <x:v>90 minutos</x:v>
      </x:c>
      <x:c r="N162" t="n">
        <x:v>0</x:v>
      </x:c>
      <x:c r="O162" t="n">
        <x:v>0</x:v>
      </x:c>
      <x:c r="P162" t="n">
        <x:v>0</x:v>
      </x:c>
      <x:c r="Q162" t="n">
        <x:v>0</x:v>
      </x:c>
      <x:c r="R162" t="n">
        <x:v>0</x:v>
      </x:c>
      <x:c r="S162" t="n">
        <x:v>1</x:v>
      </x:c>
      <x:c r="T162" t="n">
        <x:v>0</x:v>
      </x:c>
      <x:c r="U162" t="n">
        <x:f>SUM(N162:T162)</x:f>
        <x:v>1</x:v>
      </x:c>
      <x:c r="V162" t="str">
        <x:v>OK</x:v>
      </x:c>
      <x:c r="W162" t="str">
        <x:v>Detalle 8vos publicado</x:v>
      </x:c>
    </x:row>
    <x:row r="163" ht="15" hidden="0" customHeight="1">
      <x:c r="A163" t="str">
        <x:v>8vos</x:v>
      </x:c>
      <x:c r="B163" t="str">
        <x:v>O2</x:v>
      </x:c>
      <x:c r="C163" t="str">
        <x:v>Diana</x:v>
      </x:c>
      <x:c r="D163" t="str">
        <x:v>Paraguay</x:v>
      </x:c>
      <x:c r="E163" t="str">
        <x:v>Francia</x:v>
      </x:c>
      <x:c r="F163" t="n">
        <x:v>0</x:v>
      </x:c>
      <x:c r="G163" t="n">
        <x:v>0</x:v>
      </x:c>
      <x:c r="H163" t="str">
        <x:v>Paraguay</x:v>
      </x:c>
      <x:c r="I163" t="str">
        <x:v>Penales</x:v>
      </x:c>
      <x:c r="J163" t="n">
        <x:v>0</x:v>
      </x:c>
      <x:c r="K163" t="n">
        <x:v>1</x:v>
      </x:c>
      <x:c r="L163" t="str">
        <x:v>Francia</x:v>
      </x:c>
      <x:c r="M163" t="str">
        <x:v>90 minutos</x:v>
      </x:c>
      <x:c r="N163" t="n">
        <x:v>0</x:v>
      </x:c>
      <x:c r="O163" t="n">
        <x:v>0</x:v>
      </x:c>
      <x:c r="P163" t="n">
        <x:v>0</x:v>
      </x:c>
      <x:c r="Q163" t="n">
        <x:v>0</x:v>
      </x:c>
      <x:c r="R163" t="n">
        <x:v>0</x:v>
      </x:c>
      <x:c r="S163" t="n">
        <x:v>1</x:v>
      </x:c>
      <x:c r="T163" t="n">
        <x:v>0</x:v>
      </x:c>
      <x:c r="U163" t="n">
        <x:f>SUM(N163:T163)</x:f>
        <x:v>1</x:v>
      </x:c>
      <x:c r="V163" t="str">
        <x:v>OK</x:v>
      </x:c>
      <x:c r="W163" t="str">
        <x:v>Detalle 8vos publicado</x:v>
      </x:c>
    </x:row>
    <x:row r="164" ht="15" hidden="0" customHeight="1">
      <x:c r="A164" t="str">
        <x:v>8vos</x:v>
      </x:c>
      <x:c r="B164" t="str">
        <x:v>O3</x:v>
      </x:c>
      <x:c r="C164" t="str">
        <x:v>Diana</x:v>
      </x:c>
      <x:c r="D164" t="str">
        <x:v>Brasil</x:v>
      </x:c>
      <x:c r="E164" t="str">
        <x:v>Noruega</x:v>
      </x:c>
      <x:c r="F164" t="n">
        <x:v>0</x:v>
      </x:c>
      <x:c r="G164" t="n">
        <x:v>0</x:v>
      </x:c>
      <x:c r="H164" t="str">
        <x:v>Brasil</x:v>
      </x:c>
      <x:c r="I164" t="str">
        <x:v>Penales</x:v>
      </x:c>
      <x:c r="J164" t="n">
        <x:v>1</x:v>
      </x:c>
      <x:c r="K164" t="n">
        <x:v>2</x:v>
      </x:c>
      <x:c r="L164" t="str">
        <x:v>Noruega</x:v>
      </x:c>
      <x:c r="M164" t="str">
        <x:v>90 minutos</x:v>
      </x:c>
      <x:c r="N164" t="n">
        <x:v>0</x:v>
      </x:c>
      <x:c r="O164" t="n">
        <x:v>0</x:v>
      </x:c>
      <x:c r="P164" t="n">
        <x:v>0</x:v>
      </x:c>
      <x:c r="Q164" t="n">
        <x:v>0</x:v>
      </x:c>
      <x:c r="R164" t="n">
        <x:v>0</x:v>
      </x:c>
      <x:c r="S164" t="n">
        <x:v>0</x:v>
      </x:c>
      <x:c r="T164" t="n">
        <x:v>0</x:v>
      </x:c>
      <x:c r="U164" t="n">
        <x:f>SUM(N164:T164)</x:f>
        <x:v>0</x:v>
      </x:c>
      <x:c r="V164" t="str">
        <x:v>OK</x:v>
      </x:c>
      <x:c r="W164" t="str">
        <x:v>Detalle 8vos publicado</x:v>
      </x:c>
    </x:row>
    <x:row r="165" ht="15" hidden="0" customHeight="1">
      <x:c r="A165" t="str">
        <x:v>8vos</x:v>
      </x:c>
      <x:c r="B165" t="str">
        <x:v>O4</x:v>
      </x:c>
      <x:c r="C165" t="str">
        <x:v>Diana</x:v>
      </x:c>
      <x:c r="D165" t="str">
        <x:v>México</x:v>
      </x:c>
      <x:c r="E165" t="str">
        <x:v>Inglaterra</x:v>
      </x:c>
      <x:c r="F165" t="n">
        <x:v>0</x:v>
      </x:c>
      <x:c r="G165" t="n">
        <x:v>0</x:v>
      </x:c>
      <x:c r="H165" t="str">
        <x:v>México</x:v>
      </x:c>
      <x:c r="I165" t="str">
        <x:v>Penales</x:v>
      </x:c>
      <x:c r="J165" t="n">
        <x:v>2</x:v>
      </x:c>
      <x:c r="K165" t="n">
        <x:v>3</x:v>
      </x:c>
      <x:c r="L165" t="str">
        <x:v>Inglaterra</x:v>
      </x:c>
      <x:c r="M165" t="str">
        <x:v>90 minutos</x:v>
      </x:c>
      <x:c r="N165" t="n">
        <x:v>0</x:v>
      </x:c>
      <x:c r="O165" t="n">
        <x:v>0</x:v>
      </x:c>
      <x:c r="P165" t="n">
        <x:v>0</x:v>
      </x:c>
      <x:c r="Q165" t="n">
        <x:v>0</x:v>
      </x:c>
      <x:c r="R165" t="n">
        <x:v>0</x:v>
      </x:c>
      <x:c r="S165" t="n">
        <x:v>0</x:v>
      </x:c>
      <x:c r="T165" t="n">
        <x:v>0</x:v>
      </x:c>
      <x:c r="U165" t="n">
        <x:f>SUM(N165:T165)</x:f>
        <x:v>0</x:v>
      </x:c>
      <x:c r="V165" t="str">
        <x:v>OK</x:v>
      </x:c>
      <x:c r="W165" t="str">
        <x:v>Detalle 8vos publicado</x:v>
      </x:c>
    </x:row>
    <x:row r="166" ht="15" hidden="0" customHeight="1">
      <x:c r="A166" t="str">
        <x:v>8vos</x:v>
      </x:c>
      <x:c r="B166" t="str">
        <x:v>O5</x:v>
      </x:c>
      <x:c r="C166" t="str">
        <x:v>Diana</x:v>
      </x:c>
      <x:c r="D166" t="str">
        <x:v>Estados Unidos</x:v>
      </x:c>
      <x:c r="E166" t="str">
        <x:v>Bélgica</x:v>
      </x:c>
      <x:c r="F166" t="n">
        <x:v>1</x:v>
      </x:c>
      <x:c r="G166" t="n">
        <x:v>2</x:v>
      </x:c>
      <x:c r="H166" t="str">
        <x:v>Bélgica</x:v>
      </x:c>
      <x:c r="I166" t="str">
        <x:v>90 minutos</x:v>
      </x:c>
      <x:c r="J166" t="n">
        <x:v>1</x:v>
      </x:c>
      <x:c r="K166" t="n">
        <x:v>4</x:v>
      </x:c>
      <x:c r="L166" t="str">
        <x:v>Bélgica</x:v>
      </x:c>
      <x:c r="M166" t="str">
        <x:v>90 minutos</x:v>
      </x:c>
      <x:c r="N166" t="n">
        <x:v>5</x:v>
      </x:c>
      <x:c r="O166" t="n">
        <x:v>3</x:v>
      </x:c>
      <x:c r="P166" t="n">
        <x:v>2</x:v>
      </x:c>
      <x:c r="Q166" t="n">
        <x:v>0</x:v>
      </x:c>
      <x:c r="R166" t="n">
        <x:v>0</x:v>
      </x:c>
      <x:c r="S166" t="n">
        <x:v>1</x:v>
      </x:c>
      <x:c r="T166" t="n">
        <x:v>0</x:v>
      </x:c>
      <x:c r="U166" t="n">
        <x:f>SUM(N166:T166)</x:f>
        <x:v>11</x:v>
      </x:c>
      <x:c r="V166" t="str">
        <x:v>OK</x:v>
      </x:c>
      <x:c r="W166" t="str">
        <x:v>Detalle 8vos publicado</x:v>
      </x:c>
    </x:row>
    <x:row r="167" ht="15" hidden="0" customHeight="1">
      <x:c r="A167" t="str">
        <x:v>8vos</x:v>
      </x:c>
      <x:c r="B167" t="str">
        <x:v>O6</x:v>
      </x:c>
      <x:c r="C167" t="str">
        <x:v>Diana</x:v>
      </x:c>
      <x:c r="D167" t="str">
        <x:v>Portugal</x:v>
      </x:c>
      <x:c r="E167" t="str">
        <x:v>España</x:v>
      </x:c>
      <x:c r="F167" t="n">
        <x:v>1</x:v>
      </x:c>
      <x:c r="G167" t="n">
        <x:v>2</x:v>
      </x:c>
      <x:c r="H167" t="str">
        <x:v>España</x:v>
      </x:c>
      <x:c r="I167" t="str">
        <x:v>Suplementario</x:v>
      </x:c>
      <x:c r="J167" t="n">
        <x:v>0</x:v>
      </x:c>
      <x:c r="K167" t="n">
        <x:v>1</x:v>
      </x:c>
      <x:c r="L167" t="str">
        <x:v>España</x:v>
      </x:c>
      <x:c r="M167" t="str">
        <x:v>90 minutos</x:v>
      </x:c>
      <x:c r="N167" t="n">
        <x:v>0</x:v>
      </x:c>
      <x:c r="O167" t="n">
        <x:v>0</x:v>
      </x:c>
      <x:c r="P167" t="n">
        <x:v>0</x:v>
      </x:c>
      <x:c r="Q167" t="n">
        <x:v>0</x:v>
      </x:c>
      <x:c r="R167" t="n">
        <x:v>0</x:v>
      </x:c>
      <x:c r="S167" t="n">
        <x:v>0</x:v>
      </x:c>
      <x:c r="T167" t="n">
        <x:v>0</x:v>
      </x:c>
      <x:c r="U167" t="n">
        <x:f>SUM(N167:T167)</x:f>
        <x:v>0</x:v>
      </x:c>
      <x:c r="V167" t="str">
        <x:v>Revisar: ganador en 90 debe tener método 90 minutos</x:v>
      </x:c>
      <x:c r="W167" t="str">
        <x:v>Detalle 8vos publicado</x:v>
      </x:c>
    </x:row>
    <x:row r="168" ht="15" hidden="0" customHeight="1">
      <x:c r="A168" t="str">
        <x:v>8vos</x:v>
      </x:c>
      <x:c r="B168" t="str">
        <x:v>O7</x:v>
      </x:c>
      <x:c r="C168" t="str">
        <x:v>Diana</x:v>
      </x:c>
      <x:c r="D168" t="str">
        <x:v>Suiza</x:v>
      </x:c>
      <x:c r="E168" t="str">
        <x:v>Colombia</x:v>
      </x:c>
      <x:c r="F168" t="n">
        <x:v>0</x:v>
      </x:c>
      <x:c r="G168" t="n">
        <x:v>2</x:v>
      </x:c>
      <x:c r="H168" t="str">
        <x:v>Colombia</x:v>
      </x:c>
      <x:c r="I168" t="str">
        <x:v>90 minutos</x:v>
      </x:c>
      <x:c r="J168" t="n">
        <x:v>0</x:v>
      </x:c>
      <x:c r="K168" t="n">
        <x:v>0</x:v>
      </x:c>
      <x:c r="L168" t="str">
        <x:v>Suiza</x:v>
      </x:c>
      <x:c r="M168" t="str">
        <x:v>Penales</x:v>
      </x:c>
      <x:c r="N168" t="n">
        <x:v>0</x:v>
      </x:c>
      <x:c r="O168" t="n">
        <x:v>0</x:v>
      </x:c>
      <x:c r="P168" t="n">
        <x:v>0</x:v>
      </x:c>
      <x:c r="Q168" t="n">
        <x:v>0</x:v>
      </x:c>
      <x:c r="R168" t="n">
        <x:v>0</x:v>
      </x:c>
      <x:c r="S168" t="n">
        <x:v>1</x:v>
      </x:c>
      <x:c r="T168" t="n">
        <x:v>0</x:v>
      </x:c>
      <x:c r="U168" t="n">
        <x:f>SUM(N168:T168)</x:f>
        <x:v>1</x:v>
      </x:c>
      <x:c r="V168" t="str">
        <x:v>OK</x:v>
      </x:c>
      <x:c r="W168" t="str">
        <x:v>Detalle 8vos publicado</x:v>
      </x:c>
    </x:row>
    <x:row r="169" ht="15" hidden="0" customHeight="1">
      <x:c r="A169" t="str">
        <x:v>8vos</x:v>
      </x:c>
      <x:c r="B169" t="str">
        <x:v>O8</x:v>
      </x:c>
      <x:c r="C169" t="str">
        <x:v>Diana</x:v>
      </x:c>
      <x:c r="D169" t="str">
        <x:v>Argentina</x:v>
      </x:c>
      <x:c r="E169" t="str">
        <x:v>Egipto</x:v>
      </x:c>
      <x:c r="F169" t="n">
        <x:v>3</x:v>
      </x:c>
      <x:c r="G169" t="n">
        <x:v>1</x:v>
      </x:c>
      <x:c r="H169" t="str">
        <x:v>Argentina</x:v>
      </x:c>
      <x:c r="I169" t="str">
        <x:v>90 minutos</x:v>
      </x:c>
      <x:c r="J169" t="n">
        <x:v>3</x:v>
      </x:c>
      <x:c r="K169" t="n">
        <x:v>2</x:v>
      </x:c>
      <x:c r="L169" t="str">
        <x:v>Argentina</x:v>
      </x:c>
      <x:c r="M169" t="str">
        <x:v>90 minutos</x:v>
      </x:c>
      <x:c r="N169" t="n">
        <x:v>5</x:v>
      </x:c>
      <x:c r="O169" t="n">
        <x:v>3</x:v>
      </x:c>
      <x:c r="P169" t="n">
        <x:v>2</x:v>
      </x:c>
      <x:c r="Q169" t="n">
        <x:v>0</x:v>
      </x:c>
      <x:c r="R169" t="n">
        <x:v>0</x:v>
      </x:c>
      <x:c r="S169" t="n">
        <x:v>1</x:v>
      </x:c>
      <x:c r="T169" t="n">
        <x:v>0</x:v>
      </x:c>
      <x:c r="U169" t="n">
        <x:f>SUM(N169:T169)</x:f>
        <x:v>11</x:v>
      </x:c>
      <x:c r="V169" t="str">
        <x:v>OK</x:v>
      </x:c>
      <x:c r="W169" t="str">
        <x:v>Detalle 8vos publicado</x:v>
      </x:c>
    </x:row>
    <x:row r="170" ht="15" hidden="0" customHeight="1">
      <x:c r="A170" t="str">
        <x:v>8vos</x:v>
      </x:c>
      <x:c r="B170" t="str">
        <x:v>O1</x:v>
      </x:c>
      <x:c r="C170" t="str">
        <x:v>Óscar</x:v>
      </x:c>
      <x:c r="D170" t="str">
        <x:v>Canadá</x:v>
      </x:c>
      <x:c r="E170" t="str">
        <x:v>Marruecos</x:v>
      </x:c>
      <x:c r="F170" t="n">
        <x:v>1</x:v>
      </x:c>
      <x:c r="G170" t="n">
        <x:v>2</x:v>
      </x:c>
      <x:c r="H170" t="str">
        <x:v>Marruecos</x:v>
      </x:c>
      <x:c r="I170" t="str">
        <x:v>Suplementario</x:v>
      </x:c>
      <x:c r="J170" t="n">
        <x:v>0</x:v>
      </x:c>
      <x:c r="K170" t="n">
        <x:v>3</x:v>
      </x:c>
      <x:c r="L170" t="str">
        <x:v>Marruecos</x:v>
      </x:c>
      <x:c r="M170" t="str">
        <x:v>90 minutos</x:v>
      </x:c>
      <x:c r="N170" t="n">
        <x:v>0</x:v>
      </x:c>
      <x:c r="O170" t="n">
        <x:v>0</x:v>
      </x:c>
      <x:c r="P170" t="n">
        <x:v>0</x:v>
      </x:c>
      <x:c r="Q170" t="n">
        <x:v>0</x:v>
      </x:c>
      <x:c r="R170" t="n">
        <x:v>0</x:v>
      </x:c>
      <x:c r="S170" t="n">
        <x:v>0</x:v>
      </x:c>
      <x:c r="T170" t="n">
        <x:v>0</x:v>
      </x:c>
      <x:c r="U170" t="n">
        <x:f>SUM(N170:T170)</x:f>
        <x:v>0</x:v>
      </x:c>
      <x:c r="V170" t="str">
        <x:v>Revisar: ganador en 90 debe tener método 90 minutos</x:v>
      </x:c>
      <x:c r="W170" t="str">
        <x:v>Detalle 8vos publicado</x:v>
      </x:c>
    </x:row>
    <x:row r="171" ht="15" hidden="0" customHeight="1">
      <x:c r="A171" t="str">
        <x:v>8vos</x:v>
      </x:c>
      <x:c r="B171" t="str">
        <x:v>O2</x:v>
      </x:c>
      <x:c r="C171" t="str">
        <x:v>Óscar</x:v>
      </x:c>
      <x:c r="D171" t="str">
        <x:v>Paraguay</x:v>
      </x:c>
      <x:c r="E171" t="str">
        <x:v>Francia</x:v>
      </x:c>
      <x:c r="F171" t="n">
        <x:v>0</x:v>
      </x:c>
      <x:c r="G171" t="n">
        <x:v>2</x:v>
      </x:c>
      <x:c r="H171" t="str">
        <x:v>Francia</x:v>
      </x:c>
      <x:c r="I171" t="str">
        <x:v>90 minutos</x:v>
      </x:c>
      <x:c r="J171" t="n">
        <x:v>0</x:v>
      </x:c>
      <x:c r="K171" t="n">
        <x:v>1</x:v>
      </x:c>
      <x:c r="L171" t="str">
        <x:v>Francia</x:v>
      </x:c>
      <x:c r="M171" t="str">
        <x:v>90 minutos</x:v>
      </x:c>
      <x:c r="N171" t="n">
        <x:v>5</x:v>
      </x:c>
      <x:c r="O171" t="n">
        <x:v>3</x:v>
      </x:c>
      <x:c r="P171" t="n">
        <x:v>2</x:v>
      </x:c>
      <x:c r="Q171" t="n">
        <x:v>0</x:v>
      </x:c>
      <x:c r="R171" t="n">
        <x:v>0</x:v>
      </x:c>
      <x:c r="S171" t="n">
        <x:v>1</x:v>
      </x:c>
      <x:c r="T171" t="n">
        <x:v>0</x:v>
      </x:c>
      <x:c r="U171" t="n">
        <x:f>SUM(N171:T171)</x:f>
        <x:v>11</x:v>
      </x:c>
      <x:c r="V171" t="str">
        <x:v>OK</x:v>
      </x:c>
      <x:c r="W171" t="str">
        <x:v>Detalle 8vos publicado</x:v>
      </x:c>
    </x:row>
    <x:row r="172" ht="15" hidden="0" customHeight="1">
      <x:c r="A172" t="str">
        <x:v>8vos</x:v>
      </x:c>
      <x:c r="B172" t="str">
        <x:v>O3</x:v>
      </x:c>
      <x:c r="C172" t="str">
        <x:v>Óscar</x:v>
      </x:c>
      <x:c r="D172" t="str">
        <x:v>Brasil</x:v>
      </x:c>
      <x:c r="E172" t="str">
        <x:v>Noruega</x:v>
      </x:c>
      <x:c r="F172" t="n">
        <x:v>3</x:v>
      </x:c>
      <x:c r="G172" t="n">
        <x:v>2</x:v>
      </x:c>
      <x:c r="H172" t="str">
        <x:v>Brasil</x:v>
      </x:c>
      <x:c r="I172" t="str">
        <x:v>Suplementario</x:v>
      </x:c>
      <x:c r="J172" t="n">
        <x:v>1</x:v>
      </x:c>
      <x:c r="K172" t="n">
        <x:v>2</x:v>
      </x:c>
      <x:c r="L172" t="str">
        <x:v>Noruega</x:v>
      </x:c>
      <x:c r="M172" t="str">
        <x:v>90 minutos</x:v>
      </x:c>
      <x:c r="N172" t="n">
        <x:v>0</x:v>
      </x:c>
      <x:c r="O172" t="n">
        <x:v>0</x:v>
      </x:c>
      <x:c r="P172" t="n">
        <x:v>0</x:v>
      </x:c>
      <x:c r="Q172" t="n">
        <x:v>0</x:v>
      </x:c>
      <x:c r="R172" t="n">
        <x:v>0</x:v>
      </x:c>
      <x:c r="S172" t="n">
        <x:v>0</x:v>
      </x:c>
      <x:c r="T172" t="n">
        <x:v>0</x:v>
      </x:c>
      <x:c r="U172" t="n">
        <x:f>SUM(N172:T172)</x:f>
        <x:v>0</x:v>
      </x:c>
      <x:c r="V172" t="str">
        <x:v>Revisar: ganador en 90 debe tener método 90 minutos</x:v>
      </x:c>
      <x:c r="W172" t="str">
        <x:v>Detalle 8vos publicado</x:v>
      </x:c>
    </x:row>
    <x:row r="173" ht="15" hidden="0" customHeight="1">
      <x:c r="A173" t="str">
        <x:v>8vos</x:v>
      </x:c>
      <x:c r="B173" t="str">
        <x:v>O4</x:v>
      </x:c>
      <x:c r="C173" t="str">
        <x:v>Óscar</x:v>
      </x:c>
      <x:c r="D173" t="str">
        <x:v>México</x:v>
      </x:c>
      <x:c r="E173" t="str">
        <x:v>Inglaterra</x:v>
      </x:c>
      <x:c r="F173" t="n">
        <x:v>1</x:v>
      </x:c>
      <x:c r="G173" t="n">
        <x:v>2</x:v>
      </x:c>
      <x:c r="H173" t="str">
        <x:v>Inglaterra</x:v>
      </x:c>
      <x:c r="I173" t="str">
        <x:v>Suplementario</x:v>
      </x:c>
      <x:c r="J173" t="n">
        <x:v>2</x:v>
      </x:c>
      <x:c r="K173" t="n">
        <x:v>3</x:v>
      </x:c>
      <x:c r="L173" t="str">
        <x:v>Inglaterra</x:v>
      </x:c>
      <x:c r="M173" t="str">
        <x:v>90 minutos</x:v>
      </x:c>
      <x:c r="N173" t="n">
        <x:v>0</x:v>
      </x:c>
      <x:c r="O173" t="n">
        <x:v>0</x:v>
      </x:c>
      <x:c r="P173" t="n">
        <x:v>0</x:v>
      </x:c>
      <x:c r="Q173" t="n">
        <x:v>0</x:v>
      </x:c>
      <x:c r="R173" t="n">
        <x:v>0</x:v>
      </x:c>
      <x:c r="S173" t="n">
        <x:v>0</x:v>
      </x:c>
      <x:c r="T173" t="n">
        <x:v>0</x:v>
      </x:c>
      <x:c r="U173" t="n">
        <x:f>SUM(N173:T173)</x:f>
        <x:v>0</x:v>
      </x:c>
      <x:c r="V173" t="str">
        <x:v>Revisar: ganador en 90 debe tener método 90 minutos</x:v>
      </x:c>
      <x:c r="W173" t="str">
        <x:v>Detalle 8vos publicado</x:v>
      </x:c>
    </x:row>
    <x:row r="174" ht="15" hidden="0" customHeight="1">
      <x:c r="A174" t="str">
        <x:v>8vos</x:v>
      </x:c>
      <x:c r="B174" t="str">
        <x:v>O5</x:v>
      </x:c>
      <x:c r="C174" t="str">
        <x:v>Óscar</x:v>
      </x:c>
      <x:c r="D174" t="str">
        <x:v>Estados Unidos</x:v>
      </x:c>
      <x:c r="E174" t="str">
        <x:v>Bélgica</x:v>
      </x:c>
      <x:c r="F174" t="n">
        <x:v>2</x:v>
      </x:c>
      <x:c r="G174" t="n">
        <x:v>2</x:v>
      </x:c>
      <x:c r="H174" t="str">
        <x:v>EEUU</x:v>
      </x:c>
      <x:c r="I174" t="str">
        <x:v>Penales</x:v>
      </x:c>
      <x:c r="J174" t="n">
        <x:v>1</x:v>
      </x:c>
      <x:c r="K174" t="n">
        <x:v>4</x:v>
      </x:c>
      <x:c r="L174" t="str">
        <x:v>Bélgica</x:v>
      </x:c>
      <x:c r="M174" t="str">
        <x:v>90 minutos</x:v>
      </x:c>
      <x:c r="N174" t="n">
        <x:v>0</x:v>
      </x:c>
      <x:c r="O174" t="n">
        <x:v>0</x:v>
      </x:c>
      <x:c r="P174" t="n">
        <x:v>0</x:v>
      </x:c>
      <x:c r="Q174" t="n">
        <x:v>0</x:v>
      </x:c>
      <x:c r="R174" t="n">
        <x:v>0</x:v>
      </x:c>
      <x:c r="S174" t="n">
        <x:v>0</x:v>
      </x:c>
      <x:c r="T174" t="n">
        <x:v>0</x:v>
      </x:c>
      <x:c r="U174" t="n">
        <x:f>SUM(N174:T174)</x:f>
        <x:v>0</x:v>
      </x:c>
      <x:c r="V174" t="str">
        <x:v>OK</x:v>
      </x:c>
      <x:c r="W174" t="str">
        <x:v>Detalle 8vos publicado</x:v>
      </x:c>
    </x:row>
    <x:row r="175" ht="15" hidden="0" customHeight="1">
      <x:c r="A175" t="str">
        <x:v>8vos</x:v>
      </x:c>
      <x:c r="B175" t="str">
        <x:v>O6</x:v>
      </x:c>
      <x:c r="C175" t="str">
        <x:v>Óscar</x:v>
      </x:c>
      <x:c r="D175" t="str">
        <x:v>Portugal</x:v>
      </x:c>
      <x:c r="E175" t="str">
        <x:v>España</x:v>
      </x:c>
      <x:c r="F175" t="n">
        <x:v>2</x:v>
      </x:c>
      <x:c r="G175" t="n">
        <x:v>3</x:v>
      </x:c>
      <x:c r="H175" t="str">
        <x:v>España</x:v>
      </x:c>
      <x:c r="I175" t="str">
        <x:v>Suplementario</x:v>
      </x:c>
      <x:c r="J175" t="n">
        <x:v>0</x:v>
      </x:c>
      <x:c r="K175" t="n">
        <x:v>1</x:v>
      </x:c>
      <x:c r="L175" t="str">
        <x:v>España</x:v>
      </x:c>
      <x:c r="M175" t="str">
        <x:v>90 minutos</x:v>
      </x:c>
      <x:c r="N175" t="n">
        <x:v>0</x:v>
      </x:c>
      <x:c r="O175" t="n">
        <x:v>0</x:v>
      </x:c>
      <x:c r="P175" t="n">
        <x:v>0</x:v>
      </x:c>
      <x:c r="Q175" t="n">
        <x:v>0</x:v>
      </x:c>
      <x:c r="R175" t="n">
        <x:v>0</x:v>
      </x:c>
      <x:c r="S175" t="n">
        <x:v>0</x:v>
      </x:c>
      <x:c r="T175" t="n">
        <x:v>0</x:v>
      </x:c>
      <x:c r="U175" t="n">
        <x:f>SUM(N175:T175)</x:f>
        <x:v>0</x:v>
      </x:c>
      <x:c r="V175" t="str">
        <x:v>Revisar: ganador en 90 debe tener método 90 minutos</x:v>
      </x:c>
      <x:c r="W175" t="str">
        <x:v>Detalle 8vos publicado</x:v>
      </x:c>
    </x:row>
    <x:row r="176" ht="15" hidden="0" customHeight="1">
      <x:c r="A176" t="str">
        <x:v>8vos</x:v>
      </x:c>
      <x:c r="B176" t="str">
        <x:v>O7</x:v>
      </x:c>
      <x:c r="C176" t="str">
        <x:v>Óscar</x:v>
      </x:c>
      <x:c r="D176" t="str">
        <x:v>Suiza</x:v>
      </x:c>
      <x:c r="E176" t="str">
        <x:v>Colombia</x:v>
      </x:c>
      <x:c r="F176" t="n">
        <x:v>2</x:v>
      </x:c>
      <x:c r="G176" t="n">
        <x:v>2</x:v>
      </x:c>
      <x:c r="H176" t="str">
        <x:v>Colombia</x:v>
      </x:c>
      <x:c r="I176" t="str">
        <x:v>Penales</x:v>
      </x:c>
      <x:c r="J176" t="n">
        <x:v>0</x:v>
      </x:c>
      <x:c r="K176" t="n">
        <x:v>0</x:v>
      </x:c>
      <x:c r="L176" t="str">
        <x:v>Suiza</x:v>
      </x:c>
      <x:c r="M176" t="str">
        <x:v>Penales</x:v>
      </x:c>
      <x:c r="N176" t="n">
        <x:v>5</x:v>
      </x:c>
      <x:c r="O176" t="n">
        <x:v>0</x:v>
      </x:c>
      <x:c r="P176" t="n">
        <x:v>2</x:v>
      </x:c>
      <x:c r="Q176" t="n">
        <x:v>0</x:v>
      </x:c>
      <x:c r="R176" t="n">
        <x:v>2</x:v>
      </x:c>
      <x:c r="S176" t="n">
        <x:v>0</x:v>
      </x:c>
      <x:c r="T176" t="n">
        <x:v>0</x:v>
      </x:c>
      <x:c r="U176" t="n">
        <x:f>SUM(N176:T176)</x:f>
        <x:v>9</x:v>
      </x:c>
      <x:c r="V176" t="str">
        <x:v>OK</x:v>
      </x:c>
      <x:c r="W176" t="str">
        <x:v>Detalle 8vos publicado</x:v>
      </x:c>
    </x:row>
    <x:row r="177" ht="15" hidden="0" customHeight="1">
      <x:c r="A177" t="str">
        <x:v>8vos</x:v>
      </x:c>
      <x:c r="B177" t="str">
        <x:v>O8</x:v>
      </x:c>
      <x:c r="C177" t="str">
        <x:v>Óscar</x:v>
      </x:c>
      <x:c r="D177" t="str">
        <x:v>Argentina</x:v>
      </x:c>
      <x:c r="E177" t="str">
        <x:v>Egipto</x:v>
      </x:c>
      <x:c r="F177" t="n">
        <x:v>3</x:v>
      </x:c>
      <x:c r="G177" t="n">
        <x:v>2</x:v>
      </x:c>
      <x:c r="H177" t="str">
        <x:v>Argentina</x:v>
      </x:c>
      <x:c r="I177" t="str">
        <x:v>Suplementario</x:v>
      </x:c>
      <x:c r="J177" t="n">
        <x:v>3</x:v>
      </x:c>
      <x:c r="K177" t="n">
        <x:v>2</x:v>
      </x:c>
      <x:c r="L177" t="str">
        <x:v>Argentina</x:v>
      </x:c>
      <x:c r="M177" t="str">
        <x:v>90 minutos</x:v>
      </x:c>
      <x:c r="N177" t="n">
        <x:v>0</x:v>
      </x:c>
      <x:c r="O177" t="n">
        <x:v>0</x:v>
      </x:c>
      <x:c r="P177" t="n">
        <x:v>0</x:v>
      </x:c>
      <x:c r="Q177" t="n">
        <x:v>0</x:v>
      </x:c>
      <x:c r="R177" t="n">
        <x:v>0</x:v>
      </x:c>
      <x:c r="S177" t="n">
        <x:v>0</x:v>
      </x:c>
      <x:c r="T177" t="n">
        <x:v>0</x:v>
      </x:c>
      <x:c r="U177" t="n">
        <x:f>SUM(N177:T177)</x:f>
        <x:v>0</x:v>
      </x:c>
      <x:c r="V177" t="str">
        <x:v>Revisar: ganador en 90 debe tener método 90 minutos</x:v>
      </x:c>
      <x:c r="W177" t="str">
        <x:v>Detalle 8vos publicado</x:v>
      </x:c>
    </x:row>
  </x:sheetData>
  <x:pageMargins left="0.7" right="0.7" top="0.75" bottom="0.75" header="0.3" footer="0.3"/>
  <x:tableParts count="1">
    <x:tablePart xmlns:r="http://schemas.openxmlformats.org/officeDocument/2006/relationships" r:id="R8a83a4c6533241e1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380000114440918" hidden="0" customWidth="1"/>
    <x:col min="2" max="2" width="8.630000114440918" hidden="0" customWidth="1"/>
    <x:col min="3" max="3" width="12.25" hidden="0" customWidth="1"/>
    <x:col min="4" max="4" width="9.880000114440918" hidden="0" customWidth="1"/>
    <x:col min="5" max="5" width="9.75" hidden="0" customWidth="1"/>
    <x:col min="6" max="6" width="10.880000114440918" hidden="0" customWidth="1"/>
    <x:col min="7" max="7" width="10.75" hidden="0" customWidth="1"/>
    <x:col min="8" max="8" width="18.75" hidden="0" customWidth="1"/>
    <x:col min="9" max="9" width="12.880000114440918" hidden="0" customWidth="1"/>
    <x:col min="10" max="10" width="9.380000114440918" hidden="0" customWidth="1"/>
    <x:col min="11" max="11" width="9.380000114440918" hidden="0" customWidth="1"/>
    <x:col min="12" max="12" width="16.25" hidden="0" customWidth="1"/>
    <x:col min="13" max="13" width="11.5" hidden="0" customWidth="1"/>
    <x:col min="14" max="14" width="7.75" hidden="0" customWidth="1"/>
    <x:col min="15" max="15" width="9.880000114440918" hidden="0" customWidth="1"/>
    <x:col min="16" max="16" width="8.25" hidden="0" customWidth="1"/>
    <x:col min="17" max="17" width="13.25" hidden="0" customWidth="1"/>
    <x:col min="18" max="18" width="8" hidden="0" customWidth="1"/>
    <x:col min="19" max="19" width="10" hidden="0" customWidth="1"/>
    <x:col min="20" max="20" width="9.880000114440918" hidden="0" customWidth="1"/>
    <x:col min="21" max="21" width="6.75" hidden="0" customWidth="1"/>
    <x:col min="22" max="22" width="8.380000114440918" hidden="0" customWidth="1"/>
    <x:col min="23" max="23" width="10.880000114440918" hidden="0" customWidth="1"/>
  </x:cols>
  <x:sheetData>
    <x:row r="1" ht="15" hidden="0" customHeight="1">
      <x:c r="A1" s="3" t="str">
        <x:v>Fase</x:v>
      </x:c>
      <x:c r="B1" s="3" t="str">
        <x:v>Partido</x:v>
      </x:c>
      <x:c r="C1" s="3" t="str">
        <x:v>Participante</x:v>
      </x:c>
      <x:c r="D1" s="3" t="str">
        <x:v>Equipo A</x:v>
      </x:c>
      <x:c r="E1" s="3" t="str">
        <x:v>Equipo B</x:v>
      </x:c>
      <x:c r="F1" s="3" t="str">
        <x:v>Apuesta A</x:v>
      </x:c>
      <x:c r="G1" s="3" t="str">
        <x:v>Apuesta B</x:v>
      </x:c>
      <x:c r="H1" s="3" t="str">
        <x:v>Clasificado apostado</x:v>
      </x:c>
      <x:c r="I1" s="3" t="str">
        <x:v>Via apostada</x:v>
      </x:c>
      <x:c r="J1" s="3" t="str">
        <x:v>Oficial A</x:v>
      </x:c>
      <x:c r="K1" s="3" t="str">
        <x:v>Oficial B</x:v>
      </x:c>
      <x:c r="L1" s="3" t="str">
        <x:v>Clasificado oficial</x:v>
      </x:c>
      <x:c r="M1" s="3" t="str">
        <x:v>Via oficial</x:v>
      </x:c>
      <x:c r="N1" s="3" t="str">
        <x:v>Pts 90</x:v>
      </x:c>
      <x:c r="O1" s="3" t="str">
        <x:v>Pts Clasif</x:v>
      </x:c>
      <x:c r="P1" s="3" t="str">
        <x:v>Pts Via</x:v>
      </x:c>
      <x:c r="Q1" s="3" t="str">
        <x:v>Pts Marcador</x:v>
      </x:c>
      <x:c r="R1" s="3" t="str">
        <x:v>Pts Dif</x:v>
      </x:c>
      <x:c r="S1" s="3" t="str">
        <x:v>Pts Gol A</x:v>
      </x:c>
      <x:c r="T1" s="3" t="str">
        <x:v>Pts Gol B</x:v>
      </x:c>
      <x:c r="U1" s="3" t="str">
        <x:v>Total</x:v>
      </x:c>
      <x:c r="V1" s="3" t="str">
        <x:v>Nota</x:v>
      </x:c>
      <x:c r="W1" s="3" t="str">
        <x:v>Fuente</x:v>
      </x:c>
    </x:row>
    <x:row r="2" ht="15" hidden="0" customHeight="1">
      <x:c r="A2" t="str">
        <x:v>4tos</x:v>
      </x:c>
      <x:c r="B2" t="str">
        <x:v>QF1</x:v>
      </x:c>
      <x:c r="C2" t="str">
        <x:v>Freddy</x:v>
      </x:c>
      <x:c r="D2" t="str">
        <x:v>Francia</x:v>
      </x:c>
      <x:c r="E2" t="str">
        <x:v>Marruecos</x:v>
      </x:c>
      <x:c r="F2" t="n">
        <x:v>1</x:v>
      </x:c>
      <x:c r="G2" t="n">
        <x:v>0</x:v>
      </x:c>
      <x:c r="H2" t="str">
        <x:v>Francia</x:v>
      </x:c>
      <x:c r="I2" t="str">
        <x:v>90 minutos</x:v>
      </x:c>
      <x:c r="J2" t="n">
        <x:v>2</x:v>
      </x:c>
      <x:c r="K2" t="n">
        <x:v>0</x:v>
      </x:c>
      <x:c r="L2" t="str">
        <x:v>Francia</x:v>
      </x:c>
      <x:c r="M2" t="str">
        <x:v>90 minutos</x:v>
      </x:c>
      <x:c r="N2" t="n">
        <x:f>IF(AND(AND(ISNUMBER($F2),ISNUMBER($G2),$H2=$L2),IF($I2="90 minutos",IF($F2&gt;$G2,"A",IF($G2&gt;$F2,"B","E")),"E")=IF($M2="90 minutos",IF($J2&gt;$K2,"A",IF($K2&gt;$J2,"B","E")),"E")),Reglas!$B$2,0)</x:f>
        <x:v>5</x:v>
      </x:c>
      <x:c r="O2" t="n">
        <x:f>IF(AND(ISNUMBER($F2),ISNUMBER($G2),$H2=$L2),Reglas!$B$3,0)</x:f>
        <x:v>3</x:v>
      </x:c>
      <x:c r="P2" t="n">
        <x:f>IF(AND(AND(ISNUMBER($F2),ISNUMBER($G2),$H2=$L2),$I2=$M2),Reglas!$B$4,0)</x:f>
        <x:v>2</x:v>
      </x:c>
      <x:c r="Q2" t="n">
        <x:f>IF(AND(AND(AND(ISNUMBER($F2),ISNUMBER($G2),$H2=$L2),$I2=$M2,NOT(AND($I2="Penales",$F2&lt;&gt;$G2))),$F2=$J2,$G2=$K2),Reglas!$B$5,0)</x:f>
        <x:v>0</x:v>
      </x:c>
      <x:c r="R2" t="n">
        <x:f>IF(AND(AND(AND(ISNUMBER($F2),ISNUMBER($G2),$H2=$L2),$I2=$M2,NOT(AND($I2="Penales",$F2&lt;&gt;$G2))),$F2-$G2=$J2-$K2),Reglas!$B$6,0)</x:f>
        <x:v>0</x:v>
      </x:c>
      <x:c r="S2" t="n">
        <x:f>IF(AND(AND(AND(ISNUMBER($F2),ISNUMBER($G2),$H2=$L2),$I2=$M2,NOT(AND($I2="Penales",$F2&lt;&gt;$G2))),$F2=$J2),Reglas!$B$7,0)</x:f>
        <x:v>0</x:v>
      </x:c>
      <x:c r="T2" t="n">
        <x:f>IF(AND(AND(AND(ISNUMBER($F2),ISNUMBER($G2),$H2=$L2),$I2=$M2,NOT(AND($I2="Penales",$F2&lt;&gt;$G2))),$G2=$K2),Reglas!$B$8,0)</x:f>
        <x:v>1</x:v>
      </x:c>
      <x:c r="U2" t="n">
        <x:f>SUM(N2:T2)</x:f>
        <x:v>11</x:v>
      </x:c>
      <x:c r="V2" t="str">
        <x:f>IF($W2="Sin respuesta","Sin envio",IF($U2&gt;0,"OK","Sin puntos"))</x:f>
        <x:v>OK</x:v>
      </x:c>
      <x:c r="W2" t="str">
        <x:v>Google Forms</x:v>
      </x:c>
    </x:row>
    <x:row r="3" ht="15" hidden="0" customHeight="1">
      <x:c r="A3" t="str">
        <x:v>4tos</x:v>
      </x:c>
      <x:c r="B3" t="str">
        <x:v>QF2</x:v>
      </x:c>
      <x:c r="C3" t="str">
        <x:v>Freddy</x:v>
      </x:c>
      <x:c r="D3" t="str">
        <x:v>España</x:v>
      </x:c>
      <x:c r="E3" t="str">
        <x:v>Bélgica</x:v>
      </x:c>
      <x:c r="F3" t="n">
        <x:v>2</x:v>
      </x:c>
      <x:c r="G3" t="n">
        <x:v>1</x:v>
      </x:c>
      <x:c r="H3" t="str">
        <x:v>España</x:v>
      </x:c>
      <x:c r="I3" t="str">
        <x:v>90 minutos</x:v>
      </x:c>
      <x:c r="J3" t="n">
        <x:v>2</x:v>
      </x:c>
      <x:c r="K3" t="n">
        <x:v>1</x:v>
      </x:c>
      <x:c r="L3" t="str">
        <x:v>España</x:v>
      </x:c>
      <x:c r="M3" t="str">
        <x:v>90 minutos</x:v>
      </x:c>
      <x:c r="N3" t="n">
        <x:f>IF(AND(AND(ISNUMBER($F3),ISNUMBER($G3),$H3=$L3),IF($I3="90 minutos",IF($F3&gt;$G3,"A",IF($G3&gt;$F3,"B","E")),"E")=IF($M3="90 minutos",IF($J3&gt;$K3,"A",IF($K3&gt;$J3,"B","E")),"E")),Reglas!$B$2,0)</x:f>
        <x:v>5</x:v>
      </x:c>
      <x:c r="O3" t="n">
        <x:f>IF(AND(ISNUMBER($F3),ISNUMBER($G3),$H3=$L3),Reglas!$B$3,0)</x:f>
        <x:v>3</x:v>
      </x:c>
      <x:c r="P3" t="n">
        <x:f>IF(AND(AND(ISNUMBER($F3),ISNUMBER($G3),$H3=$L3),$I3=$M3),Reglas!$B$4,0)</x:f>
        <x:v>2</x:v>
      </x:c>
      <x:c r="Q3" t="n">
        <x:f>IF(AND(AND(AND(ISNUMBER($F3),ISNUMBER($G3),$H3=$L3),$I3=$M3,NOT(AND($I3="Penales",$F3&lt;&gt;$G3))),$F3=$J3,$G3=$K3),Reglas!$B$5,0)</x:f>
        <x:v>4</x:v>
      </x:c>
      <x:c r="R3" t="n">
        <x:f>IF(AND(AND(AND(ISNUMBER($F3),ISNUMBER($G3),$H3=$L3),$I3=$M3,NOT(AND($I3="Penales",$F3&lt;&gt;$G3))),$F3-$G3=$J3-$K3),Reglas!$B$6,0)</x:f>
        <x:v>2</x:v>
      </x:c>
      <x:c r="S3" t="n">
        <x:f>IF(AND(AND(AND(ISNUMBER($F3),ISNUMBER($G3),$H3=$L3),$I3=$M3,NOT(AND($I3="Penales",$F3&lt;&gt;$G3))),$F3=$J3),Reglas!$B$7,0)</x:f>
        <x:v>1</x:v>
      </x:c>
      <x:c r="T3" t="n">
        <x:f>IF(AND(AND(AND(ISNUMBER($F3),ISNUMBER($G3),$H3=$L3),$I3=$M3,NOT(AND($I3="Penales",$F3&lt;&gt;$G3))),$G3=$K3),Reglas!$B$8,0)</x:f>
        <x:v>1</x:v>
      </x:c>
      <x:c r="U3" t="n">
        <x:f>SUM(N3:T3)</x:f>
        <x:v>18</x:v>
      </x:c>
      <x:c r="V3" t="str">
        <x:f>IF($W3="Sin respuesta","Sin envio",IF($U3&gt;0,"OK","Sin puntos"))</x:f>
        <x:v>OK</x:v>
      </x:c>
      <x:c r="W3" t="str">
        <x:v>Google Forms</x:v>
      </x:c>
    </x:row>
    <x:row r="4" ht="15" hidden="0" customHeight="1">
      <x:c r="A4" t="str">
        <x:v>4tos</x:v>
      </x:c>
      <x:c r="B4" t="str">
        <x:v>QF3</x:v>
      </x:c>
      <x:c r="C4" t="str">
        <x:v>Freddy</x:v>
      </x:c>
      <x:c r="D4" t="str">
        <x:v>Noruega</x:v>
      </x:c>
      <x:c r="E4" t="str">
        <x:v>Inglaterra</x:v>
      </x:c>
      <x:c r="F4" t="n">
        <x:v>1</x:v>
      </x:c>
      <x:c r="G4" t="n">
        <x:v>2</x:v>
      </x:c>
      <x:c r="H4" t="str">
        <x:v>Inglaterra</x:v>
      </x:c>
      <x:c r="I4" t="str">
        <x:v>90 minutos</x:v>
      </x:c>
      <x:c r="J4" t="n">
        <x:v>1</x:v>
      </x:c>
      <x:c r="K4" t="n">
        <x:v>2</x:v>
      </x:c>
      <x:c r="L4" t="str">
        <x:v>Inglaterra</x:v>
      </x:c>
      <x:c r="M4" t="str">
        <x:v>Suplementario</x:v>
      </x:c>
      <x:c r="N4" t="n">
        <x:f>IF(AND(AND(ISNUMBER($F4),ISNUMBER($G4),$H4=$L4),IF($I4="90 minutos",IF($F4&gt;$G4,"A",IF($G4&gt;$F4,"B","E")),"E")=IF($M4="90 minutos",IF($J4&gt;$K4,"A",IF($K4&gt;$J4,"B","E")),"E")),Reglas!$B$2,0)</x:f>
        <x:v>0</x:v>
      </x:c>
      <x:c r="O4" t="n">
        <x:f>IF(AND(ISNUMBER($F4),ISNUMBER($G4),$H4=$L4),Reglas!$B$3,0)</x:f>
        <x:v>3</x:v>
      </x:c>
      <x:c r="P4" t="n">
        <x:f>IF(AND(AND(ISNUMBER($F4),ISNUMBER($G4),$H4=$L4),$I4=$M4),Reglas!$B$4,0)</x:f>
        <x:v>0</x:v>
      </x:c>
      <x:c r="Q4" t="n">
        <x:f>IF(AND(AND(AND(ISNUMBER($F4),ISNUMBER($G4),$H4=$L4),$I4=$M4,NOT(AND($I4="Penales",$F4&lt;&gt;$G4))),$F4=$J4,$G4=$K4),Reglas!$B$5,0)</x:f>
        <x:v>0</x:v>
      </x:c>
      <x:c r="R4" t="n">
        <x:f>IF(AND(AND(AND(ISNUMBER($F4),ISNUMBER($G4),$H4=$L4),$I4=$M4,NOT(AND($I4="Penales",$F4&lt;&gt;$G4))),$F4-$G4=$J4-$K4),Reglas!$B$6,0)</x:f>
        <x:v>0</x:v>
      </x:c>
      <x:c r="S4" t="n">
        <x:f>IF(AND(AND(AND(ISNUMBER($F4),ISNUMBER($G4),$H4=$L4),$I4=$M4,NOT(AND($I4="Penales",$F4&lt;&gt;$G4))),$F4=$J4),Reglas!$B$7,0)</x:f>
        <x:v>0</x:v>
      </x:c>
      <x:c r="T4" t="n">
        <x:f>IF(AND(AND(AND(ISNUMBER($F4),ISNUMBER($G4),$H4=$L4),$I4=$M4,NOT(AND($I4="Penales",$F4&lt;&gt;$G4))),$G4=$K4),Reglas!$B$8,0)</x:f>
        <x:v>0</x:v>
      </x:c>
      <x:c r="U4" t="n">
        <x:f>SUM(N4:T4)</x:f>
        <x:v>3</x:v>
      </x:c>
      <x:c r="V4" t="str">
        <x:f>IF($W4="Sin respuesta","Sin envio",IF($U4&gt;0,"OK","Sin puntos"))</x:f>
        <x:v>OK</x:v>
      </x:c>
      <x:c r="W4" t="str">
        <x:v>Google Forms</x:v>
      </x:c>
    </x:row>
    <x:row r="5" ht="15" hidden="0" customHeight="1">
      <x:c r="A5" t="str">
        <x:v>4tos</x:v>
      </x:c>
      <x:c r="B5" t="str">
        <x:v>QF4</x:v>
      </x:c>
      <x:c r="C5" t="str">
        <x:v>Freddy</x:v>
      </x:c>
      <x:c r="D5" t="str">
        <x:v>Argentina</x:v>
      </x:c>
      <x:c r="E5" t="str">
        <x:v>Suiza</x:v>
      </x:c>
      <x:c r="F5" t="n">
        <x:v>1</x:v>
      </x:c>
      <x:c r="G5" t="n">
        <x:v>0</x:v>
      </x:c>
      <x:c r="H5" t="str">
        <x:v>Argentina</x:v>
      </x:c>
      <x:c r="I5" t="str">
        <x:v>90 minutos</x:v>
      </x:c>
      <x:c r="J5" t="n">
        <x:v>3</x:v>
      </x:c>
      <x:c r="K5" t="n">
        <x:v>1</x:v>
      </x:c>
      <x:c r="L5" t="str">
        <x:v>Argentina</x:v>
      </x:c>
      <x:c r="M5" t="str">
        <x:v>Suplementario</x:v>
      </x:c>
      <x:c r="N5" t="n">
        <x:f>IF(AND(AND(ISNUMBER($F5),ISNUMBER($G5),$H5=$L5),IF($I5="90 minutos",IF($F5&gt;$G5,"A",IF($G5&gt;$F5,"B","E")),"E")=IF($M5="90 minutos",IF($J5&gt;$K5,"A",IF($K5&gt;$J5,"B","E")),"E")),Reglas!$B$2,0)</x:f>
        <x:v>0</x:v>
      </x:c>
      <x:c r="O5" t="n">
        <x:f>IF(AND(ISNUMBER($F5),ISNUMBER($G5),$H5=$L5),Reglas!$B$3,0)</x:f>
        <x:v>3</x:v>
      </x:c>
      <x:c r="P5" t="n">
        <x:f>IF(AND(AND(ISNUMBER($F5),ISNUMBER($G5),$H5=$L5),$I5=$M5),Reglas!$B$4,0)</x:f>
        <x:v>0</x:v>
      </x:c>
      <x:c r="Q5" t="n">
        <x:f>IF(AND(AND(AND(ISNUMBER($F5),ISNUMBER($G5),$H5=$L5),$I5=$M5,NOT(AND($I5="Penales",$F5&lt;&gt;$G5))),$F5=$J5,$G5=$K5),Reglas!$B$5,0)</x:f>
        <x:v>0</x:v>
      </x:c>
      <x:c r="R5" t="n">
        <x:f>IF(AND(AND(AND(ISNUMBER($F5),ISNUMBER($G5),$H5=$L5),$I5=$M5,NOT(AND($I5="Penales",$F5&lt;&gt;$G5))),$F5-$G5=$J5-$K5),Reglas!$B$6,0)</x:f>
        <x:v>0</x:v>
      </x:c>
      <x:c r="S5" t="n">
        <x:f>IF(AND(AND(AND(ISNUMBER($F5),ISNUMBER($G5),$H5=$L5),$I5=$M5,NOT(AND($I5="Penales",$F5&lt;&gt;$G5))),$F5=$J5),Reglas!$B$7,0)</x:f>
        <x:v>0</x:v>
      </x:c>
      <x:c r="T5" t="n">
        <x:f>IF(AND(AND(AND(ISNUMBER($F5),ISNUMBER($G5),$H5=$L5),$I5=$M5,NOT(AND($I5="Penales",$F5&lt;&gt;$G5))),$G5=$K5),Reglas!$B$8,0)</x:f>
        <x:v>0</x:v>
      </x:c>
      <x:c r="U5" t="n">
        <x:f>SUM(N5:T5)</x:f>
        <x:v>3</x:v>
      </x:c>
      <x:c r="V5" t="str">
        <x:f>IF($W5="Sin respuesta","Sin envio",IF($U5&gt;0,"OK","Sin puntos"))</x:f>
        <x:v>OK</x:v>
      </x:c>
      <x:c r="W5" t="str">
        <x:v>Google Forms</x:v>
      </x:c>
    </x:row>
    <x:row r="6" ht="15" hidden="0" customHeight="1">
      <x:c r="A6" t="str">
        <x:v>4tos</x:v>
      </x:c>
      <x:c r="B6" t="str">
        <x:v>QF1</x:v>
      </x:c>
      <x:c r="C6" t="str">
        <x:v>Gabriela</x:v>
      </x:c>
      <x:c r="D6" t="str">
        <x:v>Francia</x:v>
      </x:c>
      <x:c r="E6" t="str">
        <x:v>Marruecos</x:v>
      </x:c>
      <x:c r="F6" t="n">
        <x:v>3</x:v>
      </x:c>
      <x:c r="G6" t="n">
        <x:v>2</x:v>
      </x:c>
      <x:c r="H6" t="str">
        <x:v>Francia</x:v>
      </x:c>
      <x:c r="I6" t="str">
        <x:v>Suplementario</x:v>
      </x:c>
      <x:c r="J6" t="n">
        <x:v>2</x:v>
      </x:c>
      <x:c r="K6" t="n">
        <x:v>0</x:v>
      </x:c>
      <x:c r="L6" t="str">
        <x:v>Francia</x:v>
      </x:c>
      <x:c r="M6" t="str">
        <x:v>90 minutos</x:v>
      </x:c>
      <x:c r="N6" t="n">
        <x:f>IF(AND(AND(ISNUMBER($F6),ISNUMBER($G6),$H6=$L6),IF($I6="90 minutos",IF($F6&gt;$G6,"A",IF($G6&gt;$F6,"B","E")),"E")=IF($M6="90 minutos",IF($J6&gt;$K6,"A",IF($K6&gt;$J6,"B","E")),"E")),Reglas!$B$2,0)</x:f>
        <x:v>0</x:v>
      </x:c>
      <x:c r="O6" t="n">
        <x:f>IF(AND(ISNUMBER($F6),ISNUMBER($G6),$H6=$L6),Reglas!$B$3,0)</x:f>
        <x:v>3</x:v>
      </x:c>
      <x:c r="P6" t="n">
        <x:f>IF(AND(AND(ISNUMBER($F6),ISNUMBER($G6),$H6=$L6),$I6=$M6),Reglas!$B$4,0)</x:f>
        <x:v>0</x:v>
      </x:c>
      <x:c r="Q6" t="n">
        <x:f>IF(AND(AND(AND(ISNUMBER($F6),ISNUMBER($G6),$H6=$L6),$I6=$M6,NOT(AND($I6="Penales",$F6&lt;&gt;$G6))),$F6=$J6,$G6=$K6),Reglas!$B$5,0)</x:f>
        <x:v>0</x:v>
      </x:c>
      <x:c r="R6" t="n">
        <x:f>IF(AND(AND(AND(ISNUMBER($F6),ISNUMBER($G6),$H6=$L6),$I6=$M6,NOT(AND($I6="Penales",$F6&lt;&gt;$G6))),$F6-$G6=$J6-$K6),Reglas!$B$6,0)</x:f>
        <x:v>0</x:v>
      </x:c>
      <x:c r="S6" t="n">
        <x:f>IF(AND(AND(AND(ISNUMBER($F6),ISNUMBER($G6),$H6=$L6),$I6=$M6,NOT(AND($I6="Penales",$F6&lt;&gt;$G6))),$F6=$J6),Reglas!$B$7,0)</x:f>
        <x:v>0</x:v>
      </x:c>
      <x:c r="T6" t="n">
        <x:f>IF(AND(AND(AND(ISNUMBER($F6),ISNUMBER($G6),$H6=$L6),$I6=$M6,NOT(AND($I6="Penales",$F6&lt;&gt;$G6))),$G6=$K6),Reglas!$B$8,0)</x:f>
        <x:v>0</x:v>
      </x:c>
      <x:c r="U6" t="n">
        <x:f>SUM(N6:T6)</x:f>
        <x:v>3</x:v>
      </x:c>
      <x:c r="V6" t="str">
        <x:f>IF($W6="Sin respuesta","Sin envio",IF($U6&gt;0,"OK","Sin puntos"))</x:f>
        <x:v>OK</x:v>
      </x:c>
      <x:c r="W6" t="str">
        <x:v>Google Forms</x:v>
      </x:c>
    </x:row>
    <x:row r="7" ht="15" hidden="0" customHeight="1">
      <x:c r="A7" t="str">
        <x:v>4tos</x:v>
      </x:c>
      <x:c r="B7" t="str">
        <x:v>QF2</x:v>
      </x:c>
      <x:c r="C7" t="str">
        <x:v>Gabriela</x:v>
      </x:c>
      <x:c r="D7" t="str">
        <x:v>España</x:v>
      </x:c>
      <x:c r="E7" t="str">
        <x:v>Bélgica</x:v>
      </x:c>
      <x:c r="F7" t="n">
        <x:v>2</x:v>
      </x:c>
      <x:c r="G7" t="n">
        <x:v>0</x:v>
      </x:c>
      <x:c r="H7" t="str">
        <x:v>España</x:v>
      </x:c>
      <x:c r="I7" t="str">
        <x:v>90 minutos</x:v>
      </x:c>
      <x:c r="J7" t="n">
        <x:v>2</x:v>
      </x:c>
      <x:c r="K7" t="n">
        <x:v>1</x:v>
      </x:c>
      <x:c r="L7" t="str">
        <x:v>España</x:v>
      </x:c>
      <x:c r="M7" t="str">
        <x:v>90 minutos</x:v>
      </x:c>
      <x:c r="N7" t="n">
        <x:f>IF(AND(AND(ISNUMBER($F7),ISNUMBER($G7),$H7=$L7),IF($I7="90 minutos",IF($F7&gt;$G7,"A",IF($G7&gt;$F7,"B","E")),"E")=IF($M7="90 minutos",IF($J7&gt;$K7,"A",IF($K7&gt;$J7,"B","E")),"E")),Reglas!$B$2,0)</x:f>
        <x:v>5</x:v>
      </x:c>
      <x:c r="O7" t="n">
        <x:f>IF(AND(ISNUMBER($F7),ISNUMBER($G7),$H7=$L7),Reglas!$B$3,0)</x:f>
        <x:v>3</x:v>
      </x:c>
      <x:c r="P7" t="n">
        <x:f>IF(AND(AND(ISNUMBER($F7),ISNUMBER($G7),$H7=$L7),$I7=$M7),Reglas!$B$4,0)</x:f>
        <x:v>2</x:v>
      </x:c>
      <x:c r="Q7" t="n">
        <x:f>IF(AND(AND(AND(ISNUMBER($F7),ISNUMBER($G7),$H7=$L7),$I7=$M7,NOT(AND($I7="Penales",$F7&lt;&gt;$G7))),$F7=$J7,$G7=$K7),Reglas!$B$5,0)</x:f>
        <x:v>0</x:v>
      </x:c>
      <x:c r="R7" t="n">
        <x:f>IF(AND(AND(AND(ISNUMBER($F7),ISNUMBER($G7),$H7=$L7),$I7=$M7,NOT(AND($I7="Penales",$F7&lt;&gt;$G7))),$F7-$G7=$J7-$K7),Reglas!$B$6,0)</x:f>
        <x:v>0</x:v>
      </x:c>
      <x:c r="S7" t="n">
        <x:f>IF(AND(AND(AND(ISNUMBER($F7),ISNUMBER($G7),$H7=$L7),$I7=$M7,NOT(AND($I7="Penales",$F7&lt;&gt;$G7))),$F7=$J7),Reglas!$B$7,0)</x:f>
        <x:v>1</x:v>
      </x:c>
      <x:c r="T7" t="n">
        <x:f>IF(AND(AND(AND(ISNUMBER($F7),ISNUMBER($G7),$H7=$L7),$I7=$M7,NOT(AND($I7="Penales",$F7&lt;&gt;$G7))),$G7=$K7),Reglas!$B$8,0)</x:f>
        <x:v>0</x:v>
      </x:c>
      <x:c r="U7" t="n">
        <x:f>SUM(N7:T7)</x:f>
        <x:v>11</x:v>
      </x:c>
      <x:c r="V7" t="str">
        <x:f>IF($W7="Sin respuesta","Sin envio",IF($U7&gt;0,"OK","Sin puntos"))</x:f>
        <x:v>OK</x:v>
      </x:c>
      <x:c r="W7" t="str">
        <x:v>Google Forms</x:v>
      </x:c>
    </x:row>
    <x:row r="8" ht="15" hidden="0" customHeight="1">
      <x:c r="A8" t="str">
        <x:v>4tos</x:v>
      </x:c>
      <x:c r="B8" t="str">
        <x:v>QF3</x:v>
      </x:c>
      <x:c r="C8" t="str">
        <x:v>Gabriela</x:v>
      </x:c>
      <x:c r="D8" t="str">
        <x:v>Noruega</x:v>
      </x:c>
      <x:c r="E8" t="str">
        <x:v>Inglaterra</x:v>
      </x:c>
      <x:c r="F8" t="n">
        <x:v>2</x:v>
      </x:c>
      <x:c r="G8" t="n">
        <x:v>2</x:v>
      </x:c>
      <x:c r="H8" t="str">
        <x:v>Noruega</x:v>
      </x:c>
      <x:c r="I8" t="str">
        <x:v>Penales</x:v>
      </x:c>
      <x:c r="J8" t="n">
        <x:v>1</x:v>
      </x:c>
      <x:c r="K8" t="n">
        <x:v>2</x:v>
      </x:c>
      <x:c r="L8" t="str">
        <x:v>Inglaterra</x:v>
      </x:c>
      <x:c r="M8" t="str">
        <x:v>Suplementario</x:v>
      </x:c>
      <x:c r="N8" t="n">
        <x:f>IF(AND(AND(ISNUMBER($F8),ISNUMBER($G8),$H8=$L8),IF($I8="90 minutos",IF($F8&gt;$G8,"A",IF($G8&gt;$F8,"B","E")),"E")=IF($M8="90 minutos",IF($J8&gt;$K8,"A",IF($K8&gt;$J8,"B","E")),"E")),Reglas!$B$2,0)</x:f>
        <x:v>0</x:v>
      </x:c>
      <x:c r="O8" t="n">
        <x:f>IF(AND(ISNUMBER($F8),ISNUMBER($G8),$H8=$L8),Reglas!$B$3,0)</x:f>
        <x:v>0</x:v>
      </x:c>
      <x:c r="P8" t="n">
        <x:f>IF(AND(AND(ISNUMBER($F8),ISNUMBER($G8),$H8=$L8),$I8=$M8),Reglas!$B$4,0)</x:f>
        <x:v>0</x:v>
      </x:c>
      <x:c r="Q8" t="n">
        <x:f>IF(AND(AND(AND(ISNUMBER($F8),ISNUMBER($G8),$H8=$L8),$I8=$M8,NOT(AND($I8="Penales",$F8&lt;&gt;$G8))),$F8=$J8,$G8=$K8),Reglas!$B$5,0)</x:f>
        <x:v>0</x:v>
      </x:c>
      <x:c r="R8" t="n">
        <x:f>IF(AND(AND(AND(ISNUMBER($F8),ISNUMBER($G8),$H8=$L8),$I8=$M8,NOT(AND($I8="Penales",$F8&lt;&gt;$G8))),$F8-$G8=$J8-$K8),Reglas!$B$6,0)</x:f>
        <x:v>0</x:v>
      </x:c>
      <x:c r="S8" t="n">
        <x:f>IF(AND(AND(AND(ISNUMBER($F8),ISNUMBER($G8),$H8=$L8),$I8=$M8,NOT(AND($I8="Penales",$F8&lt;&gt;$G8))),$F8=$J8),Reglas!$B$7,0)</x:f>
        <x:v>0</x:v>
      </x:c>
      <x:c r="T8" t="n">
        <x:f>IF(AND(AND(AND(ISNUMBER($F8),ISNUMBER($G8),$H8=$L8),$I8=$M8,NOT(AND($I8="Penales",$F8&lt;&gt;$G8))),$G8=$K8),Reglas!$B$8,0)</x:f>
        <x:v>0</x:v>
      </x:c>
      <x:c r="U8" t="n">
        <x:f>SUM(N8:T8)</x:f>
        <x:v>0</x:v>
      </x:c>
      <x:c r="V8" t="str">
        <x:f>IF($W8="Sin respuesta","Sin envio",IF($U8&gt;0,"OK","Sin puntos"))</x:f>
        <x:v>Sin puntos</x:v>
      </x:c>
      <x:c r="W8" t="str">
        <x:v>Google Forms</x:v>
      </x:c>
    </x:row>
    <x:row r="9" ht="15" hidden="0" customHeight="1">
      <x:c r="A9" t="str">
        <x:v>4tos</x:v>
      </x:c>
      <x:c r="B9" t="str">
        <x:v>QF4</x:v>
      </x:c>
      <x:c r="C9" t="str">
        <x:v>Gabriela</x:v>
      </x:c>
      <x:c r="D9" t="str">
        <x:v>Argentina</x:v>
      </x:c>
      <x:c r="E9" t="str">
        <x:v>Suiza</x:v>
      </x:c>
      <x:c r="F9" t="n">
        <x:v>2</x:v>
      </x:c>
      <x:c r="G9" t="n">
        <x:v>2</x:v>
      </x:c>
      <x:c r="H9" t="str">
        <x:v>Suiza</x:v>
      </x:c>
      <x:c r="I9" t="str">
        <x:v>Penales</x:v>
      </x:c>
      <x:c r="J9" t="n">
        <x:v>3</x:v>
      </x:c>
      <x:c r="K9" t="n">
        <x:v>1</x:v>
      </x:c>
      <x:c r="L9" t="str">
        <x:v>Argentina</x:v>
      </x:c>
      <x:c r="M9" t="str">
        <x:v>Suplementario</x:v>
      </x:c>
      <x:c r="N9" t="n">
        <x:f>IF(AND(AND(ISNUMBER($F9),ISNUMBER($G9),$H9=$L9),IF($I9="90 minutos",IF($F9&gt;$G9,"A",IF($G9&gt;$F9,"B","E")),"E")=IF($M9="90 minutos",IF($J9&gt;$K9,"A",IF($K9&gt;$J9,"B","E")),"E")),Reglas!$B$2,0)</x:f>
        <x:v>0</x:v>
      </x:c>
      <x:c r="O9" t="n">
        <x:f>IF(AND(ISNUMBER($F9),ISNUMBER($G9),$H9=$L9),Reglas!$B$3,0)</x:f>
        <x:v>0</x:v>
      </x:c>
      <x:c r="P9" t="n">
        <x:f>IF(AND(AND(ISNUMBER($F9),ISNUMBER($G9),$H9=$L9),$I9=$M9),Reglas!$B$4,0)</x:f>
        <x:v>0</x:v>
      </x:c>
      <x:c r="Q9" t="n">
        <x:f>IF(AND(AND(AND(ISNUMBER($F9),ISNUMBER($G9),$H9=$L9),$I9=$M9,NOT(AND($I9="Penales",$F9&lt;&gt;$G9))),$F9=$J9,$G9=$K9),Reglas!$B$5,0)</x:f>
        <x:v>0</x:v>
      </x:c>
      <x:c r="R9" t="n">
        <x:f>IF(AND(AND(AND(ISNUMBER($F9),ISNUMBER($G9),$H9=$L9),$I9=$M9,NOT(AND($I9="Penales",$F9&lt;&gt;$G9))),$F9-$G9=$J9-$K9),Reglas!$B$6,0)</x:f>
        <x:v>0</x:v>
      </x:c>
      <x:c r="S9" t="n">
        <x:f>IF(AND(AND(AND(ISNUMBER($F9),ISNUMBER($G9),$H9=$L9),$I9=$M9,NOT(AND($I9="Penales",$F9&lt;&gt;$G9))),$F9=$J9),Reglas!$B$7,0)</x:f>
        <x:v>0</x:v>
      </x:c>
      <x:c r="T9" t="n">
        <x:f>IF(AND(AND(AND(ISNUMBER($F9),ISNUMBER($G9),$H9=$L9),$I9=$M9,NOT(AND($I9="Penales",$F9&lt;&gt;$G9))),$G9=$K9),Reglas!$B$8,0)</x:f>
        <x:v>0</x:v>
      </x:c>
      <x:c r="U9" t="n">
        <x:f>SUM(N9:T9)</x:f>
        <x:v>0</x:v>
      </x:c>
      <x:c r="V9" t="str">
        <x:f>IF($W9="Sin respuesta","Sin envio",IF($U9&gt;0,"OK","Sin puntos"))</x:f>
        <x:v>Sin puntos</x:v>
      </x:c>
      <x:c r="W9" t="str">
        <x:v>Google Forms</x:v>
      </x:c>
    </x:row>
    <x:row r="10" ht="15" hidden="0" customHeight="1">
      <x:c r="A10" t="str">
        <x:v>4tos</x:v>
      </x:c>
      <x:c r="B10" t="str">
        <x:v>QF1</x:v>
      </x:c>
      <x:c r="C10" t="str">
        <x:v>Jean</x:v>
      </x:c>
      <x:c r="D10" t="str">
        <x:v>Francia</x:v>
      </x:c>
      <x:c r="E10" t="str">
        <x:v>Marruecos</x:v>
      </x:c>
      <x:c r="F10" t="n">
        <x:v>1</x:v>
      </x:c>
      <x:c r="G10" t="n">
        <x:v>0</x:v>
      </x:c>
      <x:c r="H10" t="str">
        <x:v>Francia</x:v>
      </x:c>
      <x:c r="I10" t="str">
        <x:v>90 minutos</x:v>
      </x:c>
      <x:c r="J10" t="n">
        <x:v>2</x:v>
      </x:c>
      <x:c r="K10" t="n">
        <x:v>0</x:v>
      </x:c>
      <x:c r="L10" t="str">
        <x:v>Francia</x:v>
      </x:c>
      <x:c r="M10" t="str">
        <x:v>90 minutos</x:v>
      </x:c>
      <x:c r="N10" t="n">
        <x:f>IF(AND(AND(ISNUMBER($F10),ISNUMBER($G10),$H10=$L10),IF($I10="90 minutos",IF($F10&gt;$G10,"A",IF($G10&gt;$F10,"B","E")),"E")=IF($M10="90 minutos",IF($J10&gt;$K10,"A",IF($K10&gt;$J10,"B","E")),"E")),Reglas!$B$2,0)</x:f>
        <x:v>5</x:v>
      </x:c>
      <x:c r="O10" t="n">
        <x:f>IF(AND(ISNUMBER($F10),ISNUMBER($G10),$H10=$L10),Reglas!$B$3,0)</x:f>
        <x:v>3</x:v>
      </x:c>
      <x:c r="P10" t="n">
        <x:f>IF(AND(AND(ISNUMBER($F10),ISNUMBER($G10),$H10=$L10),$I10=$M10),Reglas!$B$4,0)</x:f>
        <x:v>2</x:v>
      </x:c>
      <x:c r="Q10" t="n">
        <x:f>IF(AND(AND(AND(ISNUMBER($F10),ISNUMBER($G10),$H10=$L10),$I10=$M10,NOT(AND($I10="Penales",$F10&lt;&gt;$G10))),$F10=$J10,$G10=$K10),Reglas!$B$5,0)</x:f>
        <x:v>0</x:v>
      </x:c>
      <x:c r="R10" t="n">
        <x:f>IF(AND(AND(AND(ISNUMBER($F10),ISNUMBER($G10),$H10=$L10),$I10=$M10,NOT(AND($I10="Penales",$F10&lt;&gt;$G10))),$F10-$G10=$J10-$K10),Reglas!$B$6,0)</x:f>
        <x:v>0</x:v>
      </x:c>
      <x:c r="S10" t="n">
        <x:f>IF(AND(AND(AND(ISNUMBER($F10),ISNUMBER($G10),$H10=$L10),$I10=$M10,NOT(AND($I10="Penales",$F10&lt;&gt;$G10))),$F10=$J10),Reglas!$B$7,0)</x:f>
        <x:v>0</x:v>
      </x:c>
      <x:c r="T10" t="n">
        <x:f>IF(AND(AND(AND(ISNUMBER($F10),ISNUMBER($G10),$H10=$L10),$I10=$M10,NOT(AND($I10="Penales",$F10&lt;&gt;$G10))),$G10=$K10),Reglas!$B$8,0)</x:f>
        <x:v>1</x:v>
      </x:c>
      <x:c r="U10" t="n">
        <x:f>SUM(N10:T10)</x:f>
        <x:v>11</x:v>
      </x:c>
      <x:c r="V10" t="str">
        <x:f>IF($W10="Sin respuesta","Sin envio",IF($U10&gt;0,"OK","Sin puntos"))</x:f>
        <x:v>OK</x:v>
      </x:c>
      <x:c r="W10" t="str">
        <x:v>Google Forms</x:v>
      </x:c>
    </x:row>
    <x:row r="11" ht="15" hidden="0" customHeight="1">
      <x:c r="A11" t="str">
        <x:v>4tos</x:v>
      </x:c>
      <x:c r="B11" t="str">
        <x:v>QF2</x:v>
      </x:c>
      <x:c r="C11" t="str">
        <x:v>Jean</x:v>
      </x:c>
      <x:c r="D11" t="str">
        <x:v>España</x:v>
      </x:c>
      <x:c r="E11" t="str">
        <x:v>Bélgica</x:v>
      </x:c>
      <x:c r="F11" t="n">
        <x:v>1</x:v>
      </x:c>
      <x:c r="G11" t="n">
        <x:v>0</x:v>
      </x:c>
      <x:c r="H11" t="str">
        <x:v>España</x:v>
      </x:c>
      <x:c r="I11" t="str">
        <x:v>90 minutos</x:v>
      </x:c>
      <x:c r="J11" t="n">
        <x:v>2</x:v>
      </x:c>
      <x:c r="K11" t="n">
        <x:v>1</x:v>
      </x:c>
      <x:c r="L11" t="str">
        <x:v>España</x:v>
      </x:c>
      <x:c r="M11" t="str">
        <x:v>90 minutos</x:v>
      </x:c>
      <x:c r="N11" t="n">
        <x:f>IF(AND(AND(ISNUMBER($F11),ISNUMBER($G11),$H11=$L11),IF($I11="90 minutos",IF($F11&gt;$G11,"A",IF($G11&gt;$F11,"B","E")),"E")=IF($M11="90 minutos",IF($J11&gt;$K11,"A",IF($K11&gt;$J11,"B","E")),"E")),Reglas!$B$2,0)</x:f>
        <x:v>5</x:v>
      </x:c>
      <x:c r="O11" t="n">
        <x:f>IF(AND(ISNUMBER($F11),ISNUMBER($G11),$H11=$L11),Reglas!$B$3,0)</x:f>
        <x:v>3</x:v>
      </x:c>
      <x:c r="P11" t="n">
        <x:f>IF(AND(AND(ISNUMBER($F11),ISNUMBER($G11),$H11=$L11),$I11=$M11),Reglas!$B$4,0)</x:f>
        <x:v>2</x:v>
      </x:c>
      <x:c r="Q11" t="n">
        <x:f>IF(AND(AND(AND(ISNUMBER($F11),ISNUMBER($G11),$H11=$L11),$I11=$M11,NOT(AND($I11="Penales",$F11&lt;&gt;$G11))),$F11=$J11,$G11=$K11),Reglas!$B$5,0)</x:f>
        <x:v>0</x:v>
      </x:c>
      <x:c r="R11" t="n">
        <x:f>IF(AND(AND(AND(ISNUMBER($F11),ISNUMBER($G11),$H11=$L11),$I11=$M11,NOT(AND($I11="Penales",$F11&lt;&gt;$G11))),$F11-$G11=$J11-$K11),Reglas!$B$6,0)</x:f>
        <x:v>2</x:v>
      </x:c>
      <x:c r="S11" t="n">
        <x:f>IF(AND(AND(AND(ISNUMBER($F11),ISNUMBER($G11),$H11=$L11),$I11=$M11,NOT(AND($I11="Penales",$F11&lt;&gt;$G11))),$F11=$J11),Reglas!$B$7,0)</x:f>
        <x:v>0</x:v>
      </x:c>
      <x:c r="T11" t="n">
        <x:f>IF(AND(AND(AND(ISNUMBER($F11),ISNUMBER($G11),$H11=$L11),$I11=$M11,NOT(AND($I11="Penales",$F11&lt;&gt;$G11))),$G11=$K11),Reglas!$B$8,0)</x:f>
        <x:v>0</x:v>
      </x:c>
      <x:c r="U11" t="n">
        <x:f>SUM(N11:T11)</x:f>
        <x:v>12</x:v>
      </x:c>
      <x:c r="V11" t="str">
        <x:f>IF($W11="Sin respuesta","Sin envio",IF($U11&gt;0,"OK","Sin puntos"))</x:f>
        <x:v>OK</x:v>
      </x:c>
      <x:c r="W11" t="str">
        <x:v>Google Forms</x:v>
      </x:c>
    </x:row>
    <x:row r="12" ht="15" hidden="0" customHeight="1">
      <x:c r="A12" t="str">
        <x:v>4tos</x:v>
      </x:c>
      <x:c r="B12" t="str">
        <x:v>QF3</x:v>
      </x:c>
      <x:c r="C12" t="str">
        <x:v>Jean</x:v>
      </x:c>
      <x:c r="D12" t="str">
        <x:v>Noruega</x:v>
      </x:c>
      <x:c r="E12" t="str">
        <x:v>Inglaterra</x:v>
      </x:c>
      <x:c r="F12" t="n">
        <x:v>0</x:v>
      </x:c>
      <x:c r="G12" t="n">
        <x:v>2</x:v>
      </x:c>
      <x:c r="H12" t="str">
        <x:v>Inglaterra</x:v>
      </x:c>
      <x:c r="I12" t="str">
        <x:v>90 minutos</x:v>
      </x:c>
      <x:c r="J12" t="n">
        <x:v>1</x:v>
      </x:c>
      <x:c r="K12" t="n">
        <x:v>2</x:v>
      </x:c>
      <x:c r="L12" t="str">
        <x:v>Inglaterra</x:v>
      </x:c>
      <x:c r="M12" t="str">
        <x:v>Suplementario</x:v>
      </x:c>
      <x:c r="N12" t="n">
        <x:f>IF(AND(AND(ISNUMBER($F12),ISNUMBER($G12),$H12=$L12),IF($I12="90 minutos",IF($F12&gt;$G12,"A",IF($G12&gt;$F12,"B","E")),"E")=IF($M12="90 minutos",IF($J12&gt;$K12,"A",IF($K12&gt;$J12,"B","E")),"E")),Reglas!$B$2,0)</x:f>
        <x:v>0</x:v>
      </x:c>
      <x:c r="O12" t="n">
        <x:f>IF(AND(ISNUMBER($F12),ISNUMBER($G12),$H12=$L12),Reglas!$B$3,0)</x:f>
        <x:v>3</x:v>
      </x:c>
      <x:c r="P12" t="n">
        <x:f>IF(AND(AND(ISNUMBER($F12),ISNUMBER($G12),$H12=$L12),$I12=$M12),Reglas!$B$4,0)</x:f>
        <x:v>0</x:v>
      </x:c>
      <x:c r="Q12" t="n">
        <x:f>IF(AND(AND(AND(ISNUMBER($F12),ISNUMBER($G12),$H12=$L12),$I12=$M12,NOT(AND($I12="Penales",$F12&lt;&gt;$G12))),$F12=$J12,$G12=$K12),Reglas!$B$5,0)</x:f>
        <x:v>0</x:v>
      </x:c>
      <x:c r="R12" t="n">
        <x:f>IF(AND(AND(AND(ISNUMBER($F12),ISNUMBER($G12),$H12=$L12),$I12=$M12,NOT(AND($I12="Penales",$F12&lt;&gt;$G12))),$F12-$G12=$J12-$K12),Reglas!$B$6,0)</x:f>
        <x:v>0</x:v>
      </x:c>
      <x:c r="S12" t="n">
        <x:f>IF(AND(AND(AND(ISNUMBER($F12),ISNUMBER($G12),$H12=$L12),$I12=$M12,NOT(AND($I12="Penales",$F12&lt;&gt;$G12))),$F12=$J12),Reglas!$B$7,0)</x:f>
        <x:v>0</x:v>
      </x:c>
      <x:c r="T12" t="n">
        <x:f>IF(AND(AND(AND(ISNUMBER($F12),ISNUMBER($G12),$H12=$L12),$I12=$M12,NOT(AND($I12="Penales",$F12&lt;&gt;$G12))),$G12=$K12),Reglas!$B$8,0)</x:f>
        <x:v>0</x:v>
      </x:c>
      <x:c r="U12" t="n">
        <x:f>SUM(N12:T12)</x:f>
        <x:v>3</x:v>
      </x:c>
      <x:c r="V12" t="str">
        <x:f>IF($W12="Sin respuesta","Sin envio",IF($U12&gt;0,"OK","Sin puntos"))</x:f>
        <x:v>OK</x:v>
      </x:c>
      <x:c r="W12" t="str">
        <x:v>Google Forms</x:v>
      </x:c>
    </x:row>
    <x:row r="13" ht="15" hidden="0" customHeight="1">
      <x:c r="A13" t="str">
        <x:v>4tos</x:v>
      </x:c>
      <x:c r="B13" t="str">
        <x:v>QF4</x:v>
      </x:c>
      <x:c r="C13" t="str">
        <x:v>Jean</x:v>
      </x:c>
      <x:c r="D13" t="str">
        <x:v>Argentina</x:v>
      </x:c>
      <x:c r="E13" t="str">
        <x:v>Suiza</x:v>
      </x:c>
      <x:c r="F13" t="n">
        <x:v>2</x:v>
      </x:c>
      <x:c r="G13" t="n">
        <x:v>0</x:v>
      </x:c>
      <x:c r="H13" t="str">
        <x:v>Argentina</x:v>
      </x:c>
      <x:c r="I13" t="str">
        <x:v>90 minutos</x:v>
      </x:c>
      <x:c r="J13" t="n">
        <x:v>3</x:v>
      </x:c>
      <x:c r="K13" t="n">
        <x:v>1</x:v>
      </x:c>
      <x:c r="L13" t="str">
        <x:v>Argentina</x:v>
      </x:c>
      <x:c r="M13" t="str">
        <x:v>Suplementario</x:v>
      </x:c>
      <x:c r="N13" t="n">
        <x:f>IF(AND(AND(ISNUMBER($F13),ISNUMBER($G13),$H13=$L13),IF($I13="90 minutos",IF($F13&gt;$G13,"A",IF($G13&gt;$F13,"B","E")),"E")=IF($M13="90 minutos",IF($J13&gt;$K13,"A",IF($K13&gt;$J13,"B","E")),"E")),Reglas!$B$2,0)</x:f>
        <x:v>0</x:v>
      </x:c>
      <x:c r="O13" t="n">
        <x:f>IF(AND(ISNUMBER($F13),ISNUMBER($G13),$H13=$L13),Reglas!$B$3,0)</x:f>
        <x:v>3</x:v>
      </x:c>
      <x:c r="P13" t="n">
        <x:f>IF(AND(AND(ISNUMBER($F13),ISNUMBER($G13),$H13=$L13),$I13=$M13),Reglas!$B$4,0)</x:f>
        <x:v>0</x:v>
      </x:c>
      <x:c r="Q13" t="n">
        <x:f>IF(AND(AND(AND(ISNUMBER($F13),ISNUMBER($G13),$H13=$L13),$I13=$M13,NOT(AND($I13="Penales",$F13&lt;&gt;$G13))),$F13=$J13,$G13=$K13),Reglas!$B$5,0)</x:f>
        <x:v>0</x:v>
      </x:c>
      <x:c r="R13" t="n">
        <x:f>IF(AND(AND(AND(ISNUMBER($F13),ISNUMBER($G13),$H13=$L13),$I13=$M13,NOT(AND($I13="Penales",$F13&lt;&gt;$G13))),$F13-$G13=$J13-$K13),Reglas!$B$6,0)</x:f>
        <x:v>0</x:v>
      </x:c>
      <x:c r="S13" t="n">
        <x:f>IF(AND(AND(AND(ISNUMBER($F13),ISNUMBER($G13),$H13=$L13),$I13=$M13,NOT(AND($I13="Penales",$F13&lt;&gt;$G13))),$F13=$J13),Reglas!$B$7,0)</x:f>
        <x:v>0</x:v>
      </x:c>
      <x:c r="T13" t="n">
        <x:f>IF(AND(AND(AND(ISNUMBER($F13),ISNUMBER($G13),$H13=$L13),$I13=$M13,NOT(AND($I13="Penales",$F13&lt;&gt;$G13))),$G13=$K13),Reglas!$B$8,0)</x:f>
        <x:v>0</x:v>
      </x:c>
      <x:c r="U13" t="n">
        <x:f>SUM(N13:T13)</x:f>
        <x:v>3</x:v>
      </x:c>
      <x:c r="V13" t="str">
        <x:f>IF($W13="Sin respuesta","Sin envio",IF($U13&gt;0,"OK","Sin puntos"))</x:f>
        <x:v>OK</x:v>
      </x:c>
      <x:c r="W13" t="str">
        <x:v>Google Forms</x:v>
      </x:c>
    </x:row>
    <x:row r="14" ht="15" hidden="0" customHeight="1">
      <x:c r="A14" t="str">
        <x:v>4tos</x:v>
      </x:c>
      <x:c r="B14" t="str">
        <x:v>QF1</x:v>
      </x:c>
      <x:c r="C14" t="str">
        <x:v>Juan</x:v>
      </x:c>
      <x:c r="D14" t="str">
        <x:v>Francia</x:v>
      </x:c>
      <x:c r="E14" t="str">
        <x:v>Marruecos</x:v>
      </x:c>
      <x:c r="F14"/>
      <x:c r="G14"/>
      <x:c r="H14" t="str">
        <x:v>Sin envio</x:v>
      </x:c>
      <x:c r="I14" t="str">
        <x:v>Sin envio</x:v>
      </x:c>
      <x:c r="J14" t="n">
        <x:v>2</x:v>
      </x:c>
      <x:c r="K14" t="n">
        <x:v>0</x:v>
      </x:c>
      <x:c r="L14" t="str">
        <x:v>Francia</x:v>
      </x:c>
      <x:c r="M14" t="str">
        <x:v>90 minutos</x:v>
      </x:c>
      <x:c r="N14" t="n">
        <x:f>IF(AND(AND(ISNUMBER($F14),ISNUMBER($G14),$H14=$L14),IF($I14="90 minutos",IF($F14&gt;$G14,"A",IF($G14&gt;$F14,"B","E")),"E")=IF($M14="90 minutos",IF($J14&gt;$K14,"A",IF($K14&gt;$J14,"B","E")),"E")),Reglas!$B$2,0)</x:f>
        <x:v>0</x:v>
      </x:c>
      <x:c r="O14" t="n">
        <x:f>IF(AND(ISNUMBER($F14),ISNUMBER($G14),$H14=$L14),Reglas!$B$3,0)</x:f>
        <x:v>0</x:v>
      </x:c>
      <x:c r="P14" t="n">
        <x:f>IF(AND(AND(ISNUMBER($F14),ISNUMBER($G14),$H14=$L14),$I14=$M14),Reglas!$B$4,0)</x:f>
        <x:v>0</x:v>
      </x:c>
      <x:c r="Q14" t="n">
        <x:f>IF(AND(AND(AND(ISNUMBER($F14),ISNUMBER($G14),$H14=$L14),$I14=$M14,NOT(AND($I14="Penales",$F14&lt;&gt;$G14))),$F14=$J14,$G14=$K14),Reglas!$B$5,0)</x:f>
        <x:v>0</x:v>
      </x:c>
      <x:c r="R14" t="n">
        <x:f>IF(AND(AND(AND(ISNUMBER($F14),ISNUMBER($G14),$H14=$L14),$I14=$M14,NOT(AND($I14="Penales",$F14&lt;&gt;$G14))),$F14-$G14=$J14-$K14),Reglas!$B$6,0)</x:f>
        <x:v>0</x:v>
      </x:c>
      <x:c r="S14" t="n">
        <x:f>IF(AND(AND(AND(ISNUMBER($F14),ISNUMBER($G14),$H14=$L14),$I14=$M14,NOT(AND($I14="Penales",$F14&lt;&gt;$G14))),$F14=$J14),Reglas!$B$7,0)</x:f>
        <x:v>0</x:v>
      </x:c>
      <x:c r="T14" t="n">
        <x:f>IF(AND(AND(AND(ISNUMBER($F14),ISNUMBER($G14),$H14=$L14),$I14=$M14,NOT(AND($I14="Penales",$F14&lt;&gt;$G14))),$G14=$K14),Reglas!$B$8,0)</x:f>
        <x:v>0</x:v>
      </x:c>
      <x:c r="U14" t="n">
        <x:f>SUM(N14:T14)</x:f>
        <x:v>0</x:v>
      </x:c>
      <x:c r="V14" t="str">
        <x:f>IF($W14="Sin respuesta","Sin envio",IF($U14&gt;0,"OK","Sin puntos"))</x:f>
        <x:v>Sin envio</x:v>
      </x:c>
      <x:c r="W14" t="str">
        <x:v>Sin respuesta</x:v>
      </x:c>
    </x:row>
    <x:row r="15" ht="15" hidden="0" customHeight="1">
      <x:c r="A15" t="str">
        <x:v>4tos</x:v>
      </x:c>
      <x:c r="B15" t="str">
        <x:v>QF2</x:v>
      </x:c>
      <x:c r="C15" t="str">
        <x:v>Juan</x:v>
      </x:c>
      <x:c r="D15" t="str">
        <x:v>España</x:v>
      </x:c>
      <x:c r="E15" t="str">
        <x:v>Bélgica</x:v>
      </x:c>
      <x:c r="F15"/>
      <x:c r="G15"/>
      <x:c r="H15" t="str">
        <x:v>Sin envio</x:v>
      </x:c>
      <x:c r="I15" t="str">
        <x:v>Sin envio</x:v>
      </x:c>
      <x:c r="J15" t="n">
        <x:v>2</x:v>
      </x:c>
      <x:c r="K15" t="n">
        <x:v>1</x:v>
      </x:c>
      <x:c r="L15" t="str">
        <x:v>España</x:v>
      </x:c>
      <x:c r="M15" t="str">
        <x:v>90 minutos</x:v>
      </x:c>
      <x:c r="N15" t="n">
        <x:f>IF(AND(AND(ISNUMBER($F15),ISNUMBER($G15),$H15=$L15),IF($I15="90 minutos",IF($F15&gt;$G15,"A",IF($G15&gt;$F15,"B","E")),"E")=IF($M15="90 minutos",IF($J15&gt;$K15,"A",IF($K15&gt;$J15,"B","E")),"E")),Reglas!$B$2,0)</x:f>
        <x:v>0</x:v>
      </x:c>
      <x:c r="O15" t="n">
        <x:f>IF(AND(ISNUMBER($F15),ISNUMBER($G15),$H15=$L15),Reglas!$B$3,0)</x:f>
        <x:v>0</x:v>
      </x:c>
      <x:c r="P15" t="n">
        <x:f>IF(AND(AND(ISNUMBER($F15),ISNUMBER($G15),$H15=$L15),$I15=$M15),Reglas!$B$4,0)</x:f>
        <x:v>0</x:v>
      </x:c>
      <x:c r="Q15" t="n">
        <x:f>IF(AND(AND(AND(ISNUMBER($F15),ISNUMBER($G15),$H15=$L15),$I15=$M15,NOT(AND($I15="Penales",$F15&lt;&gt;$G15))),$F15=$J15,$G15=$K15),Reglas!$B$5,0)</x:f>
        <x:v>0</x:v>
      </x:c>
      <x:c r="R15" t="n">
        <x:f>IF(AND(AND(AND(ISNUMBER($F15),ISNUMBER($G15),$H15=$L15),$I15=$M15,NOT(AND($I15="Penales",$F15&lt;&gt;$G15))),$F15-$G15=$J15-$K15),Reglas!$B$6,0)</x:f>
        <x:v>0</x:v>
      </x:c>
      <x:c r="S15" t="n">
        <x:f>IF(AND(AND(AND(ISNUMBER($F15),ISNUMBER($G15),$H15=$L15),$I15=$M15,NOT(AND($I15="Penales",$F15&lt;&gt;$G15))),$F15=$J15),Reglas!$B$7,0)</x:f>
        <x:v>0</x:v>
      </x:c>
      <x:c r="T15" t="n">
        <x:f>IF(AND(AND(AND(ISNUMBER($F15),ISNUMBER($G15),$H15=$L15),$I15=$M15,NOT(AND($I15="Penales",$F15&lt;&gt;$G15))),$G15=$K15),Reglas!$B$8,0)</x:f>
        <x:v>0</x:v>
      </x:c>
      <x:c r="U15" t="n">
        <x:f>SUM(N15:T15)</x:f>
        <x:v>0</x:v>
      </x:c>
      <x:c r="V15" t="str">
        <x:f>IF($W15="Sin respuesta","Sin envio",IF($U15&gt;0,"OK","Sin puntos"))</x:f>
        <x:v>Sin envio</x:v>
      </x:c>
      <x:c r="W15" t="str">
        <x:v>Sin respuesta</x:v>
      </x:c>
    </x:row>
    <x:row r="16" ht="15" hidden="0" customHeight="1">
      <x:c r="A16" t="str">
        <x:v>4tos</x:v>
      </x:c>
      <x:c r="B16" t="str">
        <x:v>QF3</x:v>
      </x:c>
      <x:c r="C16" t="str">
        <x:v>Juan</x:v>
      </x:c>
      <x:c r="D16" t="str">
        <x:v>Noruega</x:v>
      </x:c>
      <x:c r="E16" t="str">
        <x:v>Inglaterra</x:v>
      </x:c>
      <x:c r="F16"/>
      <x:c r="G16"/>
      <x:c r="H16" t="str">
        <x:v>Sin envio</x:v>
      </x:c>
      <x:c r="I16" t="str">
        <x:v>Sin envio</x:v>
      </x:c>
      <x:c r="J16" t="n">
        <x:v>1</x:v>
      </x:c>
      <x:c r="K16" t="n">
        <x:v>2</x:v>
      </x:c>
      <x:c r="L16" t="str">
        <x:v>Inglaterra</x:v>
      </x:c>
      <x:c r="M16" t="str">
        <x:v>Suplementario</x:v>
      </x:c>
      <x:c r="N16" t="n">
        <x:f>IF(AND(AND(ISNUMBER($F16),ISNUMBER($G16),$H16=$L16),IF($I16="90 minutos",IF($F16&gt;$G16,"A",IF($G16&gt;$F16,"B","E")),"E")=IF($M16="90 minutos",IF($J16&gt;$K16,"A",IF($K16&gt;$J16,"B","E")),"E")),Reglas!$B$2,0)</x:f>
        <x:v>0</x:v>
      </x:c>
      <x:c r="O16" t="n">
        <x:f>IF(AND(ISNUMBER($F16),ISNUMBER($G16),$H16=$L16),Reglas!$B$3,0)</x:f>
        <x:v>0</x:v>
      </x:c>
      <x:c r="P16" t="n">
        <x:f>IF(AND(AND(ISNUMBER($F16),ISNUMBER($G16),$H16=$L16),$I16=$M16),Reglas!$B$4,0)</x:f>
        <x:v>0</x:v>
      </x:c>
      <x:c r="Q16" t="n">
        <x:f>IF(AND(AND(AND(ISNUMBER($F16),ISNUMBER($G16),$H16=$L16),$I16=$M16,NOT(AND($I16="Penales",$F16&lt;&gt;$G16))),$F16=$J16,$G16=$K16),Reglas!$B$5,0)</x:f>
        <x:v>0</x:v>
      </x:c>
      <x:c r="R16" t="n">
        <x:f>IF(AND(AND(AND(ISNUMBER($F16),ISNUMBER($G16),$H16=$L16),$I16=$M16,NOT(AND($I16="Penales",$F16&lt;&gt;$G16))),$F16-$G16=$J16-$K16),Reglas!$B$6,0)</x:f>
        <x:v>0</x:v>
      </x:c>
      <x:c r="S16" t="n">
        <x:f>IF(AND(AND(AND(ISNUMBER($F16),ISNUMBER($G16),$H16=$L16),$I16=$M16,NOT(AND($I16="Penales",$F16&lt;&gt;$G16))),$F16=$J16),Reglas!$B$7,0)</x:f>
        <x:v>0</x:v>
      </x:c>
      <x:c r="T16" t="n">
        <x:f>IF(AND(AND(AND(ISNUMBER($F16),ISNUMBER($G16),$H16=$L16),$I16=$M16,NOT(AND($I16="Penales",$F16&lt;&gt;$G16))),$G16=$K16),Reglas!$B$8,0)</x:f>
        <x:v>0</x:v>
      </x:c>
      <x:c r="U16" t="n">
        <x:f>SUM(N16:T16)</x:f>
        <x:v>0</x:v>
      </x:c>
      <x:c r="V16" t="str">
        <x:f>IF($W16="Sin respuesta","Sin envio",IF($U16&gt;0,"OK","Sin puntos"))</x:f>
        <x:v>Sin envio</x:v>
      </x:c>
      <x:c r="W16" t="str">
        <x:v>Sin respuesta</x:v>
      </x:c>
    </x:row>
    <x:row r="17" ht="15" hidden="0" customHeight="1">
      <x:c r="A17" t="str">
        <x:v>4tos</x:v>
      </x:c>
      <x:c r="B17" t="str">
        <x:v>QF4</x:v>
      </x:c>
      <x:c r="C17" t="str">
        <x:v>Juan</x:v>
      </x:c>
      <x:c r="D17" t="str">
        <x:v>Argentina</x:v>
      </x:c>
      <x:c r="E17" t="str">
        <x:v>Suiza</x:v>
      </x:c>
      <x:c r="F17"/>
      <x:c r="G17"/>
      <x:c r="H17" t="str">
        <x:v>Sin envio</x:v>
      </x:c>
      <x:c r="I17" t="str">
        <x:v>Sin envio</x:v>
      </x:c>
      <x:c r="J17" t="n">
        <x:v>3</x:v>
      </x:c>
      <x:c r="K17" t="n">
        <x:v>1</x:v>
      </x:c>
      <x:c r="L17" t="str">
        <x:v>Argentina</x:v>
      </x:c>
      <x:c r="M17" t="str">
        <x:v>Suplementario</x:v>
      </x:c>
      <x:c r="N17" t="n">
        <x:f>IF(AND(AND(ISNUMBER($F17),ISNUMBER($G17),$H17=$L17),IF($I17="90 minutos",IF($F17&gt;$G17,"A",IF($G17&gt;$F17,"B","E")),"E")=IF($M17="90 minutos",IF($J17&gt;$K17,"A",IF($K17&gt;$J17,"B","E")),"E")),Reglas!$B$2,0)</x:f>
        <x:v>0</x:v>
      </x:c>
      <x:c r="O17" t="n">
        <x:f>IF(AND(ISNUMBER($F17),ISNUMBER($G17),$H17=$L17),Reglas!$B$3,0)</x:f>
        <x:v>0</x:v>
      </x:c>
      <x:c r="P17" t="n">
        <x:f>IF(AND(AND(ISNUMBER($F17),ISNUMBER($G17),$H17=$L17),$I17=$M17),Reglas!$B$4,0)</x:f>
        <x:v>0</x:v>
      </x:c>
      <x:c r="Q17" t="n">
        <x:f>IF(AND(AND(AND(ISNUMBER($F17),ISNUMBER($G17),$H17=$L17),$I17=$M17,NOT(AND($I17="Penales",$F17&lt;&gt;$G17))),$F17=$J17,$G17=$K17),Reglas!$B$5,0)</x:f>
        <x:v>0</x:v>
      </x:c>
      <x:c r="R17" t="n">
        <x:f>IF(AND(AND(AND(ISNUMBER($F17),ISNUMBER($G17),$H17=$L17),$I17=$M17,NOT(AND($I17="Penales",$F17&lt;&gt;$G17))),$F17-$G17=$J17-$K17),Reglas!$B$6,0)</x:f>
        <x:v>0</x:v>
      </x:c>
      <x:c r="S17" t="n">
        <x:f>IF(AND(AND(AND(ISNUMBER($F17),ISNUMBER($G17),$H17=$L17),$I17=$M17,NOT(AND($I17="Penales",$F17&lt;&gt;$G17))),$F17=$J17),Reglas!$B$7,0)</x:f>
        <x:v>0</x:v>
      </x:c>
      <x:c r="T17" t="n">
        <x:f>IF(AND(AND(AND(ISNUMBER($F17),ISNUMBER($G17),$H17=$L17),$I17=$M17,NOT(AND($I17="Penales",$F17&lt;&gt;$G17))),$G17=$K17),Reglas!$B$8,0)</x:f>
        <x:v>0</x:v>
      </x:c>
      <x:c r="U17" t="n">
        <x:f>SUM(N17:T17)</x:f>
        <x:v>0</x:v>
      </x:c>
      <x:c r="V17" t="str">
        <x:f>IF($W17="Sin respuesta","Sin envio",IF($U17&gt;0,"OK","Sin puntos"))</x:f>
        <x:v>Sin envio</x:v>
      </x:c>
      <x:c r="W17" t="str">
        <x:v>Sin respuesta</x:v>
      </x:c>
    </x:row>
    <x:row r="18" ht="15" hidden="0" customHeight="1">
      <x:c r="A18" t="str">
        <x:v>4tos</x:v>
      </x:c>
      <x:c r="B18" t="str">
        <x:v>QF1</x:v>
      </x:c>
      <x:c r="C18" t="str">
        <x:v>Jesús</x:v>
      </x:c>
      <x:c r="D18" t="str">
        <x:v>Francia</x:v>
      </x:c>
      <x:c r="E18" t="str">
        <x:v>Marruecos</x:v>
      </x:c>
      <x:c r="F18" t="n">
        <x:v>3</x:v>
      </x:c>
      <x:c r="G18" t="n">
        <x:v>1</x:v>
      </x:c>
      <x:c r="H18" t="str">
        <x:v>Francia</x:v>
      </x:c>
      <x:c r="I18" t="str">
        <x:v>90 minutos</x:v>
      </x:c>
      <x:c r="J18" t="n">
        <x:v>2</x:v>
      </x:c>
      <x:c r="K18" t="n">
        <x:v>0</x:v>
      </x:c>
      <x:c r="L18" t="str">
        <x:v>Francia</x:v>
      </x:c>
      <x:c r="M18" t="str">
        <x:v>90 minutos</x:v>
      </x:c>
      <x:c r="N18" t="n">
        <x:f>IF(AND(AND(ISNUMBER($F18),ISNUMBER($G18),$H18=$L18),IF($I18="90 minutos",IF($F18&gt;$G18,"A",IF($G18&gt;$F18,"B","E")),"E")=IF($M18="90 minutos",IF($J18&gt;$K18,"A",IF($K18&gt;$J18,"B","E")),"E")),Reglas!$B$2,0)</x:f>
        <x:v>5</x:v>
      </x:c>
      <x:c r="O18" t="n">
        <x:f>IF(AND(ISNUMBER($F18),ISNUMBER($G18),$H18=$L18),Reglas!$B$3,0)</x:f>
        <x:v>3</x:v>
      </x:c>
      <x:c r="P18" t="n">
        <x:f>IF(AND(AND(ISNUMBER($F18),ISNUMBER($G18),$H18=$L18),$I18=$M18),Reglas!$B$4,0)</x:f>
        <x:v>2</x:v>
      </x:c>
      <x:c r="Q18" t="n">
        <x:f>IF(AND(AND(AND(ISNUMBER($F18),ISNUMBER($G18),$H18=$L18),$I18=$M18,NOT(AND($I18="Penales",$F18&lt;&gt;$G18))),$F18=$J18,$G18=$K18),Reglas!$B$5,0)</x:f>
        <x:v>0</x:v>
      </x:c>
      <x:c r="R18" t="n">
        <x:f>IF(AND(AND(AND(ISNUMBER($F18),ISNUMBER($G18),$H18=$L18),$I18=$M18,NOT(AND($I18="Penales",$F18&lt;&gt;$G18))),$F18-$G18=$J18-$K18),Reglas!$B$6,0)</x:f>
        <x:v>2</x:v>
      </x:c>
      <x:c r="S18" t="n">
        <x:f>IF(AND(AND(AND(ISNUMBER($F18),ISNUMBER($G18),$H18=$L18),$I18=$M18,NOT(AND($I18="Penales",$F18&lt;&gt;$G18))),$F18=$J18),Reglas!$B$7,0)</x:f>
        <x:v>0</x:v>
      </x:c>
      <x:c r="T18" t="n">
        <x:f>IF(AND(AND(AND(ISNUMBER($F18),ISNUMBER($G18),$H18=$L18),$I18=$M18,NOT(AND($I18="Penales",$F18&lt;&gt;$G18))),$G18=$K18),Reglas!$B$8,0)</x:f>
        <x:v>0</x:v>
      </x:c>
      <x:c r="U18" t="n">
        <x:f>SUM(N18:T18)</x:f>
        <x:v>12</x:v>
      </x:c>
      <x:c r="V18" t="str">
        <x:f>IF($W18="Sin respuesta","Sin envio",IF($U18&gt;0,"OK","Sin puntos"))</x:f>
        <x:v>OK</x:v>
      </x:c>
      <x:c r="W18" t="str">
        <x:v>Google Forms</x:v>
      </x:c>
    </x:row>
    <x:row r="19" ht="15" hidden="0" customHeight="1">
      <x:c r="A19" t="str">
        <x:v>4tos</x:v>
      </x:c>
      <x:c r="B19" t="str">
        <x:v>QF2</x:v>
      </x:c>
      <x:c r="C19" t="str">
        <x:v>Jesús</x:v>
      </x:c>
      <x:c r="D19" t="str">
        <x:v>España</x:v>
      </x:c>
      <x:c r="E19" t="str">
        <x:v>Bélgica</x:v>
      </x:c>
      <x:c r="F19" t="n">
        <x:v>2</x:v>
      </x:c>
      <x:c r="G19" t="n">
        <x:v>1</x:v>
      </x:c>
      <x:c r="H19" t="str">
        <x:v>España</x:v>
      </x:c>
      <x:c r="I19" t="str">
        <x:v>90 minutos</x:v>
      </x:c>
      <x:c r="J19" t="n">
        <x:v>2</x:v>
      </x:c>
      <x:c r="K19" t="n">
        <x:v>1</x:v>
      </x:c>
      <x:c r="L19" t="str">
        <x:v>España</x:v>
      </x:c>
      <x:c r="M19" t="str">
        <x:v>90 minutos</x:v>
      </x:c>
      <x:c r="N19" t="n">
        <x:f>IF(AND(AND(ISNUMBER($F19),ISNUMBER($G19),$H19=$L19),IF($I19="90 minutos",IF($F19&gt;$G19,"A",IF($G19&gt;$F19,"B","E")),"E")=IF($M19="90 minutos",IF($J19&gt;$K19,"A",IF($K19&gt;$J19,"B","E")),"E")),Reglas!$B$2,0)</x:f>
        <x:v>5</x:v>
      </x:c>
      <x:c r="O19" t="n">
        <x:f>IF(AND(ISNUMBER($F19),ISNUMBER($G19),$H19=$L19),Reglas!$B$3,0)</x:f>
        <x:v>3</x:v>
      </x:c>
      <x:c r="P19" t="n">
        <x:f>IF(AND(AND(ISNUMBER($F19),ISNUMBER($G19),$H19=$L19),$I19=$M19),Reglas!$B$4,0)</x:f>
        <x:v>2</x:v>
      </x:c>
      <x:c r="Q19" t="n">
        <x:f>IF(AND(AND(AND(ISNUMBER($F19),ISNUMBER($G19),$H19=$L19),$I19=$M19,NOT(AND($I19="Penales",$F19&lt;&gt;$G19))),$F19=$J19,$G19=$K19),Reglas!$B$5,0)</x:f>
        <x:v>4</x:v>
      </x:c>
      <x:c r="R19" t="n">
        <x:f>IF(AND(AND(AND(ISNUMBER($F19),ISNUMBER($G19),$H19=$L19),$I19=$M19,NOT(AND($I19="Penales",$F19&lt;&gt;$G19))),$F19-$G19=$J19-$K19),Reglas!$B$6,0)</x:f>
        <x:v>2</x:v>
      </x:c>
      <x:c r="S19" t="n">
        <x:f>IF(AND(AND(AND(ISNUMBER($F19),ISNUMBER($G19),$H19=$L19),$I19=$M19,NOT(AND($I19="Penales",$F19&lt;&gt;$G19))),$F19=$J19),Reglas!$B$7,0)</x:f>
        <x:v>1</x:v>
      </x:c>
      <x:c r="T19" t="n">
        <x:f>IF(AND(AND(AND(ISNUMBER($F19),ISNUMBER($G19),$H19=$L19),$I19=$M19,NOT(AND($I19="Penales",$F19&lt;&gt;$G19))),$G19=$K19),Reglas!$B$8,0)</x:f>
        <x:v>1</x:v>
      </x:c>
      <x:c r="U19" t="n">
        <x:f>SUM(N19:T19)</x:f>
        <x:v>18</x:v>
      </x:c>
      <x:c r="V19" t="str">
        <x:f>IF($W19="Sin respuesta","Sin envio",IF($U19&gt;0,"OK","Sin puntos"))</x:f>
        <x:v>OK</x:v>
      </x:c>
      <x:c r="W19" t="str">
        <x:v>Google Forms</x:v>
      </x:c>
    </x:row>
    <x:row r="20" ht="15" hidden="0" customHeight="1">
      <x:c r="A20" t="str">
        <x:v>4tos</x:v>
      </x:c>
      <x:c r="B20" t="str">
        <x:v>QF3</x:v>
      </x:c>
      <x:c r="C20" t="str">
        <x:v>Jesús</x:v>
      </x:c>
      <x:c r="D20" t="str">
        <x:v>Noruega</x:v>
      </x:c>
      <x:c r="E20" t="str">
        <x:v>Inglaterra</x:v>
      </x:c>
      <x:c r="F20" t="n">
        <x:v>2</x:v>
      </x:c>
      <x:c r="G20" t="n">
        <x:v>1</x:v>
      </x:c>
      <x:c r="H20" t="str">
        <x:v>Noruega</x:v>
      </x:c>
      <x:c r="I20" t="str">
        <x:v>90 minutos</x:v>
      </x:c>
      <x:c r="J20" t="n">
        <x:v>1</x:v>
      </x:c>
      <x:c r="K20" t="n">
        <x:v>2</x:v>
      </x:c>
      <x:c r="L20" t="str">
        <x:v>Inglaterra</x:v>
      </x:c>
      <x:c r="M20" t="str">
        <x:v>Suplementario</x:v>
      </x:c>
      <x:c r="N20" t="n">
        <x:f>IF(AND(AND(ISNUMBER($F20),ISNUMBER($G20),$H20=$L20),IF($I20="90 minutos",IF($F20&gt;$G20,"A",IF($G20&gt;$F20,"B","E")),"E")=IF($M20="90 minutos",IF($J20&gt;$K20,"A",IF($K20&gt;$J20,"B","E")),"E")),Reglas!$B$2,0)</x:f>
        <x:v>0</x:v>
      </x:c>
      <x:c r="O20" t="n">
        <x:f>IF(AND(ISNUMBER($F20),ISNUMBER($G20),$H20=$L20),Reglas!$B$3,0)</x:f>
        <x:v>0</x:v>
      </x:c>
      <x:c r="P20" t="n">
        <x:f>IF(AND(AND(ISNUMBER($F20),ISNUMBER($G20),$H20=$L20),$I20=$M20),Reglas!$B$4,0)</x:f>
        <x:v>0</x:v>
      </x:c>
      <x:c r="Q20" t="n">
        <x:f>IF(AND(AND(AND(ISNUMBER($F20),ISNUMBER($G20),$H20=$L20),$I20=$M20,NOT(AND($I20="Penales",$F20&lt;&gt;$G20))),$F20=$J20,$G20=$K20),Reglas!$B$5,0)</x:f>
        <x:v>0</x:v>
      </x:c>
      <x:c r="R20" t="n">
        <x:f>IF(AND(AND(AND(ISNUMBER($F20),ISNUMBER($G20),$H20=$L20),$I20=$M20,NOT(AND($I20="Penales",$F20&lt;&gt;$G20))),$F20-$G20=$J20-$K20),Reglas!$B$6,0)</x:f>
        <x:v>0</x:v>
      </x:c>
      <x:c r="S20" t="n">
        <x:f>IF(AND(AND(AND(ISNUMBER($F20),ISNUMBER($G20),$H20=$L20),$I20=$M20,NOT(AND($I20="Penales",$F20&lt;&gt;$G20))),$F20=$J20),Reglas!$B$7,0)</x:f>
        <x:v>0</x:v>
      </x:c>
      <x:c r="T20" t="n">
        <x:f>IF(AND(AND(AND(ISNUMBER($F20),ISNUMBER($G20),$H20=$L20),$I20=$M20,NOT(AND($I20="Penales",$F20&lt;&gt;$G20))),$G20=$K20),Reglas!$B$8,0)</x:f>
        <x:v>0</x:v>
      </x:c>
      <x:c r="U20" t="n">
        <x:f>SUM(N20:T20)</x:f>
        <x:v>0</x:v>
      </x:c>
      <x:c r="V20" t="str">
        <x:f>IF($W20="Sin respuesta","Sin envio",IF($U20&gt;0,"OK","Sin puntos"))</x:f>
        <x:v>Sin puntos</x:v>
      </x:c>
      <x:c r="W20" t="str">
        <x:v>Google Forms</x:v>
      </x:c>
    </x:row>
    <x:row r="21" ht="15" hidden="0" customHeight="1">
      <x:c r="A21" t="str">
        <x:v>4tos</x:v>
      </x:c>
      <x:c r="B21" t="str">
        <x:v>QF4</x:v>
      </x:c>
      <x:c r="C21" t="str">
        <x:v>Jesús</x:v>
      </x:c>
      <x:c r="D21" t="str">
        <x:v>Argentina</x:v>
      </x:c>
      <x:c r="E21" t="str">
        <x:v>Suiza</x:v>
      </x:c>
      <x:c r="F21" t="n">
        <x:v>2</x:v>
      </x:c>
      <x:c r="G21" t="n">
        <x:v>1</x:v>
      </x:c>
      <x:c r="H21" t="str">
        <x:v>Argentina</x:v>
      </x:c>
      <x:c r="I21" t="str">
        <x:v>90 minutos</x:v>
      </x:c>
      <x:c r="J21" t="n">
        <x:v>3</x:v>
      </x:c>
      <x:c r="K21" t="n">
        <x:v>1</x:v>
      </x:c>
      <x:c r="L21" t="str">
        <x:v>Argentina</x:v>
      </x:c>
      <x:c r="M21" t="str">
        <x:v>Suplementario</x:v>
      </x:c>
      <x:c r="N21" t="n">
        <x:f>IF(AND(AND(ISNUMBER($F21),ISNUMBER($G21),$H21=$L21),IF($I21="90 minutos",IF($F21&gt;$G21,"A",IF($G21&gt;$F21,"B","E")),"E")=IF($M21="90 minutos",IF($J21&gt;$K21,"A",IF($K21&gt;$J21,"B","E")),"E")),Reglas!$B$2,0)</x:f>
        <x:v>0</x:v>
      </x:c>
      <x:c r="O21" t="n">
        <x:f>IF(AND(ISNUMBER($F21),ISNUMBER($G21),$H21=$L21),Reglas!$B$3,0)</x:f>
        <x:v>3</x:v>
      </x:c>
      <x:c r="P21" t="n">
        <x:f>IF(AND(AND(ISNUMBER($F21),ISNUMBER($G21),$H21=$L21),$I21=$M21),Reglas!$B$4,0)</x:f>
        <x:v>0</x:v>
      </x:c>
      <x:c r="Q21" t="n">
        <x:f>IF(AND(AND(AND(ISNUMBER($F21),ISNUMBER($G21),$H21=$L21),$I21=$M21,NOT(AND($I21="Penales",$F21&lt;&gt;$G21))),$F21=$J21,$G21=$K21),Reglas!$B$5,0)</x:f>
        <x:v>0</x:v>
      </x:c>
      <x:c r="R21" t="n">
        <x:f>IF(AND(AND(AND(ISNUMBER($F21),ISNUMBER($G21),$H21=$L21),$I21=$M21,NOT(AND($I21="Penales",$F21&lt;&gt;$G21))),$F21-$G21=$J21-$K21),Reglas!$B$6,0)</x:f>
        <x:v>0</x:v>
      </x:c>
      <x:c r="S21" t="n">
        <x:f>IF(AND(AND(AND(ISNUMBER($F21),ISNUMBER($G21),$H21=$L21),$I21=$M21,NOT(AND($I21="Penales",$F21&lt;&gt;$G21))),$F21=$J21),Reglas!$B$7,0)</x:f>
        <x:v>0</x:v>
      </x:c>
      <x:c r="T21" t="n">
        <x:f>IF(AND(AND(AND(ISNUMBER($F21),ISNUMBER($G21),$H21=$L21),$I21=$M21,NOT(AND($I21="Penales",$F21&lt;&gt;$G21))),$G21=$K21),Reglas!$B$8,0)</x:f>
        <x:v>0</x:v>
      </x:c>
      <x:c r="U21" t="n">
        <x:f>SUM(N21:T21)</x:f>
        <x:v>3</x:v>
      </x:c>
      <x:c r="V21" t="str">
        <x:f>IF($W21="Sin respuesta","Sin envio",IF($U21&gt;0,"OK","Sin puntos"))</x:f>
        <x:v>OK</x:v>
      </x:c>
      <x:c r="W21" t="str">
        <x:v>Google Forms</x:v>
      </x:c>
    </x:row>
    <x:row r="22" ht="15" hidden="0" customHeight="1">
      <x:c r="A22" t="str">
        <x:v>4tos</x:v>
      </x:c>
      <x:c r="B22" t="str">
        <x:v>QF1</x:v>
      </x:c>
      <x:c r="C22" t="str">
        <x:v>Diego</x:v>
      </x:c>
      <x:c r="D22" t="str">
        <x:v>Francia</x:v>
      </x:c>
      <x:c r="E22" t="str">
        <x:v>Marruecos</x:v>
      </x:c>
      <x:c r="F22" t="n">
        <x:v>2</x:v>
      </x:c>
      <x:c r="G22" t="n">
        <x:v>1</x:v>
      </x:c>
      <x:c r="H22" t="str">
        <x:v>Francia</x:v>
      </x:c>
      <x:c r="I22" t="str">
        <x:v>90 minutos</x:v>
      </x:c>
      <x:c r="J22" t="n">
        <x:v>2</x:v>
      </x:c>
      <x:c r="K22" t="n">
        <x:v>0</x:v>
      </x:c>
      <x:c r="L22" t="str">
        <x:v>Francia</x:v>
      </x:c>
      <x:c r="M22" t="str">
        <x:v>90 minutos</x:v>
      </x:c>
      <x:c r="N22" t="n">
        <x:f>IF(AND(AND(ISNUMBER($F22),ISNUMBER($G22),$H22=$L22),IF($I22="90 minutos",IF($F22&gt;$G22,"A",IF($G22&gt;$F22,"B","E")),"E")=IF($M22="90 minutos",IF($J22&gt;$K22,"A",IF($K22&gt;$J22,"B","E")),"E")),Reglas!$B$2,0)</x:f>
        <x:v>5</x:v>
      </x:c>
      <x:c r="O22" t="n">
        <x:f>IF(AND(ISNUMBER($F22),ISNUMBER($G22),$H22=$L22),Reglas!$B$3,0)</x:f>
        <x:v>3</x:v>
      </x:c>
      <x:c r="P22" t="n">
        <x:f>IF(AND(AND(ISNUMBER($F22),ISNUMBER($G22),$H22=$L22),$I22=$M22),Reglas!$B$4,0)</x:f>
        <x:v>2</x:v>
      </x:c>
      <x:c r="Q22" t="n">
        <x:f>IF(AND(AND(AND(ISNUMBER($F22),ISNUMBER($G22),$H22=$L22),$I22=$M22,NOT(AND($I22="Penales",$F22&lt;&gt;$G22))),$F22=$J22,$G22=$K22),Reglas!$B$5,0)</x:f>
        <x:v>0</x:v>
      </x:c>
      <x:c r="R22" t="n">
        <x:f>IF(AND(AND(AND(ISNUMBER($F22),ISNUMBER($G22),$H22=$L22),$I22=$M22,NOT(AND($I22="Penales",$F22&lt;&gt;$G22))),$F22-$G22=$J22-$K22),Reglas!$B$6,0)</x:f>
        <x:v>0</x:v>
      </x:c>
      <x:c r="S22" t="n">
        <x:f>IF(AND(AND(AND(ISNUMBER($F22),ISNUMBER($G22),$H22=$L22),$I22=$M22,NOT(AND($I22="Penales",$F22&lt;&gt;$G22))),$F22=$J22),Reglas!$B$7,0)</x:f>
        <x:v>1</x:v>
      </x:c>
      <x:c r="T22" t="n">
        <x:f>IF(AND(AND(AND(ISNUMBER($F22),ISNUMBER($G22),$H22=$L22),$I22=$M22,NOT(AND($I22="Penales",$F22&lt;&gt;$G22))),$G22=$K22),Reglas!$B$8,0)</x:f>
        <x:v>0</x:v>
      </x:c>
      <x:c r="U22" t="n">
        <x:f>SUM(N22:T22)</x:f>
        <x:v>11</x:v>
      </x:c>
      <x:c r="V22" t="str">
        <x:f>IF($W22="Sin respuesta","Sin envio",IF($U22&gt;0,"OK","Sin puntos"))</x:f>
        <x:v>OK</x:v>
      </x:c>
      <x:c r="W22" t="str">
        <x:v>Google Forms</x:v>
      </x:c>
    </x:row>
    <x:row r="23" ht="15" hidden="0" customHeight="1">
      <x:c r="A23" t="str">
        <x:v>4tos</x:v>
      </x:c>
      <x:c r="B23" t="str">
        <x:v>QF2</x:v>
      </x:c>
      <x:c r="C23" t="str">
        <x:v>Diego</x:v>
      </x:c>
      <x:c r="D23" t="str">
        <x:v>España</x:v>
      </x:c>
      <x:c r="E23" t="str">
        <x:v>Bélgica</x:v>
      </x:c>
      <x:c r="F23" t="n">
        <x:v>2</x:v>
      </x:c>
      <x:c r="G23" t="n">
        <x:v>1</x:v>
      </x:c>
      <x:c r="H23" t="str">
        <x:v>España</x:v>
      </x:c>
      <x:c r="I23" t="str">
        <x:v>90 minutos</x:v>
      </x:c>
      <x:c r="J23" t="n">
        <x:v>2</x:v>
      </x:c>
      <x:c r="K23" t="n">
        <x:v>1</x:v>
      </x:c>
      <x:c r="L23" t="str">
        <x:v>España</x:v>
      </x:c>
      <x:c r="M23" t="str">
        <x:v>90 minutos</x:v>
      </x:c>
      <x:c r="N23" t="n">
        <x:f>IF(AND(AND(ISNUMBER($F23),ISNUMBER($G23),$H23=$L23),IF($I23="90 minutos",IF($F23&gt;$G23,"A",IF($G23&gt;$F23,"B","E")),"E")=IF($M23="90 minutos",IF($J23&gt;$K23,"A",IF($K23&gt;$J23,"B","E")),"E")),Reglas!$B$2,0)</x:f>
        <x:v>5</x:v>
      </x:c>
      <x:c r="O23" t="n">
        <x:f>IF(AND(ISNUMBER($F23),ISNUMBER($G23),$H23=$L23),Reglas!$B$3,0)</x:f>
        <x:v>3</x:v>
      </x:c>
      <x:c r="P23" t="n">
        <x:f>IF(AND(AND(ISNUMBER($F23),ISNUMBER($G23),$H23=$L23),$I23=$M23),Reglas!$B$4,0)</x:f>
        <x:v>2</x:v>
      </x:c>
      <x:c r="Q23" t="n">
        <x:f>IF(AND(AND(AND(ISNUMBER($F23),ISNUMBER($G23),$H23=$L23),$I23=$M23,NOT(AND($I23="Penales",$F23&lt;&gt;$G23))),$F23=$J23,$G23=$K23),Reglas!$B$5,0)</x:f>
        <x:v>4</x:v>
      </x:c>
      <x:c r="R23" t="n">
        <x:f>IF(AND(AND(AND(ISNUMBER($F23),ISNUMBER($G23),$H23=$L23),$I23=$M23,NOT(AND($I23="Penales",$F23&lt;&gt;$G23))),$F23-$G23=$J23-$K23),Reglas!$B$6,0)</x:f>
        <x:v>2</x:v>
      </x:c>
      <x:c r="S23" t="n">
        <x:f>IF(AND(AND(AND(ISNUMBER($F23),ISNUMBER($G23),$H23=$L23),$I23=$M23,NOT(AND($I23="Penales",$F23&lt;&gt;$G23))),$F23=$J23),Reglas!$B$7,0)</x:f>
        <x:v>1</x:v>
      </x:c>
      <x:c r="T23" t="n">
        <x:f>IF(AND(AND(AND(ISNUMBER($F23),ISNUMBER($G23),$H23=$L23),$I23=$M23,NOT(AND($I23="Penales",$F23&lt;&gt;$G23))),$G23=$K23),Reglas!$B$8,0)</x:f>
        <x:v>1</x:v>
      </x:c>
      <x:c r="U23" t="n">
        <x:f>SUM(N23:T23)</x:f>
        <x:v>18</x:v>
      </x:c>
      <x:c r="V23" t="str">
        <x:f>IF($W23="Sin respuesta","Sin envio",IF($U23&gt;0,"OK","Sin puntos"))</x:f>
        <x:v>OK</x:v>
      </x:c>
      <x:c r="W23" t="str">
        <x:v>Google Forms</x:v>
      </x:c>
    </x:row>
    <x:row r="24" ht="15" hidden="0" customHeight="1">
      <x:c r="A24" t="str">
        <x:v>4tos</x:v>
      </x:c>
      <x:c r="B24" t="str">
        <x:v>QF3</x:v>
      </x:c>
      <x:c r="C24" t="str">
        <x:v>Diego</x:v>
      </x:c>
      <x:c r="D24" t="str">
        <x:v>Noruega</x:v>
      </x:c>
      <x:c r="E24" t="str">
        <x:v>Inglaterra</x:v>
      </x:c>
      <x:c r="F24" t="n">
        <x:v>2</x:v>
      </x:c>
      <x:c r="G24" t="n">
        <x:v>1</x:v>
      </x:c>
      <x:c r="H24" t="str">
        <x:v>Noruega</x:v>
      </x:c>
      <x:c r="I24" t="str">
        <x:v>Suplementario</x:v>
      </x:c>
      <x:c r="J24" t="n">
        <x:v>1</x:v>
      </x:c>
      <x:c r="K24" t="n">
        <x:v>2</x:v>
      </x:c>
      <x:c r="L24" t="str">
        <x:v>Inglaterra</x:v>
      </x:c>
      <x:c r="M24" t="str">
        <x:v>Suplementario</x:v>
      </x:c>
      <x:c r="N24" t="n">
        <x:f>IF(AND(AND(ISNUMBER($F24),ISNUMBER($G24),$H24=$L24),IF($I24="90 minutos",IF($F24&gt;$G24,"A",IF($G24&gt;$F24,"B","E")),"E")=IF($M24="90 minutos",IF($J24&gt;$K24,"A",IF($K24&gt;$J24,"B","E")),"E")),Reglas!$B$2,0)</x:f>
        <x:v>0</x:v>
      </x:c>
      <x:c r="O24" t="n">
        <x:f>IF(AND(ISNUMBER($F24),ISNUMBER($G24),$H24=$L24),Reglas!$B$3,0)</x:f>
        <x:v>0</x:v>
      </x:c>
      <x:c r="P24" t="n">
        <x:f>IF(AND(AND(ISNUMBER($F24),ISNUMBER($G24),$H24=$L24),$I24=$M24),Reglas!$B$4,0)</x:f>
        <x:v>0</x:v>
      </x:c>
      <x:c r="Q24" t="n">
        <x:f>IF(AND(AND(AND(ISNUMBER($F24),ISNUMBER($G24),$H24=$L24),$I24=$M24,NOT(AND($I24="Penales",$F24&lt;&gt;$G24))),$F24=$J24,$G24=$K24),Reglas!$B$5,0)</x:f>
        <x:v>0</x:v>
      </x:c>
      <x:c r="R24" t="n">
        <x:f>IF(AND(AND(AND(ISNUMBER($F24),ISNUMBER($G24),$H24=$L24),$I24=$M24,NOT(AND($I24="Penales",$F24&lt;&gt;$G24))),$F24-$G24=$J24-$K24),Reglas!$B$6,0)</x:f>
        <x:v>0</x:v>
      </x:c>
      <x:c r="S24" t="n">
        <x:f>IF(AND(AND(AND(ISNUMBER($F24),ISNUMBER($G24),$H24=$L24),$I24=$M24,NOT(AND($I24="Penales",$F24&lt;&gt;$G24))),$F24=$J24),Reglas!$B$7,0)</x:f>
        <x:v>0</x:v>
      </x:c>
      <x:c r="T24" t="n">
        <x:f>IF(AND(AND(AND(ISNUMBER($F24),ISNUMBER($G24),$H24=$L24),$I24=$M24,NOT(AND($I24="Penales",$F24&lt;&gt;$G24))),$G24=$K24),Reglas!$B$8,0)</x:f>
        <x:v>0</x:v>
      </x:c>
      <x:c r="U24" t="n">
        <x:f>SUM(N24:T24)</x:f>
        <x:v>0</x:v>
      </x:c>
      <x:c r="V24" t="str">
        <x:f>IF($W24="Sin respuesta","Sin envio",IF($U24&gt;0,"OK","Sin puntos"))</x:f>
        <x:v>Sin puntos</x:v>
      </x:c>
      <x:c r="W24" t="str">
        <x:v>Google Forms</x:v>
      </x:c>
    </x:row>
    <x:row r="25" ht="15" hidden="0" customHeight="1">
      <x:c r="A25" t="str">
        <x:v>4tos</x:v>
      </x:c>
      <x:c r="B25" t="str">
        <x:v>QF4</x:v>
      </x:c>
      <x:c r="C25" t="str">
        <x:v>Diego</x:v>
      </x:c>
      <x:c r="D25" t="str">
        <x:v>Argentina</x:v>
      </x:c>
      <x:c r="E25" t="str">
        <x:v>Suiza</x:v>
      </x:c>
      <x:c r="F25" t="n">
        <x:v>2</x:v>
      </x:c>
      <x:c r="G25" t="n">
        <x:v>0</x:v>
      </x:c>
      <x:c r="H25" t="str">
        <x:v>Argentina</x:v>
      </x:c>
      <x:c r="I25" t="str">
        <x:v>90 minutos</x:v>
      </x:c>
      <x:c r="J25" t="n">
        <x:v>3</x:v>
      </x:c>
      <x:c r="K25" t="n">
        <x:v>1</x:v>
      </x:c>
      <x:c r="L25" t="str">
        <x:v>Argentina</x:v>
      </x:c>
      <x:c r="M25" t="str">
        <x:v>Suplementario</x:v>
      </x:c>
      <x:c r="N25" t="n">
        <x:f>IF(AND(AND(ISNUMBER($F25),ISNUMBER($G25),$H25=$L25),IF($I25="90 minutos",IF($F25&gt;$G25,"A",IF($G25&gt;$F25,"B","E")),"E")=IF($M25="90 minutos",IF($J25&gt;$K25,"A",IF($K25&gt;$J25,"B","E")),"E")),Reglas!$B$2,0)</x:f>
        <x:v>0</x:v>
      </x:c>
      <x:c r="O25" t="n">
        <x:f>IF(AND(ISNUMBER($F25),ISNUMBER($G25),$H25=$L25),Reglas!$B$3,0)</x:f>
        <x:v>3</x:v>
      </x:c>
      <x:c r="P25" t="n">
        <x:f>IF(AND(AND(ISNUMBER($F25),ISNUMBER($G25),$H25=$L25),$I25=$M25),Reglas!$B$4,0)</x:f>
        <x:v>0</x:v>
      </x:c>
      <x:c r="Q25" t="n">
        <x:f>IF(AND(AND(AND(ISNUMBER($F25),ISNUMBER($G25),$H25=$L25),$I25=$M25,NOT(AND($I25="Penales",$F25&lt;&gt;$G25))),$F25=$J25,$G25=$K25),Reglas!$B$5,0)</x:f>
        <x:v>0</x:v>
      </x:c>
      <x:c r="R25" t="n">
        <x:f>IF(AND(AND(AND(ISNUMBER($F25),ISNUMBER($G25),$H25=$L25),$I25=$M25,NOT(AND($I25="Penales",$F25&lt;&gt;$G25))),$F25-$G25=$J25-$K25),Reglas!$B$6,0)</x:f>
        <x:v>0</x:v>
      </x:c>
      <x:c r="S25" t="n">
        <x:f>IF(AND(AND(AND(ISNUMBER($F25),ISNUMBER($G25),$H25=$L25),$I25=$M25,NOT(AND($I25="Penales",$F25&lt;&gt;$G25))),$F25=$J25),Reglas!$B$7,0)</x:f>
        <x:v>0</x:v>
      </x:c>
      <x:c r="T25" t="n">
        <x:f>IF(AND(AND(AND(ISNUMBER($F25),ISNUMBER($G25),$H25=$L25),$I25=$M25,NOT(AND($I25="Penales",$F25&lt;&gt;$G25))),$G25=$K25),Reglas!$B$8,0)</x:f>
        <x:v>0</x:v>
      </x:c>
      <x:c r="U25" t="n">
        <x:f>SUM(N25:T25)</x:f>
        <x:v>3</x:v>
      </x:c>
      <x:c r="V25" t="str">
        <x:f>IF($W25="Sin respuesta","Sin envio",IF($U25&gt;0,"OK","Sin puntos"))</x:f>
        <x:v>OK</x:v>
      </x:c>
      <x:c r="W25" t="str">
        <x:v>Google Forms</x:v>
      </x:c>
    </x:row>
    <x:row r="26" ht="15" hidden="0" customHeight="1">
      <x:c r="A26" t="str">
        <x:v>4tos</x:v>
      </x:c>
      <x:c r="B26" t="str">
        <x:v>QF1</x:v>
      </x:c>
      <x:c r="C26" t="str">
        <x:v>Aldo</x:v>
      </x:c>
      <x:c r="D26" t="str">
        <x:v>Francia</x:v>
      </x:c>
      <x:c r="E26" t="str">
        <x:v>Marruecos</x:v>
      </x:c>
      <x:c r="F26" t="n">
        <x:v>1</x:v>
      </x:c>
      <x:c r="G26" t="n">
        <x:v>1</x:v>
      </x:c>
      <x:c r="H26" t="str">
        <x:v>Marruecos</x:v>
      </x:c>
      <x:c r="I26" t="str">
        <x:v>Penales</x:v>
      </x:c>
      <x:c r="J26" t="n">
        <x:v>2</x:v>
      </x:c>
      <x:c r="K26" t="n">
        <x:v>0</x:v>
      </x:c>
      <x:c r="L26" t="str">
        <x:v>Francia</x:v>
      </x:c>
      <x:c r="M26" t="str">
        <x:v>90 minutos</x:v>
      </x:c>
      <x:c r="N26" t="n">
        <x:f>IF(AND(AND(ISNUMBER($F26),ISNUMBER($G26),$H26=$L26),IF($I26="90 minutos",IF($F26&gt;$G26,"A",IF($G26&gt;$F26,"B","E")),"E")=IF($M26="90 minutos",IF($J26&gt;$K26,"A",IF($K26&gt;$J26,"B","E")),"E")),Reglas!$B$2,0)</x:f>
        <x:v>0</x:v>
      </x:c>
      <x:c r="O26" t="n">
        <x:f>IF(AND(ISNUMBER($F26),ISNUMBER($G26),$H26=$L26),Reglas!$B$3,0)</x:f>
        <x:v>0</x:v>
      </x:c>
      <x:c r="P26" t="n">
        <x:f>IF(AND(AND(ISNUMBER($F26),ISNUMBER($G26),$H26=$L26),$I26=$M26),Reglas!$B$4,0)</x:f>
        <x:v>0</x:v>
      </x:c>
      <x:c r="Q26" t="n">
        <x:f>IF(AND(AND(AND(ISNUMBER($F26),ISNUMBER($G26),$H26=$L26),$I26=$M26,NOT(AND($I26="Penales",$F26&lt;&gt;$G26))),$F26=$J26,$G26=$K26),Reglas!$B$5,0)</x:f>
        <x:v>0</x:v>
      </x:c>
      <x:c r="R26" t="n">
        <x:f>IF(AND(AND(AND(ISNUMBER($F26),ISNUMBER($G26),$H26=$L26),$I26=$M26,NOT(AND($I26="Penales",$F26&lt;&gt;$G26))),$F26-$G26=$J26-$K26),Reglas!$B$6,0)</x:f>
        <x:v>0</x:v>
      </x:c>
      <x:c r="S26" t="n">
        <x:f>IF(AND(AND(AND(ISNUMBER($F26),ISNUMBER($G26),$H26=$L26),$I26=$M26,NOT(AND($I26="Penales",$F26&lt;&gt;$G26))),$F26=$J26),Reglas!$B$7,0)</x:f>
        <x:v>0</x:v>
      </x:c>
      <x:c r="T26" t="n">
        <x:f>IF(AND(AND(AND(ISNUMBER($F26),ISNUMBER($G26),$H26=$L26),$I26=$M26,NOT(AND($I26="Penales",$F26&lt;&gt;$G26))),$G26=$K26),Reglas!$B$8,0)</x:f>
        <x:v>0</x:v>
      </x:c>
      <x:c r="U26" t="n">
        <x:f>SUM(N26:T26)</x:f>
        <x:v>0</x:v>
      </x:c>
      <x:c r="V26" t="str">
        <x:f>IF($W26="Sin respuesta","Sin envio",IF($U26&gt;0,"OK","Sin puntos"))</x:f>
        <x:v>Sin puntos</x:v>
      </x:c>
      <x:c r="W26" t="str">
        <x:v>Google Forms</x:v>
      </x:c>
    </x:row>
    <x:row r="27" ht="15" hidden="0" customHeight="1">
      <x:c r="A27" t="str">
        <x:v>4tos</x:v>
      </x:c>
      <x:c r="B27" t="str">
        <x:v>QF2</x:v>
      </x:c>
      <x:c r="C27" t="str">
        <x:v>Aldo</x:v>
      </x:c>
      <x:c r="D27" t="str">
        <x:v>España</x:v>
      </x:c>
      <x:c r="E27" t="str">
        <x:v>Bélgica</x:v>
      </x:c>
      <x:c r="F27" t="n">
        <x:v>2</x:v>
      </x:c>
      <x:c r="G27" t="n">
        <x:v>0</x:v>
      </x:c>
      <x:c r="H27" t="str">
        <x:v>España</x:v>
      </x:c>
      <x:c r="I27" t="str">
        <x:v>90 minutos</x:v>
      </x:c>
      <x:c r="J27" t="n">
        <x:v>2</x:v>
      </x:c>
      <x:c r="K27" t="n">
        <x:v>1</x:v>
      </x:c>
      <x:c r="L27" t="str">
        <x:v>España</x:v>
      </x:c>
      <x:c r="M27" t="str">
        <x:v>90 minutos</x:v>
      </x:c>
      <x:c r="N27" t="n">
        <x:f>IF(AND(AND(ISNUMBER($F27),ISNUMBER($G27),$H27=$L27),IF($I27="90 minutos",IF($F27&gt;$G27,"A",IF($G27&gt;$F27,"B","E")),"E")=IF($M27="90 minutos",IF($J27&gt;$K27,"A",IF($K27&gt;$J27,"B","E")),"E")),Reglas!$B$2,0)</x:f>
        <x:v>5</x:v>
      </x:c>
      <x:c r="O27" t="n">
        <x:f>IF(AND(ISNUMBER($F27),ISNUMBER($G27),$H27=$L27),Reglas!$B$3,0)</x:f>
        <x:v>3</x:v>
      </x:c>
      <x:c r="P27" t="n">
        <x:f>IF(AND(AND(ISNUMBER($F27),ISNUMBER($G27),$H27=$L27),$I27=$M27),Reglas!$B$4,0)</x:f>
        <x:v>2</x:v>
      </x:c>
      <x:c r="Q27" t="n">
        <x:f>IF(AND(AND(AND(ISNUMBER($F27),ISNUMBER($G27),$H27=$L27),$I27=$M27,NOT(AND($I27="Penales",$F27&lt;&gt;$G27))),$F27=$J27,$G27=$K27),Reglas!$B$5,0)</x:f>
        <x:v>0</x:v>
      </x:c>
      <x:c r="R27" t="n">
        <x:f>IF(AND(AND(AND(ISNUMBER($F27),ISNUMBER($G27),$H27=$L27),$I27=$M27,NOT(AND($I27="Penales",$F27&lt;&gt;$G27))),$F27-$G27=$J27-$K27),Reglas!$B$6,0)</x:f>
        <x:v>0</x:v>
      </x:c>
      <x:c r="S27" t="n">
        <x:f>IF(AND(AND(AND(ISNUMBER($F27),ISNUMBER($G27),$H27=$L27),$I27=$M27,NOT(AND($I27="Penales",$F27&lt;&gt;$G27))),$F27=$J27),Reglas!$B$7,0)</x:f>
        <x:v>1</x:v>
      </x:c>
      <x:c r="T27" t="n">
        <x:f>IF(AND(AND(AND(ISNUMBER($F27),ISNUMBER($G27),$H27=$L27),$I27=$M27,NOT(AND($I27="Penales",$F27&lt;&gt;$G27))),$G27=$K27),Reglas!$B$8,0)</x:f>
        <x:v>0</x:v>
      </x:c>
      <x:c r="U27" t="n">
        <x:f>SUM(N27:T27)</x:f>
        <x:v>11</x:v>
      </x:c>
      <x:c r="V27" t="str">
        <x:f>IF($W27="Sin respuesta","Sin envio",IF($U27&gt;0,"OK","Sin puntos"))</x:f>
        <x:v>OK</x:v>
      </x:c>
      <x:c r="W27" t="str">
        <x:v>Google Forms</x:v>
      </x:c>
    </x:row>
    <x:row r="28" ht="15" hidden="0" customHeight="1">
      <x:c r="A28" t="str">
        <x:v>4tos</x:v>
      </x:c>
      <x:c r="B28" t="str">
        <x:v>QF3</x:v>
      </x:c>
      <x:c r="C28" t="str">
        <x:v>Aldo</x:v>
      </x:c>
      <x:c r="D28" t="str">
        <x:v>Noruega</x:v>
      </x:c>
      <x:c r="E28" t="str">
        <x:v>Inglaterra</x:v>
      </x:c>
      <x:c r="F28" t="n">
        <x:v>1</x:v>
      </x:c>
      <x:c r="G28" t="n">
        <x:v>2</x:v>
      </x:c>
      <x:c r="H28" t="str">
        <x:v>Inglaterra</x:v>
      </x:c>
      <x:c r="I28" t="str">
        <x:v>90 minutos</x:v>
      </x:c>
      <x:c r="J28" t="n">
        <x:v>1</x:v>
      </x:c>
      <x:c r="K28" t="n">
        <x:v>2</x:v>
      </x:c>
      <x:c r="L28" t="str">
        <x:v>Inglaterra</x:v>
      </x:c>
      <x:c r="M28" t="str">
        <x:v>Suplementario</x:v>
      </x:c>
      <x:c r="N28" t="n">
        <x:f>IF(AND(AND(ISNUMBER($F28),ISNUMBER($G28),$H28=$L28),IF($I28="90 minutos",IF($F28&gt;$G28,"A",IF($G28&gt;$F28,"B","E")),"E")=IF($M28="90 minutos",IF($J28&gt;$K28,"A",IF($K28&gt;$J28,"B","E")),"E")),Reglas!$B$2,0)</x:f>
        <x:v>0</x:v>
      </x:c>
      <x:c r="O28" t="n">
        <x:f>IF(AND(ISNUMBER($F28),ISNUMBER($G28),$H28=$L28),Reglas!$B$3,0)</x:f>
        <x:v>3</x:v>
      </x:c>
      <x:c r="P28" t="n">
        <x:f>IF(AND(AND(ISNUMBER($F28),ISNUMBER($G28),$H28=$L28),$I28=$M28),Reglas!$B$4,0)</x:f>
        <x:v>0</x:v>
      </x:c>
      <x:c r="Q28" t="n">
        <x:f>IF(AND(AND(AND(ISNUMBER($F28),ISNUMBER($G28),$H28=$L28),$I28=$M28,NOT(AND($I28="Penales",$F28&lt;&gt;$G28))),$F28=$J28,$G28=$K28),Reglas!$B$5,0)</x:f>
        <x:v>0</x:v>
      </x:c>
      <x:c r="R28" t="n">
        <x:f>IF(AND(AND(AND(ISNUMBER($F28),ISNUMBER($G28),$H28=$L28),$I28=$M28,NOT(AND($I28="Penales",$F28&lt;&gt;$G28))),$F28-$G28=$J28-$K28),Reglas!$B$6,0)</x:f>
        <x:v>0</x:v>
      </x:c>
      <x:c r="S28" t="n">
        <x:f>IF(AND(AND(AND(ISNUMBER($F28),ISNUMBER($G28),$H28=$L28),$I28=$M28,NOT(AND($I28="Penales",$F28&lt;&gt;$G28))),$F28=$J28),Reglas!$B$7,0)</x:f>
        <x:v>0</x:v>
      </x:c>
      <x:c r="T28" t="n">
        <x:f>IF(AND(AND(AND(ISNUMBER($F28),ISNUMBER($G28),$H28=$L28),$I28=$M28,NOT(AND($I28="Penales",$F28&lt;&gt;$G28))),$G28=$K28),Reglas!$B$8,0)</x:f>
        <x:v>0</x:v>
      </x:c>
      <x:c r="U28" t="n">
        <x:f>SUM(N28:T28)</x:f>
        <x:v>3</x:v>
      </x:c>
      <x:c r="V28" t="str">
        <x:f>IF($W28="Sin respuesta","Sin envio",IF($U28&gt;0,"OK","Sin puntos"))</x:f>
        <x:v>OK</x:v>
      </x:c>
      <x:c r="W28" t="str">
        <x:v>Google Forms</x:v>
      </x:c>
    </x:row>
    <x:row r="29" ht="15" hidden="0" customHeight="1">
      <x:c r="A29" t="str">
        <x:v>4tos</x:v>
      </x:c>
      <x:c r="B29" t="str">
        <x:v>QF4</x:v>
      </x:c>
      <x:c r="C29" t="str">
        <x:v>Aldo</x:v>
      </x:c>
      <x:c r="D29" t="str">
        <x:v>Argentina</x:v>
      </x:c>
      <x:c r="E29" t="str">
        <x:v>Suiza</x:v>
      </x:c>
      <x:c r="F29" t="n">
        <x:v>2</x:v>
      </x:c>
      <x:c r="G29" t="n">
        <x:v>1</x:v>
      </x:c>
      <x:c r="H29" t="str">
        <x:v>Argentina</x:v>
      </x:c>
      <x:c r="I29" t="str">
        <x:v>90 minutos</x:v>
      </x:c>
      <x:c r="J29" t="n">
        <x:v>3</x:v>
      </x:c>
      <x:c r="K29" t="n">
        <x:v>1</x:v>
      </x:c>
      <x:c r="L29" t="str">
        <x:v>Argentina</x:v>
      </x:c>
      <x:c r="M29" t="str">
        <x:v>Suplementario</x:v>
      </x:c>
      <x:c r="N29" t="n">
        <x:f>IF(AND(AND(ISNUMBER($F29),ISNUMBER($G29),$H29=$L29),IF($I29="90 minutos",IF($F29&gt;$G29,"A",IF($G29&gt;$F29,"B","E")),"E")=IF($M29="90 minutos",IF($J29&gt;$K29,"A",IF($K29&gt;$J29,"B","E")),"E")),Reglas!$B$2,0)</x:f>
        <x:v>0</x:v>
      </x:c>
      <x:c r="O29" t="n">
        <x:f>IF(AND(ISNUMBER($F29),ISNUMBER($G29),$H29=$L29),Reglas!$B$3,0)</x:f>
        <x:v>3</x:v>
      </x:c>
      <x:c r="P29" t="n">
        <x:f>IF(AND(AND(ISNUMBER($F29),ISNUMBER($G29),$H29=$L29),$I29=$M29),Reglas!$B$4,0)</x:f>
        <x:v>0</x:v>
      </x:c>
      <x:c r="Q29" t="n">
        <x:f>IF(AND(AND(AND(ISNUMBER($F29),ISNUMBER($G29),$H29=$L29),$I29=$M29,NOT(AND($I29="Penales",$F29&lt;&gt;$G29))),$F29=$J29,$G29=$K29),Reglas!$B$5,0)</x:f>
        <x:v>0</x:v>
      </x:c>
      <x:c r="R29" t="n">
        <x:f>IF(AND(AND(AND(ISNUMBER($F29),ISNUMBER($G29),$H29=$L29),$I29=$M29,NOT(AND($I29="Penales",$F29&lt;&gt;$G29))),$F29-$G29=$J29-$K29),Reglas!$B$6,0)</x:f>
        <x:v>0</x:v>
      </x:c>
      <x:c r="S29" t="n">
        <x:f>IF(AND(AND(AND(ISNUMBER($F29),ISNUMBER($G29),$H29=$L29),$I29=$M29,NOT(AND($I29="Penales",$F29&lt;&gt;$G29))),$F29=$J29),Reglas!$B$7,0)</x:f>
        <x:v>0</x:v>
      </x:c>
      <x:c r="T29" t="n">
        <x:f>IF(AND(AND(AND(ISNUMBER($F29),ISNUMBER($G29),$H29=$L29),$I29=$M29,NOT(AND($I29="Penales",$F29&lt;&gt;$G29))),$G29=$K29),Reglas!$B$8,0)</x:f>
        <x:v>0</x:v>
      </x:c>
      <x:c r="U29" t="n">
        <x:f>SUM(N29:T29)</x:f>
        <x:v>3</x:v>
      </x:c>
      <x:c r="V29" t="str">
        <x:f>IF($W29="Sin respuesta","Sin envio",IF($U29&gt;0,"OK","Sin puntos"))</x:f>
        <x:v>OK</x:v>
      </x:c>
      <x:c r="W29" t="str">
        <x:v>Google Forms</x:v>
      </x:c>
    </x:row>
    <x:row r="30" ht="15" hidden="0" customHeight="1">
      <x:c r="A30" t="str">
        <x:v>4tos</x:v>
      </x:c>
      <x:c r="B30" t="str">
        <x:v>QF1</x:v>
      </x:c>
      <x:c r="C30" t="str">
        <x:v>Javier</x:v>
      </x:c>
      <x:c r="D30" t="str">
        <x:v>Francia</x:v>
      </x:c>
      <x:c r="E30" t="str">
        <x:v>Marruecos</x:v>
      </x:c>
      <x:c r="F30" t="n">
        <x:v>2</x:v>
      </x:c>
      <x:c r="G30" t="n">
        <x:v>1</x:v>
      </x:c>
      <x:c r="H30" t="str">
        <x:v>Francia</x:v>
      </x:c>
      <x:c r="I30" t="str">
        <x:v>Suplementario</x:v>
      </x:c>
      <x:c r="J30" t="n">
        <x:v>2</x:v>
      </x:c>
      <x:c r="K30" t="n">
        <x:v>0</x:v>
      </x:c>
      <x:c r="L30" t="str">
        <x:v>Francia</x:v>
      </x:c>
      <x:c r="M30" t="str">
        <x:v>90 minutos</x:v>
      </x:c>
      <x:c r="N30" t="n">
        <x:f>IF(AND(AND(ISNUMBER($F30),ISNUMBER($G30),$H30=$L30),IF($I30="90 minutos",IF($F30&gt;$G30,"A",IF($G30&gt;$F30,"B","E")),"E")=IF($M30="90 minutos",IF($J30&gt;$K30,"A",IF($K30&gt;$J30,"B","E")),"E")),Reglas!$B$2,0)</x:f>
        <x:v>0</x:v>
      </x:c>
      <x:c r="O30" t="n">
        <x:f>IF(AND(ISNUMBER($F30),ISNUMBER($G30),$H30=$L30),Reglas!$B$3,0)</x:f>
        <x:v>3</x:v>
      </x:c>
      <x:c r="P30" t="n">
        <x:f>IF(AND(AND(ISNUMBER($F30),ISNUMBER($G30),$H30=$L30),$I30=$M30),Reglas!$B$4,0)</x:f>
        <x:v>0</x:v>
      </x:c>
      <x:c r="Q30" t="n">
        <x:f>IF(AND(AND(AND(ISNUMBER($F30),ISNUMBER($G30),$H30=$L30),$I30=$M30,NOT(AND($I30="Penales",$F30&lt;&gt;$G30))),$F30=$J30,$G30=$K30),Reglas!$B$5,0)</x:f>
        <x:v>0</x:v>
      </x:c>
      <x:c r="R30" t="n">
        <x:f>IF(AND(AND(AND(ISNUMBER($F30),ISNUMBER($G30),$H30=$L30),$I30=$M30,NOT(AND($I30="Penales",$F30&lt;&gt;$G30))),$F30-$G30=$J30-$K30),Reglas!$B$6,0)</x:f>
        <x:v>0</x:v>
      </x:c>
      <x:c r="S30" t="n">
        <x:f>IF(AND(AND(AND(ISNUMBER($F30),ISNUMBER($G30),$H30=$L30),$I30=$M30,NOT(AND($I30="Penales",$F30&lt;&gt;$G30))),$F30=$J30),Reglas!$B$7,0)</x:f>
        <x:v>0</x:v>
      </x:c>
      <x:c r="T30" t="n">
        <x:f>IF(AND(AND(AND(ISNUMBER($F30),ISNUMBER($G30),$H30=$L30),$I30=$M30,NOT(AND($I30="Penales",$F30&lt;&gt;$G30))),$G30=$K30),Reglas!$B$8,0)</x:f>
        <x:v>0</x:v>
      </x:c>
      <x:c r="U30" t="n">
        <x:f>SUM(N30:T30)</x:f>
        <x:v>3</x:v>
      </x:c>
      <x:c r="V30" t="str">
        <x:f>IF($W30="Sin respuesta","Sin envio",IF($U30&gt;0,"OK","Sin puntos"))</x:f>
        <x:v>OK</x:v>
      </x:c>
      <x:c r="W30" t="str">
        <x:v>Google Forms</x:v>
      </x:c>
    </x:row>
    <x:row r="31" ht="15" hidden="0" customHeight="1">
      <x:c r="A31" t="str">
        <x:v>4tos</x:v>
      </x:c>
      <x:c r="B31" t="str">
        <x:v>QF2</x:v>
      </x:c>
      <x:c r="C31" t="str">
        <x:v>Javier</x:v>
      </x:c>
      <x:c r="D31" t="str">
        <x:v>España</x:v>
      </x:c>
      <x:c r="E31" t="str">
        <x:v>Bélgica</x:v>
      </x:c>
      <x:c r="F31" t="n">
        <x:v>1</x:v>
      </x:c>
      <x:c r="G31" t="n">
        <x:v>2</x:v>
      </x:c>
      <x:c r="H31" t="str">
        <x:v>Bélgica</x:v>
      </x:c>
      <x:c r="I31" t="str">
        <x:v>90 minutos</x:v>
      </x:c>
      <x:c r="J31" t="n">
        <x:v>2</x:v>
      </x:c>
      <x:c r="K31" t="n">
        <x:v>1</x:v>
      </x:c>
      <x:c r="L31" t="str">
        <x:v>España</x:v>
      </x:c>
      <x:c r="M31" t="str">
        <x:v>90 minutos</x:v>
      </x:c>
      <x:c r="N31" t="n">
        <x:f>IF(AND(AND(ISNUMBER($F31),ISNUMBER($G31),$H31=$L31),IF($I31="90 minutos",IF($F31&gt;$G31,"A",IF($G31&gt;$F31,"B","E")),"E")=IF($M31="90 minutos",IF($J31&gt;$K31,"A",IF($K31&gt;$J31,"B","E")),"E")),Reglas!$B$2,0)</x:f>
        <x:v>0</x:v>
      </x:c>
      <x:c r="O31" t="n">
        <x:f>IF(AND(ISNUMBER($F31),ISNUMBER($G31),$H31=$L31),Reglas!$B$3,0)</x:f>
        <x:v>0</x:v>
      </x:c>
      <x:c r="P31" t="n">
        <x:f>IF(AND(AND(ISNUMBER($F31),ISNUMBER($G31),$H31=$L31),$I31=$M31),Reglas!$B$4,0)</x:f>
        <x:v>0</x:v>
      </x:c>
      <x:c r="Q31" t="n">
        <x:f>IF(AND(AND(AND(ISNUMBER($F31),ISNUMBER($G31),$H31=$L31),$I31=$M31,NOT(AND($I31="Penales",$F31&lt;&gt;$G31))),$F31=$J31,$G31=$K31),Reglas!$B$5,0)</x:f>
        <x:v>0</x:v>
      </x:c>
      <x:c r="R31" t="n">
        <x:f>IF(AND(AND(AND(ISNUMBER($F31),ISNUMBER($G31),$H31=$L31),$I31=$M31,NOT(AND($I31="Penales",$F31&lt;&gt;$G31))),$F31-$G31=$J31-$K31),Reglas!$B$6,0)</x:f>
        <x:v>0</x:v>
      </x:c>
      <x:c r="S31" t="n">
        <x:f>IF(AND(AND(AND(ISNUMBER($F31),ISNUMBER($G31),$H31=$L31),$I31=$M31,NOT(AND($I31="Penales",$F31&lt;&gt;$G31))),$F31=$J31),Reglas!$B$7,0)</x:f>
        <x:v>0</x:v>
      </x:c>
      <x:c r="T31" t="n">
        <x:f>IF(AND(AND(AND(ISNUMBER($F31),ISNUMBER($G31),$H31=$L31),$I31=$M31,NOT(AND($I31="Penales",$F31&lt;&gt;$G31))),$G31=$K31),Reglas!$B$8,0)</x:f>
        <x:v>0</x:v>
      </x:c>
      <x:c r="U31" t="n">
        <x:f>SUM(N31:T31)</x:f>
        <x:v>0</x:v>
      </x:c>
      <x:c r="V31" t="str">
        <x:f>IF($W31="Sin respuesta","Sin envio",IF($U31&gt;0,"OK","Sin puntos"))</x:f>
        <x:v>Sin puntos</x:v>
      </x:c>
      <x:c r="W31" t="str">
        <x:v>Google Forms</x:v>
      </x:c>
    </x:row>
    <x:row r="32" ht="15" hidden="0" customHeight="1">
      <x:c r="A32" t="str">
        <x:v>4tos</x:v>
      </x:c>
      <x:c r="B32" t="str">
        <x:v>QF3</x:v>
      </x:c>
      <x:c r="C32" t="str">
        <x:v>Javier</x:v>
      </x:c>
      <x:c r="D32" t="str">
        <x:v>Noruega</x:v>
      </x:c>
      <x:c r="E32" t="str">
        <x:v>Inglaterra</x:v>
      </x:c>
      <x:c r="F32" t="n">
        <x:v>2</x:v>
      </x:c>
      <x:c r="G32" t="n">
        <x:v>1</x:v>
      </x:c>
      <x:c r="H32" t="str">
        <x:v>Noruega</x:v>
      </x:c>
      <x:c r="I32" t="str">
        <x:v>Suplementario</x:v>
      </x:c>
      <x:c r="J32" t="n">
        <x:v>1</x:v>
      </x:c>
      <x:c r="K32" t="n">
        <x:v>2</x:v>
      </x:c>
      <x:c r="L32" t="str">
        <x:v>Inglaterra</x:v>
      </x:c>
      <x:c r="M32" t="str">
        <x:v>Suplementario</x:v>
      </x:c>
      <x:c r="N32" t="n">
        <x:f>IF(AND(AND(ISNUMBER($F32),ISNUMBER($G32),$H32=$L32),IF($I32="90 minutos",IF($F32&gt;$G32,"A",IF($G32&gt;$F32,"B","E")),"E")=IF($M32="90 minutos",IF($J32&gt;$K32,"A",IF($K32&gt;$J32,"B","E")),"E")),Reglas!$B$2,0)</x:f>
        <x:v>0</x:v>
      </x:c>
      <x:c r="O32" t="n">
        <x:f>IF(AND(ISNUMBER($F32),ISNUMBER($G32),$H32=$L32),Reglas!$B$3,0)</x:f>
        <x:v>0</x:v>
      </x:c>
      <x:c r="P32" t="n">
        <x:f>IF(AND(AND(ISNUMBER($F32),ISNUMBER($G32),$H32=$L32),$I32=$M32),Reglas!$B$4,0)</x:f>
        <x:v>0</x:v>
      </x:c>
      <x:c r="Q32" t="n">
        <x:f>IF(AND(AND(AND(ISNUMBER($F32),ISNUMBER($G32),$H32=$L32),$I32=$M32,NOT(AND($I32="Penales",$F32&lt;&gt;$G32))),$F32=$J32,$G32=$K32),Reglas!$B$5,0)</x:f>
        <x:v>0</x:v>
      </x:c>
      <x:c r="R32" t="n">
        <x:f>IF(AND(AND(AND(ISNUMBER($F32),ISNUMBER($G32),$H32=$L32),$I32=$M32,NOT(AND($I32="Penales",$F32&lt;&gt;$G32))),$F32-$G32=$J32-$K32),Reglas!$B$6,0)</x:f>
        <x:v>0</x:v>
      </x:c>
      <x:c r="S32" t="n">
        <x:f>IF(AND(AND(AND(ISNUMBER($F32),ISNUMBER($G32),$H32=$L32),$I32=$M32,NOT(AND($I32="Penales",$F32&lt;&gt;$G32))),$F32=$J32),Reglas!$B$7,0)</x:f>
        <x:v>0</x:v>
      </x:c>
      <x:c r="T32" t="n">
        <x:f>IF(AND(AND(AND(ISNUMBER($F32),ISNUMBER($G32),$H32=$L32),$I32=$M32,NOT(AND($I32="Penales",$F32&lt;&gt;$G32))),$G32=$K32),Reglas!$B$8,0)</x:f>
        <x:v>0</x:v>
      </x:c>
      <x:c r="U32" t="n">
        <x:f>SUM(N32:T32)</x:f>
        <x:v>0</x:v>
      </x:c>
      <x:c r="V32" t="str">
        <x:f>IF($W32="Sin respuesta","Sin envio",IF($U32&gt;0,"OK","Sin puntos"))</x:f>
        <x:v>Sin puntos</x:v>
      </x:c>
      <x:c r="W32" t="str">
        <x:v>Google Forms</x:v>
      </x:c>
    </x:row>
    <x:row r="33" ht="15" hidden="0" customHeight="1">
      <x:c r="A33" t="str">
        <x:v>4tos</x:v>
      </x:c>
      <x:c r="B33" t="str">
        <x:v>QF4</x:v>
      </x:c>
      <x:c r="C33" t="str">
        <x:v>Javier</x:v>
      </x:c>
      <x:c r="D33" t="str">
        <x:v>Argentina</x:v>
      </x:c>
      <x:c r="E33" t="str">
        <x:v>Suiza</x:v>
      </x:c>
      <x:c r="F33" t="n">
        <x:v>3</x:v>
      </x:c>
      <x:c r="G33" t="n">
        <x:v>0</x:v>
      </x:c>
      <x:c r="H33" t="str">
        <x:v>Argentina</x:v>
      </x:c>
      <x:c r="I33" t="str">
        <x:v>90 minutos</x:v>
      </x:c>
      <x:c r="J33" t="n">
        <x:v>3</x:v>
      </x:c>
      <x:c r="K33" t="n">
        <x:v>1</x:v>
      </x:c>
      <x:c r="L33" t="str">
        <x:v>Argentina</x:v>
      </x:c>
      <x:c r="M33" t="str">
        <x:v>Suplementario</x:v>
      </x:c>
      <x:c r="N33" t="n">
        <x:f>IF(AND(AND(ISNUMBER($F33),ISNUMBER($G33),$H33=$L33),IF($I33="90 minutos",IF($F33&gt;$G33,"A",IF($G33&gt;$F33,"B","E")),"E")=IF($M33="90 minutos",IF($J33&gt;$K33,"A",IF($K33&gt;$J33,"B","E")),"E")),Reglas!$B$2,0)</x:f>
        <x:v>0</x:v>
      </x:c>
      <x:c r="O33" t="n">
        <x:f>IF(AND(ISNUMBER($F33),ISNUMBER($G33),$H33=$L33),Reglas!$B$3,0)</x:f>
        <x:v>3</x:v>
      </x:c>
      <x:c r="P33" t="n">
        <x:f>IF(AND(AND(ISNUMBER($F33),ISNUMBER($G33),$H33=$L33),$I33=$M33),Reglas!$B$4,0)</x:f>
        <x:v>0</x:v>
      </x:c>
      <x:c r="Q33" t="n">
        <x:f>IF(AND(AND(AND(ISNUMBER($F33),ISNUMBER($G33),$H33=$L33),$I33=$M33,NOT(AND($I33="Penales",$F33&lt;&gt;$G33))),$F33=$J33,$G33=$K33),Reglas!$B$5,0)</x:f>
        <x:v>0</x:v>
      </x:c>
      <x:c r="R33" t="n">
        <x:f>IF(AND(AND(AND(ISNUMBER($F33),ISNUMBER($G33),$H33=$L33),$I33=$M33,NOT(AND($I33="Penales",$F33&lt;&gt;$G33))),$F33-$G33=$J33-$K33),Reglas!$B$6,0)</x:f>
        <x:v>0</x:v>
      </x:c>
      <x:c r="S33" t="n">
        <x:f>IF(AND(AND(AND(ISNUMBER($F33),ISNUMBER($G33),$H33=$L33),$I33=$M33,NOT(AND($I33="Penales",$F33&lt;&gt;$G33))),$F33=$J33),Reglas!$B$7,0)</x:f>
        <x:v>0</x:v>
      </x:c>
      <x:c r="T33" t="n">
        <x:f>IF(AND(AND(AND(ISNUMBER($F33),ISNUMBER($G33),$H33=$L33),$I33=$M33,NOT(AND($I33="Penales",$F33&lt;&gt;$G33))),$G33=$K33),Reglas!$B$8,0)</x:f>
        <x:v>0</x:v>
      </x:c>
      <x:c r="U33" t="n">
        <x:f>SUM(N33:T33)</x:f>
        <x:v>3</x:v>
      </x:c>
      <x:c r="V33" t="str">
        <x:f>IF($W33="Sin respuesta","Sin envio",IF($U33&gt;0,"OK","Sin puntos"))</x:f>
        <x:v>OK</x:v>
      </x:c>
      <x:c r="W33" t="str">
        <x:v>Google Forms</x:v>
      </x:c>
    </x:row>
    <x:row r="34" ht="15" hidden="0" customHeight="1">
      <x:c r="A34" t="str">
        <x:v>4tos</x:v>
      </x:c>
      <x:c r="B34" t="str">
        <x:v>QF1</x:v>
      </x:c>
      <x:c r="C34" t="str">
        <x:v>Gino</x:v>
      </x:c>
      <x:c r="D34" t="str">
        <x:v>Francia</x:v>
      </x:c>
      <x:c r="E34" t="str">
        <x:v>Marruecos</x:v>
      </x:c>
      <x:c r="F34" t="n">
        <x:v>2</x:v>
      </x:c>
      <x:c r="G34" t="n">
        <x:v>1</x:v>
      </x:c>
      <x:c r="H34" t="str">
        <x:v>Francia</x:v>
      </x:c>
      <x:c r="I34" t="str">
        <x:v>90 minutos</x:v>
      </x:c>
      <x:c r="J34" t="n">
        <x:v>2</x:v>
      </x:c>
      <x:c r="K34" t="n">
        <x:v>0</x:v>
      </x:c>
      <x:c r="L34" t="str">
        <x:v>Francia</x:v>
      </x:c>
      <x:c r="M34" t="str">
        <x:v>90 minutos</x:v>
      </x:c>
      <x:c r="N34" t="n">
        <x:f>IF(AND(AND(ISNUMBER($F34),ISNUMBER($G34),$H34=$L34),IF($I34="90 minutos",IF($F34&gt;$G34,"A",IF($G34&gt;$F34,"B","E")),"E")=IF($M34="90 minutos",IF($J34&gt;$K34,"A",IF($K34&gt;$J34,"B","E")),"E")),Reglas!$B$2,0)</x:f>
        <x:v>5</x:v>
      </x:c>
      <x:c r="O34" t="n">
        <x:f>IF(AND(ISNUMBER($F34),ISNUMBER($G34),$H34=$L34),Reglas!$B$3,0)</x:f>
        <x:v>3</x:v>
      </x:c>
      <x:c r="P34" t="n">
        <x:f>IF(AND(AND(ISNUMBER($F34),ISNUMBER($G34),$H34=$L34),$I34=$M34),Reglas!$B$4,0)</x:f>
        <x:v>2</x:v>
      </x:c>
      <x:c r="Q34" t="n">
        <x:f>IF(AND(AND(AND(ISNUMBER($F34),ISNUMBER($G34),$H34=$L34),$I34=$M34,NOT(AND($I34="Penales",$F34&lt;&gt;$G34))),$F34=$J34,$G34=$K34),Reglas!$B$5,0)</x:f>
        <x:v>0</x:v>
      </x:c>
      <x:c r="R34" t="n">
        <x:f>IF(AND(AND(AND(ISNUMBER($F34),ISNUMBER($G34),$H34=$L34),$I34=$M34,NOT(AND($I34="Penales",$F34&lt;&gt;$G34))),$F34-$G34=$J34-$K34),Reglas!$B$6,0)</x:f>
        <x:v>0</x:v>
      </x:c>
      <x:c r="S34" t="n">
        <x:f>IF(AND(AND(AND(ISNUMBER($F34),ISNUMBER($G34),$H34=$L34),$I34=$M34,NOT(AND($I34="Penales",$F34&lt;&gt;$G34))),$F34=$J34),Reglas!$B$7,0)</x:f>
        <x:v>1</x:v>
      </x:c>
      <x:c r="T34" t="n">
        <x:f>IF(AND(AND(AND(ISNUMBER($F34),ISNUMBER($G34),$H34=$L34),$I34=$M34,NOT(AND($I34="Penales",$F34&lt;&gt;$G34))),$G34=$K34),Reglas!$B$8,0)</x:f>
        <x:v>0</x:v>
      </x:c>
      <x:c r="U34" t="n">
        <x:f>SUM(N34:T34)</x:f>
        <x:v>11</x:v>
      </x:c>
      <x:c r="V34" t="str">
        <x:f>IF($W34="Sin respuesta","Sin envio",IF($U34&gt;0,"OK","Sin puntos"))</x:f>
        <x:v>OK</x:v>
      </x:c>
      <x:c r="W34" t="str">
        <x:v>Google Forms</x:v>
      </x:c>
    </x:row>
    <x:row r="35" ht="15" hidden="0" customHeight="1">
      <x:c r="A35" t="str">
        <x:v>4tos</x:v>
      </x:c>
      <x:c r="B35" t="str">
        <x:v>QF2</x:v>
      </x:c>
      <x:c r="C35" t="str">
        <x:v>Gino</x:v>
      </x:c>
      <x:c r="D35" t="str">
        <x:v>España</x:v>
      </x:c>
      <x:c r="E35" t="str">
        <x:v>Bélgica</x:v>
      </x:c>
      <x:c r="F35" t="n">
        <x:v>1</x:v>
      </x:c>
      <x:c r="G35" t="n">
        <x:v>2</x:v>
      </x:c>
      <x:c r="H35" t="str">
        <x:v>Bélgica</x:v>
      </x:c>
      <x:c r="I35" t="str">
        <x:v>Suplementario</x:v>
      </x:c>
      <x:c r="J35" t="n">
        <x:v>2</x:v>
      </x:c>
      <x:c r="K35" t="n">
        <x:v>1</x:v>
      </x:c>
      <x:c r="L35" t="str">
        <x:v>España</x:v>
      </x:c>
      <x:c r="M35" t="str">
        <x:v>90 minutos</x:v>
      </x:c>
      <x:c r="N35" t="n">
        <x:f>IF(AND(AND(ISNUMBER($F35),ISNUMBER($G35),$H35=$L35),IF($I35="90 minutos",IF($F35&gt;$G35,"A",IF($G35&gt;$F35,"B","E")),"E")=IF($M35="90 minutos",IF($J35&gt;$K35,"A",IF($K35&gt;$J35,"B","E")),"E")),Reglas!$B$2,0)</x:f>
        <x:v>0</x:v>
      </x:c>
      <x:c r="O35" t="n">
        <x:f>IF(AND(ISNUMBER($F35),ISNUMBER($G35),$H35=$L35),Reglas!$B$3,0)</x:f>
        <x:v>0</x:v>
      </x:c>
      <x:c r="P35" t="n">
        <x:f>IF(AND(AND(ISNUMBER($F35),ISNUMBER($G35),$H35=$L35),$I35=$M35),Reglas!$B$4,0)</x:f>
        <x:v>0</x:v>
      </x:c>
      <x:c r="Q35" t="n">
        <x:f>IF(AND(AND(AND(ISNUMBER($F35),ISNUMBER($G35),$H35=$L35),$I35=$M35,NOT(AND($I35="Penales",$F35&lt;&gt;$G35))),$F35=$J35,$G35=$K35),Reglas!$B$5,0)</x:f>
        <x:v>0</x:v>
      </x:c>
      <x:c r="R35" t="n">
        <x:f>IF(AND(AND(AND(ISNUMBER($F35),ISNUMBER($G35),$H35=$L35),$I35=$M35,NOT(AND($I35="Penales",$F35&lt;&gt;$G35))),$F35-$G35=$J35-$K35),Reglas!$B$6,0)</x:f>
        <x:v>0</x:v>
      </x:c>
      <x:c r="S35" t="n">
        <x:f>IF(AND(AND(AND(ISNUMBER($F35),ISNUMBER($G35),$H35=$L35),$I35=$M35,NOT(AND($I35="Penales",$F35&lt;&gt;$G35))),$F35=$J35),Reglas!$B$7,0)</x:f>
        <x:v>0</x:v>
      </x:c>
      <x:c r="T35" t="n">
        <x:f>IF(AND(AND(AND(ISNUMBER($F35),ISNUMBER($G35),$H35=$L35),$I35=$M35,NOT(AND($I35="Penales",$F35&lt;&gt;$G35))),$G35=$K35),Reglas!$B$8,0)</x:f>
        <x:v>0</x:v>
      </x:c>
      <x:c r="U35" t="n">
        <x:f>SUM(N35:T35)</x:f>
        <x:v>0</x:v>
      </x:c>
      <x:c r="V35" t="str">
        <x:f>IF($W35="Sin respuesta","Sin envio",IF($U35&gt;0,"OK","Sin puntos"))</x:f>
        <x:v>Sin puntos</x:v>
      </x:c>
      <x:c r="W35" t="str">
        <x:v>Google Forms</x:v>
      </x:c>
    </x:row>
    <x:row r="36" ht="15" hidden="0" customHeight="1">
      <x:c r="A36" t="str">
        <x:v>4tos</x:v>
      </x:c>
      <x:c r="B36" t="str">
        <x:v>QF3</x:v>
      </x:c>
      <x:c r="C36" t="str">
        <x:v>Gino</x:v>
      </x:c>
      <x:c r="D36" t="str">
        <x:v>Noruega</x:v>
      </x:c>
      <x:c r="E36" t="str">
        <x:v>Inglaterra</x:v>
      </x:c>
      <x:c r="F36" t="n">
        <x:v>1</x:v>
      </x:c>
      <x:c r="G36" t="n">
        <x:v>2</x:v>
      </x:c>
      <x:c r="H36" t="str">
        <x:v>Noruega</x:v>
      </x:c>
      <x:c r="I36" t="str">
        <x:v>Suplementario</x:v>
      </x:c>
      <x:c r="J36" t="n">
        <x:v>1</x:v>
      </x:c>
      <x:c r="K36" t="n">
        <x:v>2</x:v>
      </x:c>
      <x:c r="L36" t="str">
        <x:v>Inglaterra</x:v>
      </x:c>
      <x:c r="M36" t="str">
        <x:v>Suplementario</x:v>
      </x:c>
      <x:c r="N36" t="n">
        <x:f>IF(AND(AND(ISNUMBER($F36),ISNUMBER($G36),$H36=$L36),IF($I36="90 minutos",IF($F36&gt;$G36,"A",IF($G36&gt;$F36,"B","E")),"E")=IF($M36="90 minutos",IF($J36&gt;$K36,"A",IF($K36&gt;$J36,"B","E")),"E")),Reglas!$B$2,0)</x:f>
        <x:v>0</x:v>
      </x:c>
      <x:c r="O36" t="n">
        <x:f>IF(AND(ISNUMBER($F36),ISNUMBER($G36),$H36=$L36),Reglas!$B$3,0)</x:f>
        <x:v>0</x:v>
      </x:c>
      <x:c r="P36" t="n">
        <x:f>IF(AND(AND(ISNUMBER($F36),ISNUMBER($G36),$H36=$L36),$I36=$M36),Reglas!$B$4,0)</x:f>
        <x:v>0</x:v>
      </x:c>
      <x:c r="Q36" t="n">
        <x:f>IF(AND(AND(AND(ISNUMBER($F36),ISNUMBER($G36),$H36=$L36),$I36=$M36,NOT(AND($I36="Penales",$F36&lt;&gt;$G36))),$F36=$J36,$G36=$K36),Reglas!$B$5,0)</x:f>
        <x:v>0</x:v>
      </x:c>
      <x:c r="R36" t="n">
        <x:f>IF(AND(AND(AND(ISNUMBER($F36),ISNUMBER($G36),$H36=$L36),$I36=$M36,NOT(AND($I36="Penales",$F36&lt;&gt;$G36))),$F36-$G36=$J36-$K36),Reglas!$B$6,0)</x:f>
        <x:v>0</x:v>
      </x:c>
      <x:c r="S36" t="n">
        <x:f>IF(AND(AND(AND(ISNUMBER($F36),ISNUMBER($G36),$H36=$L36),$I36=$M36,NOT(AND($I36="Penales",$F36&lt;&gt;$G36))),$F36=$J36),Reglas!$B$7,0)</x:f>
        <x:v>0</x:v>
      </x:c>
      <x:c r="T36" t="n">
        <x:f>IF(AND(AND(AND(ISNUMBER($F36),ISNUMBER($G36),$H36=$L36),$I36=$M36,NOT(AND($I36="Penales",$F36&lt;&gt;$G36))),$G36=$K36),Reglas!$B$8,0)</x:f>
        <x:v>0</x:v>
      </x:c>
      <x:c r="U36" t="n">
        <x:f>SUM(N36:T36)</x:f>
        <x:v>0</x:v>
      </x:c>
      <x:c r="V36" t="str">
        <x:f>IF($W36="Sin respuesta","Sin envio",IF($U36&gt;0,"OK","Sin puntos"))</x:f>
        <x:v>Sin puntos</x:v>
      </x:c>
      <x:c r="W36" t="str">
        <x:v>Google Forms</x:v>
      </x:c>
    </x:row>
    <x:row r="37" ht="15" hidden="0" customHeight="1">
      <x:c r="A37" t="str">
        <x:v>4tos</x:v>
      </x:c>
      <x:c r="B37" t="str">
        <x:v>QF4</x:v>
      </x:c>
      <x:c r="C37" t="str">
        <x:v>Gino</x:v>
      </x:c>
      <x:c r="D37" t="str">
        <x:v>Argentina</x:v>
      </x:c>
      <x:c r="E37" t="str">
        <x:v>Suiza</x:v>
      </x:c>
      <x:c r="F37" t="n">
        <x:v>2</x:v>
      </x:c>
      <x:c r="G37" t="n">
        <x:v>0</x:v>
      </x:c>
      <x:c r="H37" t="str">
        <x:v>Argentina</x:v>
      </x:c>
      <x:c r="I37" t="str">
        <x:v>90 minutos</x:v>
      </x:c>
      <x:c r="J37" t="n">
        <x:v>3</x:v>
      </x:c>
      <x:c r="K37" t="n">
        <x:v>1</x:v>
      </x:c>
      <x:c r="L37" t="str">
        <x:v>Argentina</x:v>
      </x:c>
      <x:c r="M37" t="str">
        <x:v>Suplementario</x:v>
      </x:c>
      <x:c r="N37" t="n">
        <x:f>IF(AND(AND(ISNUMBER($F37),ISNUMBER($G37),$H37=$L37),IF($I37="90 minutos",IF($F37&gt;$G37,"A",IF($G37&gt;$F37,"B","E")),"E")=IF($M37="90 minutos",IF($J37&gt;$K37,"A",IF($K37&gt;$J37,"B","E")),"E")),Reglas!$B$2,0)</x:f>
        <x:v>0</x:v>
      </x:c>
      <x:c r="O37" t="n">
        <x:f>IF(AND(ISNUMBER($F37),ISNUMBER($G37),$H37=$L37),Reglas!$B$3,0)</x:f>
        <x:v>3</x:v>
      </x:c>
      <x:c r="P37" t="n">
        <x:f>IF(AND(AND(ISNUMBER($F37),ISNUMBER($G37),$H37=$L37),$I37=$M37),Reglas!$B$4,0)</x:f>
        <x:v>0</x:v>
      </x:c>
      <x:c r="Q37" t="n">
        <x:f>IF(AND(AND(AND(ISNUMBER($F37),ISNUMBER($G37),$H37=$L37),$I37=$M37,NOT(AND($I37="Penales",$F37&lt;&gt;$G37))),$F37=$J37,$G37=$K37),Reglas!$B$5,0)</x:f>
        <x:v>0</x:v>
      </x:c>
      <x:c r="R37" t="n">
        <x:f>IF(AND(AND(AND(ISNUMBER($F37),ISNUMBER($G37),$H37=$L37),$I37=$M37,NOT(AND($I37="Penales",$F37&lt;&gt;$G37))),$F37-$G37=$J37-$K37),Reglas!$B$6,0)</x:f>
        <x:v>0</x:v>
      </x:c>
      <x:c r="S37" t="n">
        <x:f>IF(AND(AND(AND(ISNUMBER($F37),ISNUMBER($G37),$H37=$L37),$I37=$M37,NOT(AND($I37="Penales",$F37&lt;&gt;$G37))),$F37=$J37),Reglas!$B$7,0)</x:f>
        <x:v>0</x:v>
      </x:c>
      <x:c r="T37" t="n">
        <x:f>IF(AND(AND(AND(ISNUMBER($F37),ISNUMBER($G37),$H37=$L37),$I37=$M37,NOT(AND($I37="Penales",$F37&lt;&gt;$G37))),$G37=$K37),Reglas!$B$8,0)</x:f>
        <x:v>0</x:v>
      </x:c>
      <x:c r="U37" t="n">
        <x:f>SUM(N37:T37)</x:f>
        <x:v>3</x:v>
      </x:c>
      <x:c r="V37" t="str">
        <x:f>IF($W37="Sin respuesta","Sin envio",IF($U37&gt;0,"OK","Sin puntos"))</x:f>
        <x:v>OK</x:v>
      </x:c>
      <x:c r="W37" t="str">
        <x:v>Google Forms</x:v>
      </x:c>
    </x:row>
    <x:row r="38" ht="15" hidden="0" customHeight="1">
      <x:c r="A38" t="str">
        <x:v>4tos</x:v>
      </x:c>
      <x:c r="B38" t="str">
        <x:v>QF1</x:v>
      </x:c>
      <x:c r="C38" t="str">
        <x:v>Manuel</x:v>
      </x:c>
      <x:c r="D38" t="str">
        <x:v>Francia</x:v>
      </x:c>
      <x:c r="E38" t="str">
        <x:v>Marruecos</x:v>
      </x:c>
      <x:c r="F38" t="n">
        <x:v>2</x:v>
      </x:c>
      <x:c r="G38" t="n">
        <x:v>0</x:v>
      </x:c>
      <x:c r="H38" t="str">
        <x:v>Francia</x:v>
      </x:c>
      <x:c r="I38" t="str">
        <x:v>90 minutos</x:v>
      </x:c>
      <x:c r="J38" t="n">
        <x:v>2</x:v>
      </x:c>
      <x:c r="K38" t="n">
        <x:v>0</x:v>
      </x:c>
      <x:c r="L38" t="str">
        <x:v>Francia</x:v>
      </x:c>
      <x:c r="M38" t="str">
        <x:v>90 minutos</x:v>
      </x:c>
      <x:c r="N38" t="n">
        <x:f>IF(AND(AND(ISNUMBER($F38),ISNUMBER($G38),$H38=$L38),IF($I38="90 minutos",IF($F38&gt;$G38,"A",IF($G38&gt;$F38,"B","E")),"E")=IF($M38="90 minutos",IF($J38&gt;$K38,"A",IF($K38&gt;$J38,"B","E")),"E")),Reglas!$B$2,0)</x:f>
        <x:v>5</x:v>
      </x:c>
      <x:c r="O38" t="n">
        <x:f>IF(AND(ISNUMBER($F38),ISNUMBER($G38),$H38=$L38),Reglas!$B$3,0)</x:f>
        <x:v>3</x:v>
      </x:c>
      <x:c r="P38" t="n">
        <x:f>IF(AND(AND(ISNUMBER($F38),ISNUMBER($G38),$H38=$L38),$I38=$M38),Reglas!$B$4,0)</x:f>
        <x:v>2</x:v>
      </x:c>
      <x:c r="Q38" t="n">
        <x:f>IF(AND(AND(AND(ISNUMBER($F38),ISNUMBER($G38),$H38=$L38),$I38=$M38,NOT(AND($I38="Penales",$F38&lt;&gt;$G38))),$F38=$J38,$G38=$K38),Reglas!$B$5,0)</x:f>
        <x:v>4</x:v>
      </x:c>
      <x:c r="R38" t="n">
        <x:f>IF(AND(AND(AND(ISNUMBER($F38),ISNUMBER($G38),$H38=$L38),$I38=$M38,NOT(AND($I38="Penales",$F38&lt;&gt;$G38))),$F38-$G38=$J38-$K38),Reglas!$B$6,0)</x:f>
        <x:v>2</x:v>
      </x:c>
      <x:c r="S38" t="n">
        <x:f>IF(AND(AND(AND(ISNUMBER($F38),ISNUMBER($G38),$H38=$L38),$I38=$M38,NOT(AND($I38="Penales",$F38&lt;&gt;$G38))),$F38=$J38),Reglas!$B$7,0)</x:f>
        <x:v>1</x:v>
      </x:c>
      <x:c r="T38" t="n">
        <x:f>IF(AND(AND(AND(ISNUMBER($F38),ISNUMBER($G38),$H38=$L38),$I38=$M38,NOT(AND($I38="Penales",$F38&lt;&gt;$G38))),$G38=$K38),Reglas!$B$8,0)</x:f>
        <x:v>1</x:v>
      </x:c>
      <x:c r="U38" t="n">
        <x:f>SUM(N38:T38)</x:f>
        <x:v>18</x:v>
      </x:c>
      <x:c r="V38" t="str">
        <x:f>IF($W38="Sin respuesta","Sin envio",IF($U38&gt;0,"OK","Sin puntos"))</x:f>
        <x:v>OK</x:v>
      </x:c>
      <x:c r="W38" t="str">
        <x:v>Google Forms</x:v>
      </x:c>
    </x:row>
    <x:row r="39" ht="15" hidden="0" customHeight="1">
      <x:c r="A39" t="str">
        <x:v>4tos</x:v>
      </x:c>
      <x:c r="B39" t="str">
        <x:v>QF2</x:v>
      </x:c>
      <x:c r="C39" t="str">
        <x:v>Manuel</x:v>
      </x:c>
      <x:c r="D39" t="str">
        <x:v>España</x:v>
      </x:c>
      <x:c r="E39" t="str">
        <x:v>Bélgica</x:v>
      </x:c>
      <x:c r="F39" t="n">
        <x:v>2</x:v>
      </x:c>
      <x:c r="G39" t="n">
        <x:v>0</x:v>
      </x:c>
      <x:c r="H39" t="str">
        <x:v>España</x:v>
      </x:c>
      <x:c r="I39" t="str">
        <x:v>90 minutos</x:v>
      </x:c>
      <x:c r="J39" t="n">
        <x:v>2</x:v>
      </x:c>
      <x:c r="K39" t="n">
        <x:v>1</x:v>
      </x:c>
      <x:c r="L39" t="str">
        <x:v>España</x:v>
      </x:c>
      <x:c r="M39" t="str">
        <x:v>90 minutos</x:v>
      </x:c>
      <x:c r="N39" t="n">
        <x:f>IF(AND(AND(ISNUMBER($F39),ISNUMBER($G39),$H39=$L39),IF($I39="90 minutos",IF($F39&gt;$G39,"A",IF($G39&gt;$F39,"B","E")),"E")=IF($M39="90 minutos",IF($J39&gt;$K39,"A",IF($K39&gt;$J39,"B","E")),"E")),Reglas!$B$2,0)</x:f>
        <x:v>5</x:v>
      </x:c>
      <x:c r="O39" t="n">
        <x:f>IF(AND(ISNUMBER($F39),ISNUMBER($G39),$H39=$L39),Reglas!$B$3,0)</x:f>
        <x:v>3</x:v>
      </x:c>
      <x:c r="P39" t="n">
        <x:f>IF(AND(AND(ISNUMBER($F39),ISNUMBER($G39),$H39=$L39),$I39=$M39),Reglas!$B$4,0)</x:f>
        <x:v>2</x:v>
      </x:c>
      <x:c r="Q39" t="n">
        <x:f>IF(AND(AND(AND(ISNUMBER($F39),ISNUMBER($G39),$H39=$L39),$I39=$M39,NOT(AND($I39="Penales",$F39&lt;&gt;$G39))),$F39=$J39,$G39=$K39),Reglas!$B$5,0)</x:f>
        <x:v>0</x:v>
      </x:c>
      <x:c r="R39" t="n">
        <x:f>IF(AND(AND(AND(ISNUMBER($F39),ISNUMBER($G39),$H39=$L39),$I39=$M39,NOT(AND($I39="Penales",$F39&lt;&gt;$G39))),$F39-$G39=$J39-$K39),Reglas!$B$6,0)</x:f>
        <x:v>0</x:v>
      </x:c>
      <x:c r="S39" t="n">
        <x:f>IF(AND(AND(AND(ISNUMBER($F39),ISNUMBER($G39),$H39=$L39),$I39=$M39,NOT(AND($I39="Penales",$F39&lt;&gt;$G39))),$F39=$J39),Reglas!$B$7,0)</x:f>
        <x:v>1</x:v>
      </x:c>
      <x:c r="T39" t="n">
        <x:f>IF(AND(AND(AND(ISNUMBER($F39),ISNUMBER($G39),$H39=$L39),$I39=$M39,NOT(AND($I39="Penales",$F39&lt;&gt;$G39))),$G39=$K39),Reglas!$B$8,0)</x:f>
        <x:v>0</x:v>
      </x:c>
      <x:c r="U39" t="n">
        <x:f>SUM(N39:T39)</x:f>
        <x:v>11</x:v>
      </x:c>
      <x:c r="V39" t="str">
        <x:f>IF($W39="Sin respuesta","Sin envio",IF($U39&gt;0,"OK","Sin puntos"))</x:f>
        <x:v>OK</x:v>
      </x:c>
      <x:c r="W39" t="str">
        <x:v>Google Forms</x:v>
      </x:c>
    </x:row>
    <x:row r="40" ht="15" hidden="0" customHeight="1">
      <x:c r="A40" t="str">
        <x:v>4tos</x:v>
      </x:c>
      <x:c r="B40" t="str">
        <x:v>QF3</x:v>
      </x:c>
      <x:c r="C40" t="str">
        <x:v>Manuel</x:v>
      </x:c>
      <x:c r="D40" t="str">
        <x:v>Noruega</x:v>
      </x:c>
      <x:c r="E40" t="str">
        <x:v>Inglaterra</x:v>
      </x:c>
      <x:c r="F40" t="n">
        <x:v>3</x:v>
      </x:c>
      <x:c r="G40" t="n">
        <x:v>2</x:v>
      </x:c>
      <x:c r="H40" t="str">
        <x:v>Noruega</x:v>
      </x:c>
      <x:c r="I40" t="str">
        <x:v>Suplementario</x:v>
      </x:c>
      <x:c r="J40" t="n">
        <x:v>1</x:v>
      </x:c>
      <x:c r="K40" t="n">
        <x:v>2</x:v>
      </x:c>
      <x:c r="L40" t="str">
        <x:v>Inglaterra</x:v>
      </x:c>
      <x:c r="M40" t="str">
        <x:v>Suplementario</x:v>
      </x:c>
      <x:c r="N40" t="n">
        <x:f>IF(AND(AND(ISNUMBER($F40),ISNUMBER($G40),$H40=$L40),IF($I40="90 minutos",IF($F40&gt;$G40,"A",IF($G40&gt;$F40,"B","E")),"E")=IF($M40="90 minutos",IF($J40&gt;$K40,"A",IF($K40&gt;$J40,"B","E")),"E")),Reglas!$B$2,0)</x:f>
        <x:v>0</x:v>
      </x:c>
      <x:c r="O40" t="n">
        <x:f>IF(AND(ISNUMBER($F40),ISNUMBER($G40),$H40=$L40),Reglas!$B$3,0)</x:f>
        <x:v>0</x:v>
      </x:c>
      <x:c r="P40" t="n">
        <x:f>IF(AND(AND(ISNUMBER($F40),ISNUMBER($G40),$H40=$L40),$I40=$M40),Reglas!$B$4,0)</x:f>
        <x:v>0</x:v>
      </x:c>
      <x:c r="Q40" t="n">
        <x:f>IF(AND(AND(AND(ISNUMBER($F40),ISNUMBER($G40),$H40=$L40),$I40=$M40,NOT(AND($I40="Penales",$F40&lt;&gt;$G40))),$F40=$J40,$G40=$K40),Reglas!$B$5,0)</x:f>
        <x:v>0</x:v>
      </x:c>
      <x:c r="R40" t="n">
        <x:f>IF(AND(AND(AND(ISNUMBER($F40),ISNUMBER($G40),$H40=$L40),$I40=$M40,NOT(AND($I40="Penales",$F40&lt;&gt;$G40))),$F40-$G40=$J40-$K40),Reglas!$B$6,0)</x:f>
        <x:v>0</x:v>
      </x:c>
      <x:c r="S40" t="n">
        <x:f>IF(AND(AND(AND(ISNUMBER($F40),ISNUMBER($G40),$H40=$L40),$I40=$M40,NOT(AND($I40="Penales",$F40&lt;&gt;$G40))),$F40=$J40),Reglas!$B$7,0)</x:f>
        <x:v>0</x:v>
      </x:c>
      <x:c r="T40" t="n">
        <x:f>IF(AND(AND(AND(ISNUMBER($F40),ISNUMBER($G40),$H40=$L40),$I40=$M40,NOT(AND($I40="Penales",$F40&lt;&gt;$G40))),$G40=$K40),Reglas!$B$8,0)</x:f>
        <x:v>0</x:v>
      </x:c>
      <x:c r="U40" t="n">
        <x:f>SUM(N40:T40)</x:f>
        <x:v>0</x:v>
      </x:c>
      <x:c r="V40" t="str">
        <x:f>IF($W40="Sin respuesta","Sin envio",IF($U40&gt;0,"OK","Sin puntos"))</x:f>
        <x:v>Sin puntos</x:v>
      </x:c>
      <x:c r="W40" t="str">
        <x:v>Google Forms</x:v>
      </x:c>
    </x:row>
    <x:row r="41" ht="15" hidden="0" customHeight="1">
      <x:c r="A41" t="str">
        <x:v>4tos</x:v>
      </x:c>
      <x:c r="B41" t="str">
        <x:v>QF4</x:v>
      </x:c>
      <x:c r="C41" t="str">
        <x:v>Manuel</x:v>
      </x:c>
      <x:c r="D41" t="str">
        <x:v>Argentina</x:v>
      </x:c>
      <x:c r="E41" t="str">
        <x:v>Suiza</x:v>
      </x:c>
      <x:c r="F41" t="n">
        <x:v>1</x:v>
      </x:c>
      <x:c r="G41" t="n">
        <x:v>2</x:v>
      </x:c>
      <x:c r="H41" t="str">
        <x:v>Suiza</x:v>
      </x:c>
      <x:c r="I41" t="str">
        <x:v>90 minutos</x:v>
      </x:c>
      <x:c r="J41" t="n">
        <x:v>3</x:v>
      </x:c>
      <x:c r="K41" t="n">
        <x:v>1</x:v>
      </x:c>
      <x:c r="L41" t="str">
        <x:v>Argentina</x:v>
      </x:c>
      <x:c r="M41" t="str">
        <x:v>Suplementario</x:v>
      </x:c>
      <x:c r="N41" t="n">
        <x:f>IF(AND(AND(ISNUMBER($F41),ISNUMBER($G41),$H41=$L41),IF($I41="90 minutos",IF($F41&gt;$G41,"A",IF($G41&gt;$F41,"B","E")),"E")=IF($M41="90 minutos",IF($J41&gt;$K41,"A",IF($K41&gt;$J41,"B","E")),"E")),Reglas!$B$2,0)</x:f>
        <x:v>0</x:v>
      </x:c>
      <x:c r="O41" t="n">
        <x:f>IF(AND(ISNUMBER($F41),ISNUMBER($G41),$H41=$L41),Reglas!$B$3,0)</x:f>
        <x:v>0</x:v>
      </x:c>
      <x:c r="P41" t="n">
        <x:f>IF(AND(AND(ISNUMBER($F41),ISNUMBER($G41),$H41=$L41),$I41=$M41),Reglas!$B$4,0)</x:f>
        <x:v>0</x:v>
      </x:c>
      <x:c r="Q41" t="n">
        <x:f>IF(AND(AND(AND(ISNUMBER($F41),ISNUMBER($G41),$H41=$L41),$I41=$M41,NOT(AND($I41="Penales",$F41&lt;&gt;$G41))),$F41=$J41,$G41=$K41),Reglas!$B$5,0)</x:f>
        <x:v>0</x:v>
      </x:c>
      <x:c r="R41" t="n">
        <x:f>IF(AND(AND(AND(ISNUMBER($F41),ISNUMBER($G41),$H41=$L41),$I41=$M41,NOT(AND($I41="Penales",$F41&lt;&gt;$G41))),$F41-$G41=$J41-$K41),Reglas!$B$6,0)</x:f>
        <x:v>0</x:v>
      </x:c>
      <x:c r="S41" t="n">
        <x:f>IF(AND(AND(AND(ISNUMBER($F41),ISNUMBER($G41),$H41=$L41),$I41=$M41,NOT(AND($I41="Penales",$F41&lt;&gt;$G41))),$F41=$J41),Reglas!$B$7,0)</x:f>
        <x:v>0</x:v>
      </x:c>
      <x:c r="T41" t="n">
        <x:f>IF(AND(AND(AND(ISNUMBER($F41),ISNUMBER($G41),$H41=$L41),$I41=$M41,NOT(AND($I41="Penales",$F41&lt;&gt;$G41))),$G41=$K41),Reglas!$B$8,0)</x:f>
        <x:v>0</x:v>
      </x:c>
      <x:c r="U41" t="n">
        <x:f>SUM(N41:T41)</x:f>
        <x:v>0</x:v>
      </x:c>
      <x:c r="V41" t="str">
        <x:f>IF($W41="Sin respuesta","Sin envio",IF($U41&gt;0,"OK","Sin puntos"))</x:f>
        <x:v>Sin puntos</x:v>
      </x:c>
      <x:c r="W41" t="str">
        <x:v>Google Forms</x:v>
      </x:c>
    </x:row>
    <x:row r="42" ht="15" hidden="0" customHeight="1">
      <x:c r="A42" t="str">
        <x:v>4tos</x:v>
      </x:c>
      <x:c r="B42" t="str">
        <x:v>QF1</x:v>
      </x:c>
      <x:c r="C42" t="str">
        <x:v>Jorge</x:v>
      </x:c>
      <x:c r="D42" t="str">
        <x:v>Francia</x:v>
      </x:c>
      <x:c r="E42" t="str">
        <x:v>Marruecos</x:v>
      </x:c>
      <x:c r="F42" t="n">
        <x:v>3</x:v>
      </x:c>
      <x:c r="G42" t="n">
        <x:v>2</x:v>
      </x:c>
      <x:c r="H42" t="str">
        <x:v>Francia</x:v>
      </x:c>
      <x:c r="I42" t="str">
        <x:v>90 minutos</x:v>
      </x:c>
      <x:c r="J42" t="n">
        <x:v>2</x:v>
      </x:c>
      <x:c r="K42" t="n">
        <x:v>0</x:v>
      </x:c>
      <x:c r="L42" t="str">
        <x:v>Francia</x:v>
      </x:c>
      <x:c r="M42" t="str">
        <x:v>90 minutos</x:v>
      </x:c>
      <x:c r="N42" t="n">
        <x:f>IF(AND(AND(ISNUMBER($F42),ISNUMBER($G42),$H42=$L42),IF($I42="90 minutos",IF($F42&gt;$G42,"A",IF($G42&gt;$F42,"B","E")),"E")=IF($M42="90 minutos",IF($J42&gt;$K42,"A",IF($K42&gt;$J42,"B","E")),"E")),Reglas!$B$2,0)</x:f>
        <x:v>5</x:v>
      </x:c>
      <x:c r="O42" t="n">
        <x:f>IF(AND(ISNUMBER($F42),ISNUMBER($G42),$H42=$L42),Reglas!$B$3,0)</x:f>
        <x:v>3</x:v>
      </x:c>
      <x:c r="P42" t="n">
        <x:f>IF(AND(AND(ISNUMBER($F42),ISNUMBER($G42),$H42=$L42),$I42=$M42),Reglas!$B$4,0)</x:f>
        <x:v>2</x:v>
      </x:c>
      <x:c r="Q42" t="n">
        <x:f>IF(AND(AND(AND(ISNUMBER($F42),ISNUMBER($G42),$H42=$L42),$I42=$M42,NOT(AND($I42="Penales",$F42&lt;&gt;$G42))),$F42=$J42,$G42=$K42),Reglas!$B$5,0)</x:f>
        <x:v>0</x:v>
      </x:c>
      <x:c r="R42" t="n">
        <x:f>IF(AND(AND(AND(ISNUMBER($F42),ISNUMBER($G42),$H42=$L42),$I42=$M42,NOT(AND($I42="Penales",$F42&lt;&gt;$G42))),$F42-$G42=$J42-$K42),Reglas!$B$6,0)</x:f>
        <x:v>0</x:v>
      </x:c>
      <x:c r="S42" t="n">
        <x:f>IF(AND(AND(AND(ISNUMBER($F42),ISNUMBER($G42),$H42=$L42),$I42=$M42,NOT(AND($I42="Penales",$F42&lt;&gt;$G42))),$F42=$J42),Reglas!$B$7,0)</x:f>
        <x:v>0</x:v>
      </x:c>
      <x:c r="T42" t="n">
        <x:f>IF(AND(AND(AND(ISNUMBER($F42),ISNUMBER($G42),$H42=$L42),$I42=$M42,NOT(AND($I42="Penales",$F42&lt;&gt;$G42))),$G42=$K42),Reglas!$B$8,0)</x:f>
        <x:v>0</x:v>
      </x:c>
      <x:c r="U42" t="n">
        <x:f>SUM(N42:T42)</x:f>
        <x:v>10</x:v>
      </x:c>
      <x:c r="V42" t="str">
        <x:f>IF($W42="Sin respuesta","Sin envio",IF($U42&gt;0,"OK","Sin puntos"))</x:f>
        <x:v>OK</x:v>
      </x:c>
      <x:c r="W42" t="str">
        <x:v>Google Forms</x:v>
      </x:c>
    </x:row>
    <x:row r="43" ht="15" hidden="0" customHeight="1">
      <x:c r="A43" t="str">
        <x:v>4tos</x:v>
      </x:c>
      <x:c r="B43" t="str">
        <x:v>QF2</x:v>
      </x:c>
      <x:c r="C43" t="str">
        <x:v>Jorge</x:v>
      </x:c>
      <x:c r="D43" t="str">
        <x:v>España</x:v>
      </x:c>
      <x:c r="E43" t="str">
        <x:v>Bélgica</x:v>
      </x:c>
      <x:c r="F43" t="n">
        <x:v>4</x:v>
      </x:c>
      <x:c r="G43" t="n">
        <x:v>2</x:v>
      </x:c>
      <x:c r="H43" t="str">
        <x:v>España</x:v>
      </x:c>
      <x:c r="I43" t="str">
        <x:v>90 minutos</x:v>
      </x:c>
      <x:c r="J43" t="n">
        <x:v>2</x:v>
      </x:c>
      <x:c r="K43" t="n">
        <x:v>1</x:v>
      </x:c>
      <x:c r="L43" t="str">
        <x:v>España</x:v>
      </x:c>
      <x:c r="M43" t="str">
        <x:v>90 minutos</x:v>
      </x:c>
      <x:c r="N43" t="n">
        <x:f>IF(AND(AND(ISNUMBER($F43),ISNUMBER($G43),$H43=$L43),IF($I43="90 minutos",IF($F43&gt;$G43,"A",IF($G43&gt;$F43,"B","E")),"E")=IF($M43="90 minutos",IF($J43&gt;$K43,"A",IF($K43&gt;$J43,"B","E")),"E")),Reglas!$B$2,0)</x:f>
        <x:v>5</x:v>
      </x:c>
      <x:c r="O43" t="n">
        <x:f>IF(AND(ISNUMBER($F43),ISNUMBER($G43),$H43=$L43),Reglas!$B$3,0)</x:f>
        <x:v>3</x:v>
      </x:c>
      <x:c r="P43" t="n">
        <x:f>IF(AND(AND(ISNUMBER($F43),ISNUMBER($G43),$H43=$L43),$I43=$M43),Reglas!$B$4,0)</x:f>
        <x:v>2</x:v>
      </x:c>
      <x:c r="Q43" t="n">
        <x:f>IF(AND(AND(AND(ISNUMBER($F43),ISNUMBER($G43),$H43=$L43),$I43=$M43,NOT(AND($I43="Penales",$F43&lt;&gt;$G43))),$F43=$J43,$G43=$K43),Reglas!$B$5,0)</x:f>
        <x:v>0</x:v>
      </x:c>
      <x:c r="R43" t="n">
        <x:f>IF(AND(AND(AND(ISNUMBER($F43),ISNUMBER($G43),$H43=$L43),$I43=$M43,NOT(AND($I43="Penales",$F43&lt;&gt;$G43))),$F43-$G43=$J43-$K43),Reglas!$B$6,0)</x:f>
        <x:v>0</x:v>
      </x:c>
      <x:c r="S43" t="n">
        <x:f>IF(AND(AND(AND(ISNUMBER($F43),ISNUMBER($G43),$H43=$L43),$I43=$M43,NOT(AND($I43="Penales",$F43&lt;&gt;$G43))),$F43=$J43),Reglas!$B$7,0)</x:f>
        <x:v>0</x:v>
      </x:c>
      <x:c r="T43" t="n">
        <x:f>IF(AND(AND(AND(ISNUMBER($F43),ISNUMBER($G43),$H43=$L43),$I43=$M43,NOT(AND($I43="Penales",$F43&lt;&gt;$G43))),$G43=$K43),Reglas!$B$8,0)</x:f>
        <x:v>0</x:v>
      </x:c>
      <x:c r="U43" t="n">
        <x:f>SUM(N43:T43)</x:f>
        <x:v>10</x:v>
      </x:c>
      <x:c r="V43" t="str">
        <x:f>IF($W43="Sin respuesta","Sin envio",IF($U43&gt;0,"OK","Sin puntos"))</x:f>
        <x:v>OK</x:v>
      </x:c>
      <x:c r="W43" t="str">
        <x:v>Google Forms</x:v>
      </x:c>
    </x:row>
    <x:row r="44" ht="15" hidden="0" customHeight="1">
      <x:c r="A44" t="str">
        <x:v>4tos</x:v>
      </x:c>
      <x:c r="B44" t="str">
        <x:v>QF3</x:v>
      </x:c>
      <x:c r="C44" t="str">
        <x:v>Jorge</x:v>
      </x:c>
      <x:c r="D44" t="str">
        <x:v>Noruega</x:v>
      </x:c>
      <x:c r="E44" t="str">
        <x:v>Inglaterra</x:v>
      </x:c>
      <x:c r="F44" t="n">
        <x:v>1</x:v>
      </x:c>
      <x:c r="G44" t="n">
        <x:v>2</x:v>
      </x:c>
      <x:c r="H44" t="str">
        <x:v>Noruega</x:v>
      </x:c>
      <x:c r="I44" t="str">
        <x:v>90 minutos</x:v>
      </x:c>
      <x:c r="J44" t="n">
        <x:v>1</x:v>
      </x:c>
      <x:c r="K44" t="n">
        <x:v>2</x:v>
      </x:c>
      <x:c r="L44" t="str">
        <x:v>Inglaterra</x:v>
      </x:c>
      <x:c r="M44" t="str">
        <x:v>Suplementario</x:v>
      </x:c>
      <x:c r="N44" t="n">
        <x:f>IF(AND(AND(ISNUMBER($F44),ISNUMBER($G44),$H44=$L44),IF($I44="90 minutos",IF($F44&gt;$G44,"A",IF($G44&gt;$F44,"B","E")),"E")=IF($M44="90 minutos",IF($J44&gt;$K44,"A",IF($K44&gt;$J44,"B","E")),"E")),Reglas!$B$2,0)</x:f>
        <x:v>0</x:v>
      </x:c>
      <x:c r="O44" t="n">
        <x:f>IF(AND(ISNUMBER($F44),ISNUMBER($G44),$H44=$L44),Reglas!$B$3,0)</x:f>
        <x:v>0</x:v>
      </x:c>
      <x:c r="P44" t="n">
        <x:f>IF(AND(AND(ISNUMBER($F44),ISNUMBER($G44),$H44=$L44),$I44=$M44),Reglas!$B$4,0)</x:f>
        <x:v>0</x:v>
      </x:c>
      <x:c r="Q44" t="n">
        <x:f>IF(AND(AND(AND(ISNUMBER($F44),ISNUMBER($G44),$H44=$L44),$I44=$M44,NOT(AND($I44="Penales",$F44&lt;&gt;$G44))),$F44=$J44,$G44=$K44),Reglas!$B$5,0)</x:f>
        <x:v>0</x:v>
      </x:c>
      <x:c r="R44" t="n">
        <x:f>IF(AND(AND(AND(ISNUMBER($F44),ISNUMBER($G44),$H44=$L44),$I44=$M44,NOT(AND($I44="Penales",$F44&lt;&gt;$G44))),$F44-$G44=$J44-$K44),Reglas!$B$6,0)</x:f>
        <x:v>0</x:v>
      </x:c>
      <x:c r="S44" t="n">
        <x:f>IF(AND(AND(AND(ISNUMBER($F44),ISNUMBER($G44),$H44=$L44),$I44=$M44,NOT(AND($I44="Penales",$F44&lt;&gt;$G44))),$F44=$J44),Reglas!$B$7,0)</x:f>
        <x:v>0</x:v>
      </x:c>
      <x:c r="T44" t="n">
        <x:f>IF(AND(AND(AND(ISNUMBER($F44),ISNUMBER($G44),$H44=$L44),$I44=$M44,NOT(AND($I44="Penales",$F44&lt;&gt;$G44))),$G44=$K44),Reglas!$B$8,0)</x:f>
        <x:v>0</x:v>
      </x:c>
      <x:c r="U44" t="n">
        <x:f>SUM(N44:T44)</x:f>
        <x:v>0</x:v>
      </x:c>
      <x:c r="V44" t="str">
        <x:f>IF($W44="Sin respuesta","Sin envio",IF($U44&gt;0,"OK","Sin puntos"))</x:f>
        <x:v>Sin puntos</x:v>
      </x:c>
      <x:c r="W44" t="str">
        <x:v>Google Forms</x:v>
      </x:c>
    </x:row>
    <x:row r="45" ht="15" hidden="0" customHeight="1">
      <x:c r="A45" t="str">
        <x:v>4tos</x:v>
      </x:c>
      <x:c r="B45" t="str">
        <x:v>QF4</x:v>
      </x:c>
      <x:c r="C45" t="str">
        <x:v>Jorge</x:v>
      </x:c>
      <x:c r="D45" t="str">
        <x:v>Argentina</x:v>
      </x:c>
      <x:c r="E45" t="str">
        <x:v>Suiza</x:v>
      </x:c>
      <x:c r="F45" t="n">
        <x:v>3</x:v>
      </x:c>
      <x:c r="G45" t="n">
        <x:v>1</x:v>
      </x:c>
      <x:c r="H45" t="str">
        <x:v>Argentina</x:v>
      </x:c>
      <x:c r="I45" t="str">
        <x:v>90 minutos</x:v>
      </x:c>
      <x:c r="J45" t="n">
        <x:v>3</x:v>
      </x:c>
      <x:c r="K45" t="n">
        <x:v>1</x:v>
      </x:c>
      <x:c r="L45" t="str">
        <x:v>Argentina</x:v>
      </x:c>
      <x:c r="M45" t="str">
        <x:v>Suplementario</x:v>
      </x:c>
      <x:c r="N45" t="n">
        <x:f>IF(AND(AND(ISNUMBER($F45),ISNUMBER($G45),$H45=$L45),IF($I45="90 minutos",IF($F45&gt;$G45,"A",IF($G45&gt;$F45,"B","E")),"E")=IF($M45="90 minutos",IF($J45&gt;$K45,"A",IF($K45&gt;$J45,"B","E")),"E")),Reglas!$B$2,0)</x:f>
        <x:v>0</x:v>
      </x:c>
      <x:c r="O45" t="n">
        <x:f>IF(AND(ISNUMBER($F45),ISNUMBER($G45),$H45=$L45),Reglas!$B$3,0)</x:f>
        <x:v>3</x:v>
      </x:c>
      <x:c r="P45" t="n">
        <x:f>IF(AND(AND(ISNUMBER($F45),ISNUMBER($G45),$H45=$L45),$I45=$M45),Reglas!$B$4,0)</x:f>
        <x:v>0</x:v>
      </x:c>
      <x:c r="Q45" t="n">
        <x:f>IF(AND(AND(AND(ISNUMBER($F45),ISNUMBER($G45),$H45=$L45),$I45=$M45,NOT(AND($I45="Penales",$F45&lt;&gt;$G45))),$F45=$J45,$G45=$K45),Reglas!$B$5,0)</x:f>
        <x:v>0</x:v>
      </x:c>
      <x:c r="R45" t="n">
        <x:f>IF(AND(AND(AND(ISNUMBER($F45),ISNUMBER($G45),$H45=$L45),$I45=$M45,NOT(AND($I45="Penales",$F45&lt;&gt;$G45))),$F45-$G45=$J45-$K45),Reglas!$B$6,0)</x:f>
        <x:v>0</x:v>
      </x:c>
      <x:c r="S45" t="n">
        <x:f>IF(AND(AND(AND(ISNUMBER($F45),ISNUMBER($G45),$H45=$L45),$I45=$M45,NOT(AND($I45="Penales",$F45&lt;&gt;$G45))),$F45=$J45),Reglas!$B$7,0)</x:f>
        <x:v>0</x:v>
      </x:c>
      <x:c r="T45" t="n">
        <x:f>IF(AND(AND(AND(ISNUMBER($F45),ISNUMBER($G45),$H45=$L45),$I45=$M45,NOT(AND($I45="Penales",$F45&lt;&gt;$G45))),$G45=$K45),Reglas!$B$8,0)</x:f>
        <x:v>0</x:v>
      </x:c>
      <x:c r="U45" t="n">
        <x:f>SUM(N45:T45)</x:f>
        <x:v>3</x:v>
      </x:c>
      <x:c r="V45" t="str">
        <x:f>IF($W45="Sin respuesta","Sin envio",IF($U45&gt;0,"OK","Sin puntos"))</x:f>
        <x:v>OK</x:v>
      </x:c>
      <x:c r="W45" t="str">
        <x:v>Google Forms</x:v>
      </x:c>
    </x:row>
    <x:row r="46" ht="15" hidden="0" customHeight="1">
      <x:c r="A46" t="str">
        <x:v>4tos</x:v>
      </x:c>
      <x:c r="B46" t="str">
        <x:v>QF1</x:v>
      </x:c>
      <x:c r="C46" t="str">
        <x:v>Daniel</x:v>
      </x:c>
      <x:c r="D46" t="str">
        <x:v>Francia</x:v>
      </x:c>
      <x:c r="E46" t="str">
        <x:v>Marruecos</x:v>
      </x:c>
      <x:c r="F46" t="n">
        <x:v>3</x:v>
      </x:c>
      <x:c r="G46" t="n">
        <x:v>2</x:v>
      </x:c>
      <x:c r="H46" t="str">
        <x:v>Francia</x:v>
      </x:c>
      <x:c r="I46" t="str">
        <x:v>Suplementario</x:v>
      </x:c>
      <x:c r="J46" t="n">
        <x:v>2</x:v>
      </x:c>
      <x:c r="K46" t="n">
        <x:v>0</x:v>
      </x:c>
      <x:c r="L46" t="str">
        <x:v>Francia</x:v>
      </x:c>
      <x:c r="M46" t="str">
        <x:v>90 minutos</x:v>
      </x:c>
      <x:c r="N46" t="n">
        <x:f>IF(AND(AND(ISNUMBER($F46),ISNUMBER($G46),$H46=$L46),IF($I46="90 minutos",IF($F46&gt;$G46,"A",IF($G46&gt;$F46,"B","E")),"E")=IF($M46="90 minutos",IF($J46&gt;$K46,"A",IF($K46&gt;$J46,"B","E")),"E")),Reglas!$B$2,0)</x:f>
        <x:v>0</x:v>
      </x:c>
      <x:c r="O46" t="n">
        <x:f>IF(AND(ISNUMBER($F46),ISNUMBER($G46),$H46=$L46),Reglas!$B$3,0)</x:f>
        <x:v>3</x:v>
      </x:c>
      <x:c r="P46" t="n">
        <x:f>IF(AND(AND(ISNUMBER($F46),ISNUMBER($G46),$H46=$L46),$I46=$M46),Reglas!$B$4,0)</x:f>
        <x:v>0</x:v>
      </x:c>
      <x:c r="Q46" t="n">
        <x:f>IF(AND(AND(AND(ISNUMBER($F46),ISNUMBER($G46),$H46=$L46),$I46=$M46,NOT(AND($I46="Penales",$F46&lt;&gt;$G46))),$F46=$J46,$G46=$K46),Reglas!$B$5,0)</x:f>
        <x:v>0</x:v>
      </x:c>
      <x:c r="R46" t="n">
        <x:f>IF(AND(AND(AND(ISNUMBER($F46),ISNUMBER($G46),$H46=$L46),$I46=$M46,NOT(AND($I46="Penales",$F46&lt;&gt;$G46))),$F46-$G46=$J46-$K46),Reglas!$B$6,0)</x:f>
        <x:v>0</x:v>
      </x:c>
      <x:c r="S46" t="n">
        <x:f>IF(AND(AND(AND(ISNUMBER($F46),ISNUMBER($G46),$H46=$L46),$I46=$M46,NOT(AND($I46="Penales",$F46&lt;&gt;$G46))),$F46=$J46),Reglas!$B$7,0)</x:f>
        <x:v>0</x:v>
      </x:c>
      <x:c r="T46" t="n">
        <x:f>IF(AND(AND(AND(ISNUMBER($F46),ISNUMBER($G46),$H46=$L46),$I46=$M46,NOT(AND($I46="Penales",$F46&lt;&gt;$G46))),$G46=$K46),Reglas!$B$8,0)</x:f>
        <x:v>0</x:v>
      </x:c>
      <x:c r="U46" t="n">
        <x:f>SUM(N46:T46)</x:f>
        <x:v>3</x:v>
      </x:c>
      <x:c r="V46" t="str">
        <x:f>IF($W46="Sin respuesta","Sin envio",IF($U46&gt;0,"OK","Sin puntos"))</x:f>
        <x:v>OK</x:v>
      </x:c>
      <x:c r="W46" t="str">
        <x:v>Google Forms</x:v>
      </x:c>
    </x:row>
    <x:row r="47" ht="15" hidden="0" customHeight="1">
      <x:c r="A47" t="str">
        <x:v>4tos</x:v>
      </x:c>
      <x:c r="B47" t="str">
        <x:v>QF2</x:v>
      </x:c>
      <x:c r="C47" t="str">
        <x:v>Daniel</x:v>
      </x:c>
      <x:c r="D47" t="str">
        <x:v>España</x:v>
      </x:c>
      <x:c r="E47" t="str">
        <x:v>Bélgica</x:v>
      </x:c>
      <x:c r="F47" t="n">
        <x:v>2</x:v>
      </x:c>
      <x:c r="G47" t="n">
        <x:v>1</x:v>
      </x:c>
      <x:c r="H47" t="str">
        <x:v>España</x:v>
      </x:c>
      <x:c r="I47" t="str">
        <x:v>90 minutos</x:v>
      </x:c>
      <x:c r="J47" t="n">
        <x:v>2</x:v>
      </x:c>
      <x:c r="K47" t="n">
        <x:v>1</x:v>
      </x:c>
      <x:c r="L47" t="str">
        <x:v>España</x:v>
      </x:c>
      <x:c r="M47" t="str">
        <x:v>90 minutos</x:v>
      </x:c>
      <x:c r="N47" t="n">
        <x:f>IF(AND(AND(ISNUMBER($F47),ISNUMBER($G47),$H47=$L47),IF($I47="90 minutos",IF($F47&gt;$G47,"A",IF($G47&gt;$F47,"B","E")),"E")=IF($M47="90 minutos",IF($J47&gt;$K47,"A",IF($K47&gt;$J47,"B","E")),"E")),Reglas!$B$2,0)</x:f>
        <x:v>5</x:v>
      </x:c>
      <x:c r="O47" t="n">
        <x:f>IF(AND(ISNUMBER($F47),ISNUMBER($G47),$H47=$L47),Reglas!$B$3,0)</x:f>
        <x:v>3</x:v>
      </x:c>
      <x:c r="P47" t="n">
        <x:f>IF(AND(AND(ISNUMBER($F47),ISNUMBER($G47),$H47=$L47),$I47=$M47),Reglas!$B$4,0)</x:f>
        <x:v>2</x:v>
      </x:c>
      <x:c r="Q47" t="n">
        <x:f>IF(AND(AND(AND(ISNUMBER($F47),ISNUMBER($G47),$H47=$L47),$I47=$M47,NOT(AND($I47="Penales",$F47&lt;&gt;$G47))),$F47=$J47,$G47=$K47),Reglas!$B$5,0)</x:f>
        <x:v>4</x:v>
      </x:c>
      <x:c r="R47" t="n">
        <x:f>IF(AND(AND(AND(ISNUMBER($F47),ISNUMBER($G47),$H47=$L47),$I47=$M47,NOT(AND($I47="Penales",$F47&lt;&gt;$G47))),$F47-$G47=$J47-$K47),Reglas!$B$6,0)</x:f>
        <x:v>2</x:v>
      </x:c>
      <x:c r="S47" t="n">
        <x:f>IF(AND(AND(AND(ISNUMBER($F47),ISNUMBER($G47),$H47=$L47),$I47=$M47,NOT(AND($I47="Penales",$F47&lt;&gt;$G47))),$F47=$J47),Reglas!$B$7,0)</x:f>
        <x:v>1</x:v>
      </x:c>
      <x:c r="T47" t="n">
        <x:f>IF(AND(AND(AND(ISNUMBER($F47),ISNUMBER($G47),$H47=$L47),$I47=$M47,NOT(AND($I47="Penales",$F47&lt;&gt;$G47))),$G47=$K47),Reglas!$B$8,0)</x:f>
        <x:v>1</x:v>
      </x:c>
      <x:c r="U47" t="n">
        <x:f>SUM(N47:T47)</x:f>
        <x:v>18</x:v>
      </x:c>
      <x:c r="V47" t="str">
        <x:f>IF($W47="Sin respuesta","Sin envio",IF($U47&gt;0,"OK","Sin puntos"))</x:f>
        <x:v>OK</x:v>
      </x:c>
      <x:c r="W47" t="str">
        <x:v>Google Forms</x:v>
      </x:c>
    </x:row>
    <x:row r="48" ht="15" hidden="0" customHeight="1">
      <x:c r="A48" t="str">
        <x:v>4tos</x:v>
      </x:c>
      <x:c r="B48" t="str">
        <x:v>QF3</x:v>
      </x:c>
      <x:c r="C48" t="str">
        <x:v>Daniel</x:v>
      </x:c>
      <x:c r="D48" t="str">
        <x:v>Noruega</x:v>
      </x:c>
      <x:c r="E48" t="str">
        <x:v>Inglaterra</x:v>
      </x:c>
      <x:c r="F48" t="n">
        <x:v>2</x:v>
      </x:c>
      <x:c r="G48" t="n">
        <x:v>2</x:v>
      </x:c>
      <x:c r="H48" t="str">
        <x:v>Noruega</x:v>
      </x:c>
      <x:c r="I48" t="str">
        <x:v>Penales</x:v>
      </x:c>
      <x:c r="J48" t="n">
        <x:v>1</x:v>
      </x:c>
      <x:c r="K48" t="n">
        <x:v>2</x:v>
      </x:c>
      <x:c r="L48" t="str">
        <x:v>Inglaterra</x:v>
      </x:c>
      <x:c r="M48" t="str">
        <x:v>Suplementario</x:v>
      </x:c>
      <x:c r="N48" t="n">
        <x:f>IF(AND(AND(ISNUMBER($F48),ISNUMBER($G48),$H48=$L48),IF($I48="90 minutos",IF($F48&gt;$G48,"A",IF($G48&gt;$F48,"B","E")),"E")=IF($M48="90 minutos",IF($J48&gt;$K48,"A",IF($K48&gt;$J48,"B","E")),"E")),Reglas!$B$2,0)</x:f>
        <x:v>0</x:v>
      </x:c>
      <x:c r="O48" t="n">
        <x:f>IF(AND(ISNUMBER($F48),ISNUMBER($G48),$H48=$L48),Reglas!$B$3,0)</x:f>
        <x:v>0</x:v>
      </x:c>
      <x:c r="P48" t="n">
        <x:f>IF(AND(AND(ISNUMBER($F48),ISNUMBER($G48),$H48=$L48),$I48=$M48),Reglas!$B$4,0)</x:f>
        <x:v>0</x:v>
      </x:c>
      <x:c r="Q48" t="n">
        <x:f>IF(AND(AND(AND(ISNUMBER($F48),ISNUMBER($G48),$H48=$L48),$I48=$M48,NOT(AND($I48="Penales",$F48&lt;&gt;$G48))),$F48=$J48,$G48=$K48),Reglas!$B$5,0)</x:f>
        <x:v>0</x:v>
      </x:c>
      <x:c r="R48" t="n">
        <x:f>IF(AND(AND(AND(ISNUMBER($F48),ISNUMBER($G48),$H48=$L48),$I48=$M48,NOT(AND($I48="Penales",$F48&lt;&gt;$G48))),$F48-$G48=$J48-$K48),Reglas!$B$6,0)</x:f>
        <x:v>0</x:v>
      </x:c>
      <x:c r="S48" t="n">
        <x:f>IF(AND(AND(AND(ISNUMBER($F48),ISNUMBER($G48),$H48=$L48),$I48=$M48,NOT(AND($I48="Penales",$F48&lt;&gt;$G48))),$F48=$J48),Reglas!$B$7,0)</x:f>
        <x:v>0</x:v>
      </x:c>
      <x:c r="T48" t="n">
        <x:f>IF(AND(AND(AND(ISNUMBER($F48),ISNUMBER($G48),$H48=$L48),$I48=$M48,NOT(AND($I48="Penales",$F48&lt;&gt;$G48))),$G48=$K48),Reglas!$B$8,0)</x:f>
        <x:v>0</x:v>
      </x:c>
      <x:c r="U48" t="n">
        <x:f>SUM(N48:T48)</x:f>
        <x:v>0</x:v>
      </x:c>
      <x:c r="V48" t="str">
        <x:f>IF($W48="Sin respuesta","Sin envio",IF($U48&gt;0,"OK","Sin puntos"))</x:f>
        <x:v>Sin puntos</x:v>
      </x:c>
      <x:c r="W48" t="str">
        <x:v>Google Forms</x:v>
      </x:c>
    </x:row>
    <x:row r="49" ht="15" hidden="0" customHeight="1">
      <x:c r="A49" t="str">
        <x:v>4tos</x:v>
      </x:c>
      <x:c r="B49" t="str">
        <x:v>QF4</x:v>
      </x:c>
      <x:c r="C49" t="str">
        <x:v>Daniel</x:v>
      </x:c>
      <x:c r="D49" t="str">
        <x:v>Argentina</x:v>
      </x:c>
      <x:c r="E49" t="str">
        <x:v>Suiza</x:v>
      </x:c>
      <x:c r="F49" t="n">
        <x:v>2</x:v>
      </x:c>
      <x:c r="G49" t="n">
        <x:v>2</x:v>
      </x:c>
      <x:c r="H49" t="str">
        <x:v>Argentina</x:v>
      </x:c>
      <x:c r="I49" t="str">
        <x:v>Penales</x:v>
      </x:c>
      <x:c r="J49" t="n">
        <x:v>3</x:v>
      </x:c>
      <x:c r="K49" t="n">
        <x:v>1</x:v>
      </x:c>
      <x:c r="L49" t="str">
        <x:v>Argentina</x:v>
      </x:c>
      <x:c r="M49" t="str">
        <x:v>Suplementario</x:v>
      </x:c>
      <x:c r="N49" t="n">
        <x:f>IF(AND(AND(ISNUMBER($F49),ISNUMBER($G49),$H49=$L49),IF($I49="90 minutos",IF($F49&gt;$G49,"A",IF($G49&gt;$F49,"B","E")),"E")=IF($M49="90 minutos",IF($J49&gt;$K49,"A",IF($K49&gt;$J49,"B","E")),"E")),Reglas!$B$2,0)</x:f>
        <x:v>5</x:v>
      </x:c>
      <x:c r="O49" t="n">
        <x:f>IF(AND(ISNUMBER($F49),ISNUMBER($G49),$H49=$L49),Reglas!$B$3,0)</x:f>
        <x:v>3</x:v>
      </x:c>
      <x:c r="P49" t="n">
        <x:f>IF(AND(AND(ISNUMBER($F49),ISNUMBER($G49),$H49=$L49),$I49=$M49),Reglas!$B$4,0)</x:f>
        <x:v>0</x:v>
      </x:c>
      <x:c r="Q49" t="n">
        <x:f>IF(AND(AND(AND(ISNUMBER($F49),ISNUMBER($G49),$H49=$L49),$I49=$M49,NOT(AND($I49="Penales",$F49&lt;&gt;$G49))),$F49=$J49,$G49=$K49),Reglas!$B$5,0)</x:f>
        <x:v>0</x:v>
      </x:c>
      <x:c r="R49" t="n">
        <x:f>IF(AND(AND(AND(ISNUMBER($F49),ISNUMBER($G49),$H49=$L49),$I49=$M49,NOT(AND($I49="Penales",$F49&lt;&gt;$G49))),$F49-$G49=$J49-$K49),Reglas!$B$6,0)</x:f>
        <x:v>0</x:v>
      </x:c>
      <x:c r="S49" t="n">
        <x:f>IF(AND(AND(AND(ISNUMBER($F49),ISNUMBER($G49),$H49=$L49),$I49=$M49,NOT(AND($I49="Penales",$F49&lt;&gt;$G49))),$F49=$J49),Reglas!$B$7,0)</x:f>
        <x:v>0</x:v>
      </x:c>
      <x:c r="T49" t="n">
        <x:f>IF(AND(AND(AND(ISNUMBER($F49),ISNUMBER($G49),$H49=$L49),$I49=$M49,NOT(AND($I49="Penales",$F49&lt;&gt;$G49))),$G49=$K49),Reglas!$B$8,0)</x:f>
        <x:v>0</x:v>
      </x:c>
      <x:c r="U49" t="n">
        <x:f>SUM(N49:T49)</x:f>
        <x:v>8</x:v>
      </x:c>
      <x:c r="V49" t="str">
        <x:f>IF($W49="Sin respuesta","Sin envio",IF($U49&gt;0,"OK","Sin puntos"))</x:f>
        <x:v>OK</x:v>
      </x:c>
      <x:c r="W49" t="str">
        <x:v>Google Forms</x:v>
      </x:c>
    </x:row>
    <x:row r="50" ht="15" hidden="0" customHeight="1">
      <x:c r="A50" t="str">
        <x:v>4tos</x:v>
      </x:c>
      <x:c r="B50" t="str">
        <x:v>QF1</x:v>
      </x:c>
      <x:c r="C50" t="str">
        <x:v>Arthur</x:v>
      </x:c>
      <x:c r="D50" t="str">
        <x:v>Francia</x:v>
      </x:c>
      <x:c r="E50" t="str">
        <x:v>Marruecos</x:v>
      </x:c>
      <x:c r="F50" t="n">
        <x:v>2</x:v>
      </x:c>
      <x:c r="G50" t="n">
        <x:v>0</x:v>
      </x:c>
      <x:c r="H50" t="str">
        <x:v>Francia</x:v>
      </x:c>
      <x:c r="I50" t="str">
        <x:v>90 minutos</x:v>
      </x:c>
      <x:c r="J50" t="n">
        <x:v>2</x:v>
      </x:c>
      <x:c r="K50" t="n">
        <x:v>0</x:v>
      </x:c>
      <x:c r="L50" t="str">
        <x:v>Francia</x:v>
      </x:c>
      <x:c r="M50" t="str">
        <x:v>90 minutos</x:v>
      </x:c>
      <x:c r="N50" t="n">
        <x:f>IF(AND(AND(ISNUMBER($F50),ISNUMBER($G50),$H50=$L50),IF($I50="90 minutos",IF($F50&gt;$G50,"A",IF($G50&gt;$F50,"B","E")),"E")=IF($M50="90 minutos",IF($J50&gt;$K50,"A",IF($K50&gt;$J50,"B","E")),"E")),Reglas!$B$2,0)</x:f>
        <x:v>5</x:v>
      </x:c>
      <x:c r="O50" t="n">
        <x:f>IF(AND(ISNUMBER($F50),ISNUMBER($G50),$H50=$L50),Reglas!$B$3,0)</x:f>
        <x:v>3</x:v>
      </x:c>
      <x:c r="P50" t="n">
        <x:f>IF(AND(AND(ISNUMBER($F50),ISNUMBER($G50),$H50=$L50),$I50=$M50),Reglas!$B$4,0)</x:f>
        <x:v>2</x:v>
      </x:c>
      <x:c r="Q50" t="n">
        <x:f>IF(AND(AND(AND(ISNUMBER($F50),ISNUMBER($G50),$H50=$L50),$I50=$M50,NOT(AND($I50="Penales",$F50&lt;&gt;$G50))),$F50=$J50,$G50=$K50),Reglas!$B$5,0)</x:f>
        <x:v>4</x:v>
      </x:c>
      <x:c r="R50" t="n">
        <x:f>IF(AND(AND(AND(ISNUMBER($F50),ISNUMBER($G50),$H50=$L50),$I50=$M50,NOT(AND($I50="Penales",$F50&lt;&gt;$G50))),$F50-$G50=$J50-$K50),Reglas!$B$6,0)</x:f>
        <x:v>2</x:v>
      </x:c>
      <x:c r="S50" t="n">
        <x:f>IF(AND(AND(AND(ISNUMBER($F50),ISNUMBER($G50),$H50=$L50),$I50=$M50,NOT(AND($I50="Penales",$F50&lt;&gt;$G50))),$F50=$J50),Reglas!$B$7,0)</x:f>
        <x:v>1</x:v>
      </x:c>
      <x:c r="T50" t="n">
        <x:f>IF(AND(AND(AND(ISNUMBER($F50),ISNUMBER($G50),$H50=$L50),$I50=$M50,NOT(AND($I50="Penales",$F50&lt;&gt;$G50))),$G50=$K50),Reglas!$B$8,0)</x:f>
        <x:v>1</x:v>
      </x:c>
      <x:c r="U50" t="n">
        <x:f>SUM(N50:T50)</x:f>
        <x:v>18</x:v>
      </x:c>
      <x:c r="V50" t="str">
        <x:f>IF($W50="Sin respuesta","Sin envio",IF($U50&gt;0,"OK","Sin puntos"))</x:f>
        <x:v>OK</x:v>
      </x:c>
      <x:c r="W50" t="str">
        <x:v>Google Forms</x:v>
      </x:c>
    </x:row>
    <x:row r="51" ht="15" hidden="0" customHeight="1">
      <x:c r="A51" t="str">
        <x:v>4tos</x:v>
      </x:c>
      <x:c r="B51" t="str">
        <x:v>QF2</x:v>
      </x:c>
      <x:c r="C51" t="str">
        <x:v>Arthur</x:v>
      </x:c>
      <x:c r="D51" t="str">
        <x:v>España</x:v>
      </x:c>
      <x:c r="E51" t="str">
        <x:v>Bélgica</x:v>
      </x:c>
      <x:c r="F51" t="n">
        <x:v>2</x:v>
      </x:c>
      <x:c r="G51" t="n">
        <x:v>1</x:v>
      </x:c>
      <x:c r="H51" t="str">
        <x:v>España</x:v>
      </x:c>
      <x:c r="I51" t="str">
        <x:v>90 minutos</x:v>
      </x:c>
      <x:c r="J51" t="n">
        <x:v>2</x:v>
      </x:c>
      <x:c r="K51" t="n">
        <x:v>1</x:v>
      </x:c>
      <x:c r="L51" t="str">
        <x:v>España</x:v>
      </x:c>
      <x:c r="M51" t="str">
        <x:v>90 minutos</x:v>
      </x:c>
      <x:c r="N51" t="n">
        <x:f>IF(AND(AND(ISNUMBER($F51),ISNUMBER($G51),$H51=$L51),IF($I51="90 minutos",IF($F51&gt;$G51,"A",IF($G51&gt;$F51,"B","E")),"E")=IF($M51="90 minutos",IF($J51&gt;$K51,"A",IF($K51&gt;$J51,"B","E")),"E")),Reglas!$B$2,0)</x:f>
        <x:v>5</x:v>
      </x:c>
      <x:c r="O51" t="n">
        <x:f>IF(AND(ISNUMBER($F51),ISNUMBER($G51),$H51=$L51),Reglas!$B$3,0)</x:f>
        <x:v>3</x:v>
      </x:c>
      <x:c r="P51" t="n">
        <x:f>IF(AND(AND(ISNUMBER($F51),ISNUMBER($G51),$H51=$L51),$I51=$M51),Reglas!$B$4,0)</x:f>
        <x:v>2</x:v>
      </x:c>
      <x:c r="Q51" t="n">
        <x:f>IF(AND(AND(AND(ISNUMBER($F51),ISNUMBER($G51),$H51=$L51),$I51=$M51,NOT(AND($I51="Penales",$F51&lt;&gt;$G51))),$F51=$J51,$G51=$K51),Reglas!$B$5,0)</x:f>
        <x:v>4</x:v>
      </x:c>
      <x:c r="R51" t="n">
        <x:f>IF(AND(AND(AND(ISNUMBER($F51),ISNUMBER($G51),$H51=$L51),$I51=$M51,NOT(AND($I51="Penales",$F51&lt;&gt;$G51))),$F51-$G51=$J51-$K51),Reglas!$B$6,0)</x:f>
        <x:v>2</x:v>
      </x:c>
      <x:c r="S51" t="n">
        <x:f>IF(AND(AND(AND(ISNUMBER($F51),ISNUMBER($G51),$H51=$L51),$I51=$M51,NOT(AND($I51="Penales",$F51&lt;&gt;$G51))),$F51=$J51),Reglas!$B$7,0)</x:f>
        <x:v>1</x:v>
      </x:c>
      <x:c r="T51" t="n">
        <x:f>IF(AND(AND(AND(ISNUMBER($F51),ISNUMBER($G51),$H51=$L51),$I51=$M51,NOT(AND($I51="Penales",$F51&lt;&gt;$G51))),$G51=$K51),Reglas!$B$8,0)</x:f>
        <x:v>1</x:v>
      </x:c>
      <x:c r="U51" t="n">
        <x:f>SUM(N51:T51)</x:f>
        <x:v>18</x:v>
      </x:c>
      <x:c r="V51" t="str">
        <x:f>IF($W51="Sin respuesta","Sin envio",IF($U51&gt;0,"OK","Sin puntos"))</x:f>
        <x:v>OK</x:v>
      </x:c>
      <x:c r="W51" t="str">
        <x:v>Google Forms</x:v>
      </x:c>
    </x:row>
    <x:row r="52" ht="15" hidden="0" customHeight="1">
      <x:c r="A52" t="str">
        <x:v>4tos</x:v>
      </x:c>
      <x:c r="B52" t="str">
        <x:v>QF3</x:v>
      </x:c>
      <x:c r="C52" t="str">
        <x:v>Arthur</x:v>
      </x:c>
      <x:c r="D52" t="str">
        <x:v>Noruega</x:v>
      </x:c>
      <x:c r="E52" t="str">
        <x:v>Inglaterra</x:v>
      </x:c>
      <x:c r="F52" t="n">
        <x:v>2</x:v>
      </x:c>
      <x:c r="G52" t="n">
        <x:v>1</x:v>
      </x:c>
      <x:c r="H52" t="str">
        <x:v>Noruega</x:v>
      </x:c>
      <x:c r="I52" t="str">
        <x:v>Suplementario</x:v>
      </x:c>
      <x:c r="J52" t="n">
        <x:v>1</x:v>
      </x:c>
      <x:c r="K52" t="n">
        <x:v>2</x:v>
      </x:c>
      <x:c r="L52" t="str">
        <x:v>Inglaterra</x:v>
      </x:c>
      <x:c r="M52" t="str">
        <x:v>Suplementario</x:v>
      </x:c>
      <x:c r="N52" t="n">
        <x:f>IF(AND(AND(ISNUMBER($F52),ISNUMBER($G52),$H52=$L52),IF($I52="90 minutos",IF($F52&gt;$G52,"A",IF($G52&gt;$F52,"B","E")),"E")=IF($M52="90 minutos",IF($J52&gt;$K52,"A",IF($K52&gt;$J52,"B","E")),"E")),Reglas!$B$2,0)</x:f>
        <x:v>0</x:v>
      </x:c>
      <x:c r="O52" t="n">
        <x:f>IF(AND(ISNUMBER($F52),ISNUMBER($G52),$H52=$L52),Reglas!$B$3,0)</x:f>
        <x:v>0</x:v>
      </x:c>
      <x:c r="P52" t="n">
        <x:f>IF(AND(AND(ISNUMBER($F52),ISNUMBER($G52),$H52=$L52),$I52=$M52),Reglas!$B$4,0)</x:f>
        <x:v>0</x:v>
      </x:c>
      <x:c r="Q52" t="n">
        <x:f>IF(AND(AND(AND(ISNUMBER($F52),ISNUMBER($G52),$H52=$L52),$I52=$M52,NOT(AND($I52="Penales",$F52&lt;&gt;$G52))),$F52=$J52,$G52=$K52),Reglas!$B$5,0)</x:f>
        <x:v>0</x:v>
      </x:c>
      <x:c r="R52" t="n">
        <x:f>IF(AND(AND(AND(ISNUMBER($F52),ISNUMBER($G52),$H52=$L52),$I52=$M52,NOT(AND($I52="Penales",$F52&lt;&gt;$G52))),$F52-$G52=$J52-$K52),Reglas!$B$6,0)</x:f>
        <x:v>0</x:v>
      </x:c>
      <x:c r="S52" t="n">
        <x:f>IF(AND(AND(AND(ISNUMBER($F52),ISNUMBER($G52),$H52=$L52),$I52=$M52,NOT(AND($I52="Penales",$F52&lt;&gt;$G52))),$F52=$J52),Reglas!$B$7,0)</x:f>
        <x:v>0</x:v>
      </x:c>
      <x:c r="T52" t="n">
        <x:f>IF(AND(AND(AND(ISNUMBER($F52),ISNUMBER($G52),$H52=$L52),$I52=$M52,NOT(AND($I52="Penales",$F52&lt;&gt;$G52))),$G52=$K52),Reglas!$B$8,0)</x:f>
        <x:v>0</x:v>
      </x:c>
      <x:c r="U52" t="n">
        <x:f>SUM(N52:T52)</x:f>
        <x:v>0</x:v>
      </x:c>
      <x:c r="V52" t="str">
        <x:f>IF($W52="Sin respuesta","Sin envio",IF($U52&gt;0,"OK","Sin puntos"))</x:f>
        <x:v>Sin puntos</x:v>
      </x:c>
      <x:c r="W52" t="str">
        <x:v>Google Forms</x:v>
      </x:c>
    </x:row>
    <x:row r="53" ht="15" hidden="0" customHeight="1">
      <x:c r="A53" t="str">
        <x:v>4tos</x:v>
      </x:c>
      <x:c r="B53" t="str">
        <x:v>QF4</x:v>
      </x:c>
      <x:c r="C53" t="str">
        <x:v>Arthur</x:v>
      </x:c>
      <x:c r="D53" t="str">
        <x:v>Argentina</x:v>
      </x:c>
      <x:c r="E53" t="str">
        <x:v>Suiza</x:v>
      </x:c>
      <x:c r="F53" t="n">
        <x:v>2</x:v>
      </x:c>
      <x:c r="G53" t="n">
        <x:v>0</x:v>
      </x:c>
      <x:c r="H53" t="str">
        <x:v>Argentina</x:v>
      </x:c>
      <x:c r="I53" t="str">
        <x:v>90 minutos</x:v>
      </x:c>
      <x:c r="J53" t="n">
        <x:v>3</x:v>
      </x:c>
      <x:c r="K53" t="n">
        <x:v>1</x:v>
      </x:c>
      <x:c r="L53" t="str">
        <x:v>Argentina</x:v>
      </x:c>
      <x:c r="M53" t="str">
        <x:v>Suplementario</x:v>
      </x:c>
      <x:c r="N53" t="n">
        <x:f>IF(AND(AND(ISNUMBER($F53),ISNUMBER($G53),$H53=$L53),IF($I53="90 minutos",IF($F53&gt;$G53,"A",IF($G53&gt;$F53,"B","E")),"E")=IF($M53="90 minutos",IF($J53&gt;$K53,"A",IF($K53&gt;$J53,"B","E")),"E")),Reglas!$B$2,0)</x:f>
        <x:v>0</x:v>
      </x:c>
      <x:c r="O53" t="n">
        <x:f>IF(AND(ISNUMBER($F53),ISNUMBER($G53),$H53=$L53),Reglas!$B$3,0)</x:f>
        <x:v>3</x:v>
      </x:c>
      <x:c r="P53" t="n">
        <x:f>IF(AND(AND(ISNUMBER($F53),ISNUMBER($G53),$H53=$L53),$I53=$M53),Reglas!$B$4,0)</x:f>
        <x:v>0</x:v>
      </x:c>
      <x:c r="Q53" t="n">
        <x:f>IF(AND(AND(AND(ISNUMBER($F53),ISNUMBER($G53),$H53=$L53),$I53=$M53,NOT(AND($I53="Penales",$F53&lt;&gt;$G53))),$F53=$J53,$G53=$K53),Reglas!$B$5,0)</x:f>
        <x:v>0</x:v>
      </x:c>
      <x:c r="R53" t="n">
        <x:f>IF(AND(AND(AND(ISNUMBER($F53),ISNUMBER($G53),$H53=$L53),$I53=$M53,NOT(AND($I53="Penales",$F53&lt;&gt;$G53))),$F53-$G53=$J53-$K53),Reglas!$B$6,0)</x:f>
        <x:v>0</x:v>
      </x:c>
      <x:c r="S53" t="n">
        <x:f>IF(AND(AND(AND(ISNUMBER($F53),ISNUMBER($G53),$H53=$L53),$I53=$M53,NOT(AND($I53="Penales",$F53&lt;&gt;$G53))),$F53=$J53),Reglas!$B$7,0)</x:f>
        <x:v>0</x:v>
      </x:c>
      <x:c r="T53" t="n">
        <x:f>IF(AND(AND(AND(ISNUMBER($F53),ISNUMBER($G53),$H53=$L53),$I53=$M53,NOT(AND($I53="Penales",$F53&lt;&gt;$G53))),$G53=$K53),Reglas!$B$8,0)</x:f>
        <x:v>0</x:v>
      </x:c>
      <x:c r="U53" t="n">
        <x:f>SUM(N53:T53)</x:f>
        <x:v>3</x:v>
      </x:c>
      <x:c r="V53" t="str">
        <x:f>IF($W53="Sin respuesta","Sin envio",IF($U53&gt;0,"OK","Sin puntos"))</x:f>
        <x:v>OK</x:v>
      </x:c>
      <x:c r="W53" t="str">
        <x:v>Google Forms</x:v>
      </x:c>
    </x:row>
    <x:row r="54" ht="15" hidden="0" customHeight="1">
      <x:c r="A54" t="str">
        <x:v>4tos</x:v>
      </x:c>
      <x:c r="B54" t="str">
        <x:v>QF1</x:v>
      </x:c>
      <x:c r="C54" t="str">
        <x:v>José Luis</x:v>
      </x:c>
      <x:c r="D54" t="str">
        <x:v>Francia</x:v>
      </x:c>
      <x:c r="E54" t="str">
        <x:v>Marruecos</x:v>
      </x:c>
      <x:c r="F54"/>
      <x:c r="G54"/>
      <x:c r="H54" t="str">
        <x:v>Sin envio</x:v>
      </x:c>
      <x:c r="I54" t="str">
        <x:v>Sin envio</x:v>
      </x:c>
      <x:c r="J54" t="n">
        <x:v>2</x:v>
      </x:c>
      <x:c r="K54" t="n">
        <x:v>0</x:v>
      </x:c>
      <x:c r="L54" t="str">
        <x:v>Francia</x:v>
      </x:c>
      <x:c r="M54" t="str">
        <x:v>90 minutos</x:v>
      </x:c>
      <x:c r="N54" t="n">
        <x:f>IF(AND(AND(ISNUMBER($F54),ISNUMBER($G54),$H54=$L54),IF($I54="90 minutos",IF($F54&gt;$G54,"A",IF($G54&gt;$F54,"B","E")),"E")=IF($M54="90 minutos",IF($J54&gt;$K54,"A",IF($K54&gt;$J54,"B","E")),"E")),Reglas!$B$2,0)</x:f>
        <x:v>0</x:v>
      </x:c>
      <x:c r="O54" t="n">
        <x:f>IF(AND(ISNUMBER($F54),ISNUMBER($G54),$H54=$L54),Reglas!$B$3,0)</x:f>
        <x:v>0</x:v>
      </x:c>
      <x:c r="P54" t="n">
        <x:f>IF(AND(AND(ISNUMBER($F54),ISNUMBER($G54),$H54=$L54),$I54=$M54),Reglas!$B$4,0)</x:f>
        <x:v>0</x:v>
      </x:c>
      <x:c r="Q54" t="n">
        <x:f>IF(AND(AND(AND(ISNUMBER($F54),ISNUMBER($G54),$H54=$L54),$I54=$M54,NOT(AND($I54="Penales",$F54&lt;&gt;$G54))),$F54=$J54,$G54=$K54),Reglas!$B$5,0)</x:f>
        <x:v>0</x:v>
      </x:c>
      <x:c r="R54" t="n">
        <x:f>IF(AND(AND(AND(ISNUMBER($F54),ISNUMBER($G54),$H54=$L54),$I54=$M54,NOT(AND($I54="Penales",$F54&lt;&gt;$G54))),$F54-$G54=$J54-$K54),Reglas!$B$6,0)</x:f>
        <x:v>0</x:v>
      </x:c>
      <x:c r="S54" t="n">
        <x:f>IF(AND(AND(AND(ISNUMBER($F54),ISNUMBER($G54),$H54=$L54),$I54=$M54,NOT(AND($I54="Penales",$F54&lt;&gt;$G54))),$F54=$J54),Reglas!$B$7,0)</x:f>
        <x:v>0</x:v>
      </x:c>
      <x:c r="T54" t="n">
        <x:f>IF(AND(AND(AND(ISNUMBER($F54),ISNUMBER($G54),$H54=$L54),$I54=$M54,NOT(AND($I54="Penales",$F54&lt;&gt;$G54))),$G54=$K54),Reglas!$B$8,0)</x:f>
        <x:v>0</x:v>
      </x:c>
      <x:c r="U54" t="n">
        <x:f>SUM(N54:T54)</x:f>
        <x:v>0</x:v>
      </x:c>
      <x:c r="V54" t="str">
        <x:f>IF($W54="Sin respuesta","Sin envio",IF($U54&gt;0,"OK","Sin puntos"))</x:f>
        <x:v>Sin envio</x:v>
      </x:c>
      <x:c r="W54" t="str">
        <x:v>Sin respuesta</x:v>
      </x:c>
    </x:row>
    <x:row r="55" ht="15" hidden="0" customHeight="1">
      <x:c r="A55" t="str">
        <x:v>4tos</x:v>
      </x:c>
      <x:c r="B55" t="str">
        <x:v>QF2</x:v>
      </x:c>
      <x:c r="C55" t="str">
        <x:v>José Luis</x:v>
      </x:c>
      <x:c r="D55" t="str">
        <x:v>España</x:v>
      </x:c>
      <x:c r="E55" t="str">
        <x:v>Bélgica</x:v>
      </x:c>
      <x:c r="F55"/>
      <x:c r="G55"/>
      <x:c r="H55" t="str">
        <x:v>Sin envio</x:v>
      </x:c>
      <x:c r="I55" t="str">
        <x:v>Sin envio</x:v>
      </x:c>
      <x:c r="J55" t="n">
        <x:v>2</x:v>
      </x:c>
      <x:c r="K55" t="n">
        <x:v>1</x:v>
      </x:c>
      <x:c r="L55" t="str">
        <x:v>España</x:v>
      </x:c>
      <x:c r="M55" t="str">
        <x:v>90 minutos</x:v>
      </x:c>
      <x:c r="N55" t="n">
        <x:f>IF(AND(AND(ISNUMBER($F55),ISNUMBER($G55),$H55=$L55),IF($I55="90 minutos",IF($F55&gt;$G55,"A",IF($G55&gt;$F55,"B","E")),"E")=IF($M55="90 minutos",IF($J55&gt;$K55,"A",IF($K55&gt;$J55,"B","E")),"E")),Reglas!$B$2,0)</x:f>
        <x:v>0</x:v>
      </x:c>
      <x:c r="O55" t="n">
        <x:f>IF(AND(ISNUMBER($F55),ISNUMBER($G55),$H55=$L55),Reglas!$B$3,0)</x:f>
        <x:v>0</x:v>
      </x:c>
      <x:c r="P55" t="n">
        <x:f>IF(AND(AND(ISNUMBER($F55),ISNUMBER($G55),$H55=$L55),$I55=$M55),Reglas!$B$4,0)</x:f>
        <x:v>0</x:v>
      </x:c>
      <x:c r="Q55" t="n">
        <x:f>IF(AND(AND(AND(ISNUMBER($F55),ISNUMBER($G55),$H55=$L55),$I55=$M55,NOT(AND($I55="Penales",$F55&lt;&gt;$G55))),$F55=$J55,$G55=$K55),Reglas!$B$5,0)</x:f>
        <x:v>0</x:v>
      </x:c>
      <x:c r="R55" t="n">
        <x:f>IF(AND(AND(AND(ISNUMBER($F55),ISNUMBER($G55),$H55=$L55),$I55=$M55,NOT(AND($I55="Penales",$F55&lt;&gt;$G55))),$F55-$G55=$J55-$K55),Reglas!$B$6,0)</x:f>
        <x:v>0</x:v>
      </x:c>
      <x:c r="S55" t="n">
        <x:f>IF(AND(AND(AND(ISNUMBER($F55),ISNUMBER($G55),$H55=$L55),$I55=$M55,NOT(AND($I55="Penales",$F55&lt;&gt;$G55))),$F55=$J55),Reglas!$B$7,0)</x:f>
        <x:v>0</x:v>
      </x:c>
      <x:c r="T55" t="n">
        <x:f>IF(AND(AND(AND(ISNUMBER($F55),ISNUMBER($G55),$H55=$L55),$I55=$M55,NOT(AND($I55="Penales",$F55&lt;&gt;$G55))),$G55=$K55),Reglas!$B$8,0)</x:f>
        <x:v>0</x:v>
      </x:c>
      <x:c r="U55" t="n">
        <x:f>SUM(N55:T55)</x:f>
        <x:v>0</x:v>
      </x:c>
      <x:c r="V55" t="str">
        <x:f>IF($W55="Sin respuesta","Sin envio",IF($U55&gt;0,"OK","Sin puntos"))</x:f>
        <x:v>Sin envio</x:v>
      </x:c>
      <x:c r="W55" t="str">
        <x:v>Sin respuesta</x:v>
      </x:c>
    </x:row>
    <x:row r="56" ht="15" hidden="0" customHeight="1">
      <x:c r="A56" t="str">
        <x:v>4tos</x:v>
      </x:c>
      <x:c r="B56" t="str">
        <x:v>QF3</x:v>
      </x:c>
      <x:c r="C56" t="str">
        <x:v>José Luis</x:v>
      </x:c>
      <x:c r="D56" t="str">
        <x:v>Noruega</x:v>
      </x:c>
      <x:c r="E56" t="str">
        <x:v>Inglaterra</x:v>
      </x:c>
      <x:c r="F56"/>
      <x:c r="G56"/>
      <x:c r="H56" t="str">
        <x:v>Sin envio</x:v>
      </x:c>
      <x:c r="I56" t="str">
        <x:v>Sin envio</x:v>
      </x:c>
      <x:c r="J56" t="n">
        <x:v>1</x:v>
      </x:c>
      <x:c r="K56" t="n">
        <x:v>2</x:v>
      </x:c>
      <x:c r="L56" t="str">
        <x:v>Inglaterra</x:v>
      </x:c>
      <x:c r="M56" t="str">
        <x:v>Suplementario</x:v>
      </x:c>
      <x:c r="N56" t="n">
        <x:f>IF(AND(AND(ISNUMBER($F56),ISNUMBER($G56),$H56=$L56),IF($I56="90 minutos",IF($F56&gt;$G56,"A",IF($G56&gt;$F56,"B","E")),"E")=IF($M56="90 minutos",IF($J56&gt;$K56,"A",IF($K56&gt;$J56,"B","E")),"E")),Reglas!$B$2,0)</x:f>
        <x:v>0</x:v>
      </x:c>
      <x:c r="O56" t="n">
        <x:f>IF(AND(ISNUMBER($F56),ISNUMBER($G56),$H56=$L56),Reglas!$B$3,0)</x:f>
        <x:v>0</x:v>
      </x:c>
      <x:c r="P56" t="n">
        <x:f>IF(AND(AND(ISNUMBER($F56),ISNUMBER($G56),$H56=$L56),$I56=$M56),Reglas!$B$4,0)</x:f>
        <x:v>0</x:v>
      </x:c>
      <x:c r="Q56" t="n">
        <x:f>IF(AND(AND(AND(ISNUMBER($F56),ISNUMBER($G56),$H56=$L56),$I56=$M56,NOT(AND($I56="Penales",$F56&lt;&gt;$G56))),$F56=$J56,$G56=$K56),Reglas!$B$5,0)</x:f>
        <x:v>0</x:v>
      </x:c>
      <x:c r="R56" t="n">
        <x:f>IF(AND(AND(AND(ISNUMBER($F56),ISNUMBER($G56),$H56=$L56),$I56=$M56,NOT(AND($I56="Penales",$F56&lt;&gt;$G56))),$F56-$G56=$J56-$K56),Reglas!$B$6,0)</x:f>
        <x:v>0</x:v>
      </x:c>
      <x:c r="S56" t="n">
        <x:f>IF(AND(AND(AND(ISNUMBER($F56),ISNUMBER($G56),$H56=$L56),$I56=$M56,NOT(AND($I56="Penales",$F56&lt;&gt;$G56))),$F56=$J56),Reglas!$B$7,0)</x:f>
        <x:v>0</x:v>
      </x:c>
      <x:c r="T56" t="n">
        <x:f>IF(AND(AND(AND(ISNUMBER($F56),ISNUMBER($G56),$H56=$L56),$I56=$M56,NOT(AND($I56="Penales",$F56&lt;&gt;$G56))),$G56=$K56),Reglas!$B$8,0)</x:f>
        <x:v>0</x:v>
      </x:c>
      <x:c r="U56" t="n">
        <x:f>SUM(N56:T56)</x:f>
        <x:v>0</x:v>
      </x:c>
      <x:c r="V56" t="str">
        <x:f>IF($W56="Sin respuesta","Sin envio",IF($U56&gt;0,"OK","Sin puntos"))</x:f>
        <x:v>Sin envio</x:v>
      </x:c>
      <x:c r="W56" t="str">
        <x:v>Sin respuesta</x:v>
      </x:c>
    </x:row>
    <x:row r="57" ht="15" hidden="0" customHeight="1">
      <x:c r="A57" t="str">
        <x:v>4tos</x:v>
      </x:c>
      <x:c r="B57" t="str">
        <x:v>QF4</x:v>
      </x:c>
      <x:c r="C57" t="str">
        <x:v>José Luis</x:v>
      </x:c>
      <x:c r="D57" t="str">
        <x:v>Argentina</x:v>
      </x:c>
      <x:c r="E57" t="str">
        <x:v>Suiza</x:v>
      </x:c>
      <x:c r="F57"/>
      <x:c r="G57"/>
      <x:c r="H57" t="str">
        <x:v>Sin envio</x:v>
      </x:c>
      <x:c r="I57" t="str">
        <x:v>Sin envio</x:v>
      </x:c>
      <x:c r="J57" t="n">
        <x:v>3</x:v>
      </x:c>
      <x:c r="K57" t="n">
        <x:v>1</x:v>
      </x:c>
      <x:c r="L57" t="str">
        <x:v>Argentina</x:v>
      </x:c>
      <x:c r="M57" t="str">
        <x:v>Suplementario</x:v>
      </x:c>
      <x:c r="N57" t="n">
        <x:f>IF(AND(AND(ISNUMBER($F57),ISNUMBER($G57),$H57=$L57),IF($I57="90 minutos",IF($F57&gt;$G57,"A",IF($G57&gt;$F57,"B","E")),"E")=IF($M57="90 minutos",IF($J57&gt;$K57,"A",IF($K57&gt;$J57,"B","E")),"E")),Reglas!$B$2,0)</x:f>
        <x:v>0</x:v>
      </x:c>
      <x:c r="O57" t="n">
        <x:f>IF(AND(ISNUMBER($F57),ISNUMBER($G57),$H57=$L57),Reglas!$B$3,0)</x:f>
        <x:v>0</x:v>
      </x:c>
      <x:c r="P57" t="n">
        <x:f>IF(AND(AND(ISNUMBER($F57),ISNUMBER($G57),$H57=$L57),$I57=$M57),Reglas!$B$4,0)</x:f>
        <x:v>0</x:v>
      </x:c>
      <x:c r="Q57" t="n">
        <x:f>IF(AND(AND(AND(ISNUMBER($F57),ISNUMBER($G57),$H57=$L57),$I57=$M57,NOT(AND($I57="Penales",$F57&lt;&gt;$G57))),$F57=$J57,$G57=$K57),Reglas!$B$5,0)</x:f>
        <x:v>0</x:v>
      </x:c>
      <x:c r="R57" t="n">
        <x:f>IF(AND(AND(AND(ISNUMBER($F57),ISNUMBER($G57),$H57=$L57),$I57=$M57,NOT(AND($I57="Penales",$F57&lt;&gt;$G57))),$F57-$G57=$J57-$K57),Reglas!$B$6,0)</x:f>
        <x:v>0</x:v>
      </x:c>
      <x:c r="S57" t="n">
        <x:f>IF(AND(AND(AND(ISNUMBER($F57),ISNUMBER($G57),$H57=$L57),$I57=$M57,NOT(AND($I57="Penales",$F57&lt;&gt;$G57))),$F57=$J57),Reglas!$B$7,0)</x:f>
        <x:v>0</x:v>
      </x:c>
      <x:c r="T57" t="n">
        <x:f>IF(AND(AND(AND(ISNUMBER($F57),ISNUMBER($G57),$H57=$L57),$I57=$M57,NOT(AND($I57="Penales",$F57&lt;&gt;$G57))),$G57=$K57),Reglas!$B$8,0)</x:f>
        <x:v>0</x:v>
      </x:c>
      <x:c r="U57" t="n">
        <x:f>SUM(N57:T57)</x:f>
        <x:v>0</x:v>
      </x:c>
      <x:c r="V57" t="str">
        <x:f>IF($W57="Sin respuesta","Sin envio",IF($U57&gt;0,"OK","Sin puntos"))</x:f>
        <x:v>Sin envio</x:v>
      </x:c>
      <x:c r="W57" t="str">
        <x:v>Sin respuesta</x:v>
      </x:c>
    </x:row>
    <x:row r="58" ht="15" hidden="0" customHeight="1">
      <x:c r="A58" t="str">
        <x:v>4tos</x:v>
      </x:c>
      <x:c r="B58" t="str">
        <x:v>QF1</x:v>
      </x:c>
      <x:c r="C58" t="str">
        <x:v>Marcelo</x:v>
      </x:c>
      <x:c r="D58" t="str">
        <x:v>Francia</x:v>
      </x:c>
      <x:c r="E58" t="str">
        <x:v>Marruecos</x:v>
      </x:c>
      <x:c r="F58"/>
      <x:c r="G58"/>
      <x:c r="H58" t="str">
        <x:v>Sin envio</x:v>
      </x:c>
      <x:c r="I58" t="str">
        <x:v>Sin envio</x:v>
      </x:c>
      <x:c r="J58" t="n">
        <x:v>2</x:v>
      </x:c>
      <x:c r="K58" t="n">
        <x:v>0</x:v>
      </x:c>
      <x:c r="L58" t="str">
        <x:v>Francia</x:v>
      </x:c>
      <x:c r="M58" t="str">
        <x:v>90 minutos</x:v>
      </x:c>
      <x:c r="N58" t="n">
        <x:f>IF(AND(AND(ISNUMBER($F58),ISNUMBER($G58),$H58=$L58),IF($I58="90 minutos",IF($F58&gt;$G58,"A",IF($G58&gt;$F58,"B","E")),"E")=IF($M58="90 minutos",IF($J58&gt;$K58,"A",IF($K58&gt;$J58,"B","E")),"E")),Reglas!$B$2,0)</x:f>
        <x:v>0</x:v>
      </x:c>
      <x:c r="O58" t="n">
        <x:f>IF(AND(ISNUMBER($F58),ISNUMBER($G58),$H58=$L58),Reglas!$B$3,0)</x:f>
        <x:v>0</x:v>
      </x:c>
      <x:c r="P58" t="n">
        <x:f>IF(AND(AND(ISNUMBER($F58),ISNUMBER($G58),$H58=$L58),$I58=$M58),Reglas!$B$4,0)</x:f>
        <x:v>0</x:v>
      </x:c>
      <x:c r="Q58" t="n">
        <x:f>IF(AND(AND(AND(ISNUMBER($F58),ISNUMBER($G58),$H58=$L58),$I58=$M58,NOT(AND($I58="Penales",$F58&lt;&gt;$G58))),$F58=$J58,$G58=$K58),Reglas!$B$5,0)</x:f>
        <x:v>0</x:v>
      </x:c>
      <x:c r="R58" t="n">
        <x:f>IF(AND(AND(AND(ISNUMBER($F58),ISNUMBER($G58),$H58=$L58),$I58=$M58,NOT(AND($I58="Penales",$F58&lt;&gt;$G58))),$F58-$G58=$J58-$K58),Reglas!$B$6,0)</x:f>
        <x:v>0</x:v>
      </x:c>
      <x:c r="S58" t="n">
        <x:f>IF(AND(AND(AND(ISNUMBER($F58),ISNUMBER($G58),$H58=$L58),$I58=$M58,NOT(AND($I58="Penales",$F58&lt;&gt;$G58))),$F58=$J58),Reglas!$B$7,0)</x:f>
        <x:v>0</x:v>
      </x:c>
      <x:c r="T58" t="n">
        <x:f>IF(AND(AND(AND(ISNUMBER($F58),ISNUMBER($G58),$H58=$L58),$I58=$M58,NOT(AND($I58="Penales",$F58&lt;&gt;$G58))),$G58=$K58),Reglas!$B$8,0)</x:f>
        <x:v>0</x:v>
      </x:c>
      <x:c r="U58" t="n">
        <x:f>SUM(N58:T58)</x:f>
        <x:v>0</x:v>
      </x:c>
      <x:c r="V58" t="str">
        <x:f>IF($W58="Sin respuesta","Sin envio",IF($U58&gt;0,"OK","Sin puntos"))</x:f>
        <x:v>Sin envio</x:v>
      </x:c>
      <x:c r="W58" t="str">
        <x:v>Sin respuesta</x:v>
      </x:c>
    </x:row>
    <x:row r="59" ht="15" hidden="0" customHeight="1">
      <x:c r="A59" t="str">
        <x:v>4tos</x:v>
      </x:c>
      <x:c r="B59" t="str">
        <x:v>QF2</x:v>
      </x:c>
      <x:c r="C59" t="str">
        <x:v>Marcelo</x:v>
      </x:c>
      <x:c r="D59" t="str">
        <x:v>España</x:v>
      </x:c>
      <x:c r="E59" t="str">
        <x:v>Bélgica</x:v>
      </x:c>
      <x:c r="F59"/>
      <x:c r="G59"/>
      <x:c r="H59" t="str">
        <x:v>Sin envio</x:v>
      </x:c>
      <x:c r="I59" t="str">
        <x:v>Sin envio</x:v>
      </x:c>
      <x:c r="J59" t="n">
        <x:v>2</x:v>
      </x:c>
      <x:c r="K59" t="n">
        <x:v>1</x:v>
      </x:c>
      <x:c r="L59" t="str">
        <x:v>España</x:v>
      </x:c>
      <x:c r="M59" t="str">
        <x:v>90 minutos</x:v>
      </x:c>
      <x:c r="N59" t="n">
        <x:f>IF(AND(AND(ISNUMBER($F59),ISNUMBER($G59),$H59=$L59),IF($I59="90 minutos",IF($F59&gt;$G59,"A",IF($G59&gt;$F59,"B","E")),"E")=IF($M59="90 minutos",IF($J59&gt;$K59,"A",IF($K59&gt;$J59,"B","E")),"E")),Reglas!$B$2,0)</x:f>
        <x:v>0</x:v>
      </x:c>
      <x:c r="O59" t="n">
        <x:f>IF(AND(ISNUMBER($F59),ISNUMBER($G59),$H59=$L59),Reglas!$B$3,0)</x:f>
        <x:v>0</x:v>
      </x:c>
      <x:c r="P59" t="n">
        <x:f>IF(AND(AND(ISNUMBER($F59),ISNUMBER($G59),$H59=$L59),$I59=$M59),Reglas!$B$4,0)</x:f>
        <x:v>0</x:v>
      </x:c>
      <x:c r="Q59" t="n">
        <x:f>IF(AND(AND(AND(ISNUMBER($F59),ISNUMBER($G59),$H59=$L59),$I59=$M59,NOT(AND($I59="Penales",$F59&lt;&gt;$G59))),$F59=$J59,$G59=$K59),Reglas!$B$5,0)</x:f>
        <x:v>0</x:v>
      </x:c>
      <x:c r="R59" t="n">
        <x:f>IF(AND(AND(AND(ISNUMBER($F59),ISNUMBER($G59),$H59=$L59),$I59=$M59,NOT(AND($I59="Penales",$F59&lt;&gt;$G59))),$F59-$G59=$J59-$K59),Reglas!$B$6,0)</x:f>
        <x:v>0</x:v>
      </x:c>
      <x:c r="S59" t="n">
        <x:f>IF(AND(AND(AND(ISNUMBER($F59),ISNUMBER($G59),$H59=$L59),$I59=$M59,NOT(AND($I59="Penales",$F59&lt;&gt;$G59))),$F59=$J59),Reglas!$B$7,0)</x:f>
        <x:v>0</x:v>
      </x:c>
      <x:c r="T59" t="n">
        <x:f>IF(AND(AND(AND(ISNUMBER($F59),ISNUMBER($G59),$H59=$L59),$I59=$M59,NOT(AND($I59="Penales",$F59&lt;&gt;$G59))),$G59=$K59),Reglas!$B$8,0)</x:f>
        <x:v>0</x:v>
      </x:c>
      <x:c r="U59" t="n">
        <x:f>SUM(N59:T59)</x:f>
        <x:v>0</x:v>
      </x:c>
      <x:c r="V59" t="str">
        <x:f>IF($W59="Sin respuesta","Sin envio",IF($U59&gt;0,"OK","Sin puntos"))</x:f>
        <x:v>Sin envio</x:v>
      </x:c>
      <x:c r="W59" t="str">
        <x:v>Sin respuesta</x:v>
      </x:c>
    </x:row>
    <x:row r="60" ht="15" hidden="0" customHeight="1">
      <x:c r="A60" t="str">
        <x:v>4tos</x:v>
      </x:c>
      <x:c r="B60" t="str">
        <x:v>QF3</x:v>
      </x:c>
      <x:c r="C60" t="str">
        <x:v>Marcelo</x:v>
      </x:c>
      <x:c r="D60" t="str">
        <x:v>Noruega</x:v>
      </x:c>
      <x:c r="E60" t="str">
        <x:v>Inglaterra</x:v>
      </x:c>
      <x:c r="F60"/>
      <x:c r="G60"/>
      <x:c r="H60" t="str">
        <x:v>Sin envio</x:v>
      </x:c>
      <x:c r="I60" t="str">
        <x:v>Sin envio</x:v>
      </x:c>
      <x:c r="J60" t="n">
        <x:v>1</x:v>
      </x:c>
      <x:c r="K60" t="n">
        <x:v>2</x:v>
      </x:c>
      <x:c r="L60" t="str">
        <x:v>Inglaterra</x:v>
      </x:c>
      <x:c r="M60" t="str">
        <x:v>Suplementario</x:v>
      </x:c>
      <x:c r="N60" t="n">
        <x:f>IF(AND(AND(ISNUMBER($F60),ISNUMBER($G60),$H60=$L60),IF($I60="90 minutos",IF($F60&gt;$G60,"A",IF($G60&gt;$F60,"B","E")),"E")=IF($M60="90 minutos",IF($J60&gt;$K60,"A",IF($K60&gt;$J60,"B","E")),"E")),Reglas!$B$2,0)</x:f>
        <x:v>0</x:v>
      </x:c>
      <x:c r="O60" t="n">
        <x:f>IF(AND(ISNUMBER($F60),ISNUMBER($G60),$H60=$L60),Reglas!$B$3,0)</x:f>
        <x:v>0</x:v>
      </x:c>
      <x:c r="P60" t="n">
        <x:f>IF(AND(AND(ISNUMBER($F60),ISNUMBER($G60),$H60=$L60),$I60=$M60),Reglas!$B$4,0)</x:f>
        <x:v>0</x:v>
      </x:c>
      <x:c r="Q60" t="n">
        <x:f>IF(AND(AND(AND(ISNUMBER($F60),ISNUMBER($G60),$H60=$L60),$I60=$M60,NOT(AND($I60="Penales",$F60&lt;&gt;$G60))),$F60=$J60,$G60=$K60),Reglas!$B$5,0)</x:f>
        <x:v>0</x:v>
      </x:c>
      <x:c r="R60" t="n">
        <x:f>IF(AND(AND(AND(ISNUMBER($F60),ISNUMBER($G60),$H60=$L60),$I60=$M60,NOT(AND($I60="Penales",$F60&lt;&gt;$G60))),$F60-$G60=$J60-$K60),Reglas!$B$6,0)</x:f>
        <x:v>0</x:v>
      </x:c>
      <x:c r="S60" t="n">
        <x:f>IF(AND(AND(AND(ISNUMBER($F60),ISNUMBER($G60),$H60=$L60),$I60=$M60,NOT(AND($I60="Penales",$F60&lt;&gt;$G60))),$F60=$J60),Reglas!$B$7,0)</x:f>
        <x:v>0</x:v>
      </x:c>
      <x:c r="T60" t="n">
        <x:f>IF(AND(AND(AND(ISNUMBER($F60),ISNUMBER($G60),$H60=$L60),$I60=$M60,NOT(AND($I60="Penales",$F60&lt;&gt;$G60))),$G60=$K60),Reglas!$B$8,0)</x:f>
        <x:v>0</x:v>
      </x:c>
      <x:c r="U60" t="n">
        <x:f>SUM(N60:T60)</x:f>
        <x:v>0</x:v>
      </x:c>
      <x:c r="V60" t="str">
        <x:f>IF($W60="Sin respuesta","Sin envio",IF($U60&gt;0,"OK","Sin puntos"))</x:f>
        <x:v>Sin envio</x:v>
      </x:c>
      <x:c r="W60" t="str">
        <x:v>Sin respuesta</x:v>
      </x:c>
    </x:row>
    <x:row r="61" ht="15" hidden="0" customHeight="1">
      <x:c r="A61" t="str">
        <x:v>4tos</x:v>
      </x:c>
      <x:c r="B61" t="str">
        <x:v>QF4</x:v>
      </x:c>
      <x:c r="C61" t="str">
        <x:v>Marcelo</x:v>
      </x:c>
      <x:c r="D61" t="str">
        <x:v>Argentina</x:v>
      </x:c>
      <x:c r="E61" t="str">
        <x:v>Suiza</x:v>
      </x:c>
      <x:c r="F61"/>
      <x:c r="G61"/>
      <x:c r="H61" t="str">
        <x:v>Sin envio</x:v>
      </x:c>
      <x:c r="I61" t="str">
        <x:v>Sin envio</x:v>
      </x:c>
      <x:c r="J61" t="n">
        <x:v>3</x:v>
      </x:c>
      <x:c r="K61" t="n">
        <x:v>1</x:v>
      </x:c>
      <x:c r="L61" t="str">
        <x:v>Argentina</x:v>
      </x:c>
      <x:c r="M61" t="str">
        <x:v>Suplementario</x:v>
      </x:c>
      <x:c r="N61" t="n">
        <x:f>IF(AND(AND(ISNUMBER($F61),ISNUMBER($G61),$H61=$L61),IF($I61="90 minutos",IF($F61&gt;$G61,"A",IF($G61&gt;$F61,"B","E")),"E")=IF($M61="90 minutos",IF($J61&gt;$K61,"A",IF($K61&gt;$J61,"B","E")),"E")),Reglas!$B$2,0)</x:f>
        <x:v>0</x:v>
      </x:c>
      <x:c r="O61" t="n">
        <x:f>IF(AND(ISNUMBER($F61),ISNUMBER($G61),$H61=$L61),Reglas!$B$3,0)</x:f>
        <x:v>0</x:v>
      </x:c>
      <x:c r="P61" t="n">
        <x:f>IF(AND(AND(ISNUMBER($F61),ISNUMBER($G61),$H61=$L61),$I61=$M61),Reglas!$B$4,0)</x:f>
        <x:v>0</x:v>
      </x:c>
      <x:c r="Q61" t="n">
        <x:f>IF(AND(AND(AND(ISNUMBER($F61),ISNUMBER($G61),$H61=$L61),$I61=$M61,NOT(AND($I61="Penales",$F61&lt;&gt;$G61))),$F61=$J61,$G61=$K61),Reglas!$B$5,0)</x:f>
        <x:v>0</x:v>
      </x:c>
      <x:c r="R61" t="n">
        <x:f>IF(AND(AND(AND(ISNUMBER($F61),ISNUMBER($G61),$H61=$L61),$I61=$M61,NOT(AND($I61="Penales",$F61&lt;&gt;$G61))),$F61-$G61=$J61-$K61),Reglas!$B$6,0)</x:f>
        <x:v>0</x:v>
      </x:c>
      <x:c r="S61" t="n">
        <x:f>IF(AND(AND(AND(ISNUMBER($F61),ISNUMBER($G61),$H61=$L61),$I61=$M61,NOT(AND($I61="Penales",$F61&lt;&gt;$G61))),$F61=$J61),Reglas!$B$7,0)</x:f>
        <x:v>0</x:v>
      </x:c>
      <x:c r="T61" t="n">
        <x:f>IF(AND(AND(AND(ISNUMBER($F61),ISNUMBER($G61),$H61=$L61),$I61=$M61,NOT(AND($I61="Penales",$F61&lt;&gt;$G61))),$G61=$K61),Reglas!$B$8,0)</x:f>
        <x:v>0</x:v>
      </x:c>
      <x:c r="U61" t="n">
        <x:f>SUM(N61:T61)</x:f>
        <x:v>0</x:v>
      </x:c>
      <x:c r="V61" t="str">
        <x:f>IF($W61="Sin respuesta","Sin envio",IF($U61&gt;0,"OK","Sin puntos"))</x:f>
        <x:v>Sin envio</x:v>
      </x:c>
      <x:c r="W61" t="str">
        <x:v>Sin respuesta</x:v>
      </x:c>
    </x:row>
    <x:row r="62" ht="15" hidden="0" customHeight="1">
      <x:c r="A62" t="str">
        <x:v>4tos</x:v>
      </x:c>
      <x:c r="B62" t="str">
        <x:v>QF1</x:v>
      </x:c>
      <x:c r="C62" t="str">
        <x:v>Anny</x:v>
      </x:c>
      <x:c r="D62" t="str">
        <x:v>Francia</x:v>
      </x:c>
      <x:c r="E62" t="str">
        <x:v>Marruecos</x:v>
      </x:c>
      <x:c r="F62" t="n">
        <x:v>2</x:v>
      </x:c>
      <x:c r="G62" t="n">
        <x:v>1</x:v>
      </x:c>
      <x:c r="H62" t="str">
        <x:v>Francia</x:v>
      </x:c>
      <x:c r="I62" t="str">
        <x:v>90 minutos</x:v>
      </x:c>
      <x:c r="J62" t="n">
        <x:v>2</x:v>
      </x:c>
      <x:c r="K62" t="n">
        <x:v>0</x:v>
      </x:c>
      <x:c r="L62" t="str">
        <x:v>Francia</x:v>
      </x:c>
      <x:c r="M62" t="str">
        <x:v>90 minutos</x:v>
      </x:c>
      <x:c r="N62" t="n">
        <x:f>IF(AND(AND(ISNUMBER($F62),ISNUMBER($G62),$H62=$L62),IF($I62="90 minutos",IF($F62&gt;$G62,"A",IF($G62&gt;$F62,"B","E")),"E")=IF($M62="90 minutos",IF($J62&gt;$K62,"A",IF($K62&gt;$J62,"B","E")),"E")),Reglas!$B$2,0)</x:f>
        <x:v>5</x:v>
      </x:c>
      <x:c r="O62" t="n">
        <x:f>IF(AND(ISNUMBER($F62),ISNUMBER($G62),$H62=$L62),Reglas!$B$3,0)</x:f>
        <x:v>3</x:v>
      </x:c>
      <x:c r="P62" t="n">
        <x:f>IF(AND(AND(ISNUMBER($F62),ISNUMBER($G62),$H62=$L62),$I62=$M62),Reglas!$B$4,0)</x:f>
        <x:v>2</x:v>
      </x:c>
      <x:c r="Q62" t="n">
        <x:f>IF(AND(AND(AND(ISNUMBER($F62),ISNUMBER($G62),$H62=$L62),$I62=$M62,NOT(AND($I62="Penales",$F62&lt;&gt;$G62))),$F62=$J62,$G62=$K62),Reglas!$B$5,0)</x:f>
        <x:v>0</x:v>
      </x:c>
      <x:c r="R62" t="n">
        <x:f>IF(AND(AND(AND(ISNUMBER($F62),ISNUMBER($G62),$H62=$L62),$I62=$M62,NOT(AND($I62="Penales",$F62&lt;&gt;$G62))),$F62-$G62=$J62-$K62),Reglas!$B$6,0)</x:f>
        <x:v>0</x:v>
      </x:c>
      <x:c r="S62" t="n">
        <x:f>IF(AND(AND(AND(ISNUMBER($F62),ISNUMBER($G62),$H62=$L62),$I62=$M62,NOT(AND($I62="Penales",$F62&lt;&gt;$G62))),$F62=$J62),Reglas!$B$7,0)</x:f>
        <x:v>1</x:v>
      </x:c>
      <x:c r="T62" t="n">
        <x:f>IF(AND(AND(AND(ISNUMBER($F62),ISNUMBER($G62),$H62=$L62),$I62=$M62,NOT(AND($I62="Penales",$F62&lt;&gt;$G62))),$G62=$K62),Reglas!$B$8,0)</x:f>
        <x:v>0</x:v>
      </x:c>
      <x:c r="U62" t="n">
        <x:f>SUM(N62:T62)</x:f>
        <x:v>11</x:v>
      </x:c>
      <x:c r="V62" t="str">
        <x:f>IF($W62="Sin respuesta","Sin envio",IF($U62&gt;0,"OK","Sin puntos"))</x:f>
        <x:v>OK</x:v>
      </x:c>
      <x:c r="W62" t="str">
        <x:v>Google Forms</x:v>
      </x:c>
    </x:row>
    <x:row r="63" ht="15" hidden="0" customHeight="1">
      <x:c r="A63" t="str">
        <x:v>4tos</x:v>
      </x:c>
      <x:c r="B63" t="str">
        <x:v>QF2</x:v>
      </x:c>
      <x:c r="C63" t="str">
        <x:v>Anny</x:v>
      </x:c>
      <x:c r="D63" t="str">
        <x:v>España</x:v>
      </x:c>
      <x:c r="E63" t="str">
        <x:v>Bélgica</x:v>
      </x:c>
      <x:c r="F63" t="n">
        <x:v>1</x:v>
      </x:c>
      <x:c r="G63" t="n">
        <x:v>1</x:v>
      </x:c>
      <x:c r="H63" t="str">
        <x:v>España</x:v>
      </x:c>
      <x:c r="I63" t="str">
        <x:v>Penales</x:v>
      </x:c>
      <x:c r="J63" t="n">
        <x:v>2</x:v>
      </x:c>
      <x:c r="K63" t="n">
        <x:v>1</x:v>
      </x:c>
      <x:c r="L63" t="str">
        <x:v>España</x:v>
      </x:c>
      <x:c r="M63" t="str">
        <x:v>90 minutos</x:v>
      </x:c>
      <x:c r="N63" t="n">
        <x:f>IF(AND(AND(ISNUMBER($F63),ISNUMBER($G63),$H63=$L63),IF($I63="90 minutos",IF($F63&gt;$G63,"A",IF($G63&gt;$F63,"B","E")),"E")=IF($M63="90 minutos",IF($J63&gt;$K63,"A",IF($K63&gt;$J63,"B","E")),"E")),Reglas!$B$2,0)</x:f>
        <x:v>0</x:v>
      </x:c>
      <x:c r="O63" t="n">
        <x:f>IF(AND(ISNUMBER($F63),ISNUMBER($G63),$H63=$L63),Reglas!$B$3,0)</x:f>
        <x:v>3</x:v>
      </x:c>
      <x:c r="P63" t="n">
        <x:f>IF(AND(AND(ISNUMBER($F63),ISNUMBER($G63),$H63=$L63),$I63=$M63),Reglas!$B$4,0)</x:f>
        <x:v>0</x:v>
      </x:c>
      <x:c r="Q63" t="n">
        <x:f>IF(AND(AND(AND(ISNUMBER($F63),ISNUMBER($G63),$H63=$L63),$I63=$M63,NOT(AND($I63="Penales",$F63&lt;&gt;$G63))),$F63=$J63,$G63=$K63),Reglas!$B$5,0)</x:f>
        <x:v>0</x:v>
      </x:c>
      <x:c r="R63" t="n">
        <x:f>IF(AND(AND(AND(ISNUMBER($F63),ISNUMBER($G63),$H63=$L63),$I63=$M63,NOT(AND($I63="Penales",$F63&lt;&gt;$G63))),$F63-$G63=$J63-$K63),Reglas!$B$6,0)</x:f>
        <x:v>0</x:v>
      </x:c>
      <x:c r="S63" t="n">
        <x:f>IF(AND(AND(AND(ISNUMBER($F63),ISNUMBER($G63),$H63=$L63),$I63=$M63,NOT(AND($I63="Penales",$F63&lt;&gt;$G63))),$F63=$J63),Reglas!$B$7,0)</x:f>
        <x:v>0</x:v>
      </x:c>
      <x:c r="T63" t="n">
        <x:f>IF(AND(AND(AND(ISNUMBER($F63),ISNUMBER($G63),$H63=$L63),$I63=$M63,NOT(AND($I63="Penales",$F63&lt;&gt;$G63))),$G63=$K63),Reglas!$B$8,0)</x:f>
        <x:v>0</x:v>
      </x:c>
      <x:c r="U63" t="n">
        <x:f>SUM(N63:T63)</x:f>
        <x:v>3</x:v>
      </x:c>
      <x:c r="V63" t="str">
        <x:f>IF($W63="Sin respuesta","Sin envio",IF($U63&gt;0,"OK","Sin puntos"))</x:f>
        <x:v>OK</x:v>
      </x:c>
      <x:c r="W63" t="str">
        <x:v>Google Forms</x:v>
      </x:c>
    </x:row>
    <x:row r="64" ht="15" hidden="0" customHeight="1">
      <x:c r="A64" t="str">
        <x:v>4tos</x:v>
      </x:c>
      <x:c r="B64" t="str">
        <x:v>QF3</x:v>
      </x:c>
      <x:c r="C64" t="str">
        <x:v>Anny</x:v>
      </x:c>
      <x:c r="D64" t="str">
        <x:v>Noruega</x:v>
      </x:c>
      <x:c r="E64" t="str">
        <x:v>Inglaterra</x:v>
      </x:c>
      <x:c r="F64" t="n">
        <x:v>1</x:v>
      </x:c>
      <x:c r="G64" t="n">
        <x:v>1</x:v>
      </x:c>
      <x:c r="H64" t="str">
        <x:v>Noruega</x:v>
      </x:c>
      <x:c r="I64" t="str">
        <x:v>Suplementario</x:v>
      </x:c>
      <x:c r="J64" t="n">
        <x:v>1</x:v>
      </x:c>
      <x:c r="K64" t="n">
        <x:v>2</x:v>
      </x:c>
      <x:c r="L64" t="str">
        <x:v>Inglaterra</x:v>
      </x:c>
      <x:c r="M64" t="str">
        <x:v>Suplementario</x:v>
      </x:c>
      <x:c r="N64" t="n">
        <x:f>IF(AND(AND(ISNUMBER($F64),ISNUMBER($G64),$H64=$L64),IF($I64="90 minutos",IF($F64&gt;$G64,"A",IF($G64&gt;$F64,"B","E")),"E")=IF($M64="90 minutos",IF($J64&gt;$K64,"A",IF($K64&gt;$J64,"B","E")),"E")),Reglas!$B$2,0)</x:f>
        <x:v>0</x:v>
      </x:c>
      <x:c r="O64" t="n">
        <x:f>IF(AND(ISNUMBER($F64),ISNUMBER($G64),$H64=$L64),Reglas!$B$3,0)</x:f>
        <x:v>0</x:v>
      </x:c>
      <x:c r="P64" t="n">
        <x:f>IF(AND(AND(ISNUMBER($F64),ISNUMBER($G64),$H64=$L64),$I64=$M64),Reglas!$B$4,0)</x:f>
        <x:v>0</x:v>
      </x:c>
      <x:c r="Q64" t="n">
        <x:f>IF(AND(AND(AND(ISNUMBER($F64),ISNUMBER($G64),$H64=$L64),$I64=$M64,NOT(AND($I64="Penales",$F64&lt;&gt;$G64))),$F64=$J64,$G64=$K64),Reglas!$B$5,0)</x:f>
        <x:v>0</x:v>
      </x:c>
      <x:c r="R64" t="n">
        <x:f>IF(AND(AND(AND(ISNUMBER($F64),ISNUMBER($G64),$H64=$L64),$I64=$M64,NOT(AND($I64="Penales",$F64&lt;&gt;$G64))),$F64-$G64=$J64-$K64),Reglas!$B$6,0)</x:f>
        <x:v>0</x:v>
      </x:c>
      <x:c r="S64" t="n">
        <x:f>IF(AND(AND(AND(ISNUMBER($F64),ISNUMBER($G64),$H64=$L64),$I64=$M64,NOT(AND($I64="Penales",$F64&lt;&gt;$G64))),$F64=$J64),Reglas!$B$7,0)</x:f>
        <x:v>0</x:v>
      </x:c>
      <x:c r="T64" t="n">
        <x:f>IF(AND(AND(AND(ISNUMBER($F64),ISNUMBER($G64),$H64=$L64),$I64=$M64,NOT(AND($I64="Penales",$F64&lt;&gt;$G64))),$G64=$K64),Reglas!$B$8,0)</x:f>
        <x:v>0</x:v>
      </x:c>
      <x:c r="U64" t="n">
        <x:f>SUM(N64:T64)</x:f>
        <x:v>0</x:v>
      </x:c>
      <x:c r="V64" t="str">
        <x:f>IF($W64="Sin respuesta","Sin envio",IF($U64&gt;0,"OK","Sin puntos"))</x:f>
        <x:v>Sin puntos</x:v>
      </x:c>
      <x:c r="W64" t="str">
        <x:v>Google Forms</x:v>
      </x:c>
    </x:row>
    <x:row r="65" ht="15" hidden="0" customHeight="1">
      <x:c r="A65" t="str">
        <x:v>4tos</x:v>
      </x:c>
      <x:c r="B65" t="str">
        <x:v>QF4</x:v>
      </x:c>
      <x:c r="C65" t="str">
        <x:v>Anny</x:v>
      </x:c>
      <x:c r="D65" t="str">
        <x:v>Argentina</x:v>
      </x:c>
      <x:c r="E65" t="str">
        <x:v>Suiza</x:v>
      </x:c>
      <x:c r="F65" t="n">
        <x:v>2</x:v>
      </x:c>
      <x:c r="G65" t="n">
        <x:v>1</x:v>
      </x:c>
      <x:c r="H65" t="str">
        <x:v>Argentina</x:v>
      </x:c>
      <x:c r="I65" t="str">
        <x:v>90 minutos</x:v>
      </x:c>
      <x:c r="J65" t="n">
        <x:v>3</x:v>
      </x:c>
      <x:c r="K65" t="n">
        <x:v>1</x:v>
      </x:c>
      <x:c r="L65" t="str">
        <x:v>Argentina</x:v>
      </x:c>
      <x:c r="M65" t="str">
        <x:v>Suplementario</x:v>
      </x:c>
      <x:c r="N65" t="n">
        <x:f>IF(AND(AND(ISNUMBER($F65),ISNUMBER($G65),$H65=$L65),IF($I65="90 minutos",IF($F65&gt;$G65,"A",IF($G65&gt;$F65,"B","E")),"E")=IF($M65="90 minutos",IF($J65&gt;$K65,"A",IF($K65&gt;$J65,"B","E")),"E")),Reglas!$B$2,0)</x:f>
        <x:v>0</x:v>
      </x:c>
      <x:c r="O65" t="n">
        <x:f>IF(AND(ISNUMBER($F65),ISNUMBER($G65),$H65=$L65),Reglas!$B$3,0)</x:f>
        <x:v>3</x:v>
      </x:c>
      <x:c r="P65" t="n">
        <x:f>IF(AND(AND(ISNUMBER($F65),ISNUMBER($G65),$H65=$L65),$I65=$M65),Reglas!$B$4,0)</x:f>
        <x:v>0</x:v>
      </x:c>
      <x:c r="Q65" t="n">
        <x:f>IF(AND(AND(AND(ISNUMBER($F65),ISNUMBER($G65),$H65=$L65),$I65=$M65,NOT(AND($I65="Penales",$F65&lt;&gt;$G65))),$F65=$J65,$G65=$K65),Reglas!$B$5,0)</x:f>
        <x:v>0</x:v>
      </x:c>
      <x:c r="R65" t="n">
        <x:f>IF(AND(AND(AND(ISNUMBER($F65),ISNUMBER($G65),$H65=$L65),$I65=$M65,NOT(AND($I65="Penales",$F65&lt;&gt;$G65))),$F65-$G65=$J65-$K65),Reglas!$B$6,0)</x:f>
        <x:v>0</x:v>
      </x:c>
      <x:c r="S65" t="n">
        <x:f>IF(AND(AND(AND(ISNUMBER($F65),ISNUMBER($G65),$H65=$L65),$I65=$M65,NOT(AND($I65="Penales",$F65&lt;&gt;$G65))),$F65=$J65),Reglas!$B$7,0)</x:f>
        <x:v>0</x:v>
      </x:c>
      <x:c r="T65" t="n">
        <x:f>IF(AND(AND(AND(ISNUMBER($F65),ISNUMBER($G65),$H65=$L65),$I65=$M65,NOT(AND($I65="Penales",$F65&lt;&gt;$G65))),$G65=$K65),Reglas!$B$8,0)</x:f>
        <x:v>0</x:v>
      </x:c>
      <x:c r="U65" t="n">
        <x:f>SUM(N65:T65)</x:f>
        <x:v>3</x:v>
      </x:c>
      <x:c r="V65" t="str">
        <x:f>IF($W65="Sin respuesta","Sin envio",IF($U65&gt;0,"OK","Sin puntos"))</x:f>
        <x:v>OK</x:v>
      </x:c>
      <x:c r="W65" t="str">
        <x:v>Google Forms</x:v>
      </x:c>
    </x:row>
    <x:row r="66" ht="15" hidden="0" customHeight="1">
      <x:c r="A66" t="str">
        <x:v>4tos</x:v>
      </x:c>
      <x:c r="B66" t="str">
        <x:v>QF1</x:v>
      </x:c>
      <x:c r="C66" t="str">
        <x:v>Moisés</x:v>
      </x:c>
      <x:c r="D66" t="str">
        <x:v>Francia</x:v>
      </x:c>
      <x:c r="E66" t="str">
        <x:v>Marruecos</x:v>
      </x:c>
      <x:c r="F66" t="n">
        <x:v>2</x:v>
      </x:c>
      <x:c r="G66" t="n">
        <x:v>1</x:v>
      </x:c>
      <x:c r="H66" t="str">
        <x:v>Francia</x:v>
      </x:c>
      <x:c r="I66" t="str">
        <x:v>90 minutos</x:v>
      </x:c>
      <x:c r="J66" t="n">
        <x:v>2</x:v>
      </x:c>
      <x:c r="K66" t="n">
        <x:v>0</x:v>
      </x:c>
      <x:c r="L66" t="str">
        <x:v>Francia</x:v>
      </x:c>
      <x:c r="M66" t="str">
        <x:v>90 minutos</x:v>
      </x:c>
      <x:c r="N66" t="n">
        <x:f>IF(AND(AND(ISNUMBER($F66),ISNUMBER($G66),$H66=$L66),IF($I66="90 minutos",IF($F66&gt;$G66,"A",IF($G66&gt;$F66,"B","E")),"E")=IF($M66="90 minutos",IF($J66&gt;$K66,"A",IF($K66&gt;$J66,"B","E")),"E")),Reglas!$B$2,0)</x:f>
        <x:v>5</x:v>
      </x:c>
      <x:c r="O66" t="n">
        <x:f>IF(AND(ISNUMBER($F66),ISNUMBER($G66),$H66=$L66),Reglas!$B$3,0)</x:f>
        <x:v>3</x:v>
      </x:c>
      <x:c r="P66" t="n">
        <x:f>IF(AND(AND(ISNUMBER($F66),ISNUMBER($G66),$H66=$L66),$I66=$M66),Reglas!$B$4,0)</x:f>
        <x:v>2</x:v>
      </x:c>
      <x:c r="Q66" t="n">
        <x:f>IF(AND(AND(AND(ISNUMBER($F66),ISNUMBER($G66),$H66=$L66),$I66=$M66,NOT(AND($I66="Penales",$F66&lt;&gt;$G66))),$F66=$J66,$G66=$K66),Reglas!$B$5,0)</x:f>
        <x:v>0</x:v>
      </x:c>
      <x:c r="R66" t="n">
        <x:f>IF(AND(AND(AND(ISNUMBER($F66),ISNUMBER($G66),$H66=$L66),$I66=$M66,NOT(AND($I66="Penales",$F66&lt;&gt;$G66))),$F66-$G66=$J66-$K66),Reglas!$B$6,0)</x:f>
        <x:v>0</x:v>
      </x:c>
      <x:c r="S66" t="n">
        <x:f>IF(AND(AND(AND(ISNUMBER($F66),ISNUMBER($G66),$H66=$L66),$I66=$M66,NOT(AND($I66="Penales",$F66&lt;&gt;$G66))),$F66=$J66),Reglas!$B$7,0)</x:f>
        <x:v>1</x:v>
      </x:c>
      <x:c r="T66" t="n">
        <x:f>IF(AND(AND(AND(ISNUMBER($F66),ISNUMBER($G66),$H66=$L66),$I66=$M66,NOT(AND($I66="Penales",$F66&lt;&gt;$G66))),$G66=$K66),Reglas!$B$8,0)</x:f>
        <x:v>0</x:v>
      </x:c>
      <x:c r="U66" t="n">
        <x:f>SUM(N66:T66)</x:f>
        <x:v>11</x:v>
      </x:c>
      <x:c r="V66" t="str">
        <x:f>IF($W66="Sin respuesta","Sin envio",IF($U66&gt;0,"OK","Sin puntos"))</x:f>
        <x:v>OK</x:v>
      </x:c>
      <x:c r="W66" t="str">
        <x:v>Google Forms</x:v>
      </x:c>
    </x:row>
    <x:row r="67" ht="15" hidden="0" customHeight="1">
      <x:c r="A67" t="str">
        <x:v>4tos</x:v>
      </x:c>
      <x:c r="B67" t="str">
        <x:v>QF2</x:v>
      </x:c>
      <x:c r="C67" t="str">
        <x:v>Moisés</x:v>
      </x:c>
      <x:c r="D67" t="str">
        <x:v>España</x:v>
      </x:c>
      <x:c r="E67" t="str">
        <x:v>Bélgica</x:v>
      </x:c>
      <x:c r="F67" t="n">
        <x:v>1</x:v>
      </x:c>
      <x:c r="G67" t="n">
        <x:v>2</x:v>
      </x:c>
      <x:c r="H67" t="str">
        <x:v>Bélgica</x:v>
      </x:c>
      <x:c r="I67" t="str">
        <x:v>90 minutos</x:v>
      </x:c>
      <x:c r="J67" t="n">
        <x:v>2</x:v>
      </x:c>
      <x:c r="K67" t="n">
        <x:v>1</x:v>
      </x:c>
      <x:c r="L67" t="str">
        <x:v>España</x:v>
      </x:c>
      <x:c r="M67" t="str">
        <x:v>90 minutos</x:v>
      </x:c>
      <x:c r="N67" t="n">
        <x:f>IF(AND(AND(ISNUMBER($F67),ISNUMBER($G67),$H67=$L67),IF($I67="90 minutos",IF($F67&gt;$G67,"A",IF($G67&gt;$F67,"B","E")),"E")=IF($M67="90 minutos",IF($J67&gt;$K67,"A",IF($K67&gt;$J67,"B","E")),"E")),Reglas!$B$2,0)</x:f>
        <x:v>0</x:v>
      </x:c>
      <x:c r="O67" t="n">
        <x:f>IF(AND(ISNUMBER($F67),ISNUMBER($G67),$H67=$L67),Reglas!$B$3,0)</x:f>
        <x:v>0</x:v>
      </x:c>
      <x:c r="P67" t="n">
        <x:f>IF(AND(AND(ISNUMBER($F67),ISNUMBER($G67),$H67=$L67),$I67=$M67),Reglas!$B$4,0)</x:f>
        <x:v>0</x:v>
      </x:c>
      <x:c r="Q67" t="n">
        <x:f>IF(AND(AND(AND(ISNUMBER($F67),ISNUMBER($G67),$H67=$L67),$I67=$M67,NOT(AND($I67="Penales",$F67&lt;&gt;$G67))),$F67=$J67,$G67=$K67),Reglas!$B$5,0)</x:f>
        <x:v>0</x:v>
      </x:c>
      <x:c r="R67" t="n">
        <x:f>IF(AND(AND(AND(ISNUMBER($F67),ISNUMBER($G67),$H67=$L67),$I67=$M67,NOT(AND($I67="Penales",$F67&lt;&gt;$G67))),$F67-$G67=$J67-$K67),Reglas!$B$6,0)</x:f>
        <x:v>0</x:v>
      </x:c>
      <x:c r="S67" t="n">
        <x:f>IF(AND(AND(AND(ISNUMBER($F67),ISNUMBER($G67),$H67=$L67),$I67=$M67,NOT(AND($I67="Penales",$F67&lt;&gt;$G67))),$F67=$J67),Reglas!$B$7,0)</x:f>
        <x:v>0</x:v>
      </x:c>
      <x:c r="T67" t="n">
        <x:f>IF(AND(AND(AND(ISNUMBER($F67),ISNUMBER($G67),$H67=$L67),$I67=$M67,NOT(AND($I67="Penales",$F67&lt;&gt;$G67))),$G67=$K67),Reglas!$B$8,0)</x:f>
        <x:v>0</x:v>
      </x:c>
      <x:c r="U67" t="n">
        <x:f>SUM(N67:T67)</x:f>
        <x:v>0</x:v>
      </x:c>
      <x:c r="V67" t="str">
        <x:f>IF($W67="Sin respuesta","Sin envio",IF($U67&gt;0,"OK","Sin puntos"))</x:f>
        <x:v>Sin puntos</x:v>
      </x:c>
      <x:c r="W67" t="str">
        <x:v>Google Forms</x:v>
      </x:c>
    </x:row>
    <x:row r="68" ht="15" hidden="0" customHeight="1">
      <x:c r="A68" t="str">
        <x:v>4tos</x:v>
      </x:c>
      <x:c r="B68" t="str">
        <x:v>QF3</x:v>
      </x:c>
      <x:c r="C68" t="str">
        <x:v>Moisés</x:v>
      </x:c>
      <x:c r="D68" t="str">
        <x:v>Noruega</x:v>
      </x:c>
      <x:c r="E68" t="str">
        <x:v>Inglaterra</x:v>
      </x:c>
      <x:c r="F68" t="n">
        <x:v>3</x:v>
      </x:c>
      <x:c r="G68" t="n">
        <x:v>2</x:v>
      </x:c>
      <x:c r="H68" t="str">
        <x:v>Noruega</x:v>
      </x:c>
      <x:c r="I68" t="str">
        <x:v>90 minutos</x:v>
      </x:c>
      <x:c r="J68" t="n">
        <x:v>1</x:v>
      </x:c>
      <x:c r="K68" t="n">
        <x:v>2</x:v>
      </x:c>
      <x:c r="L68" t="str">
        <x:v>Inglaterra</x:v>
      </x:c>
      <x:c r="M68" t="str">
        <x:v>Suplementario</x:v>
      </x:c>
      <x:c r="N68" t="n">
        <x:f>IF(AND(AND(ISNUMBER($F68),ISNUMBER($G68),$H68=$L68),IF($I68="90 minutos",IF($F68&gt;$G68,"A",IF($G68&gt;$F68,"B","E")),"E")=IF($M68="90 minutos",IF($J68&gt;$K68,"A",IF($K68&gt;$J68,"B","E")),"E")),Reglas!$B$2,0)</x:f>
        <x:v>0</x:v>
      </x:c>
      <x:c r="O68" t="n">
        <x:f>IF(AND(ISNUMBER($F68),ISNUMBER($G68),$H68=$L68),Reglas!$B$3,0)</x:f>
        <x:v>0</x:v>
      </x:c>
      <x:c r="P68" t="n">
        <x:f>IF(AND(AND(ISNUMBER($F68),ISNUMBER($G68),$H68=$L68),$I68=$M68),Reglas!$B$4,0)</x:f>
        <x:v>0</x:v>
      </x:c>
      <x:c r="Q68" t="n">
        <x:f>IF(AND(AND(AND(ISNUMBER($F68),ISNUMBER($G68),$H68=$L68),$I68=$M68,NOT(AND($I68="Penales",$F68&lt;&gt;$G68))),$F68=$J68,$G68=$K68),Reglas!$B$5,0)</x:f>
        <x:v>0</x:v>
      </x:c>
      <x:c r="R68" t="n">
        <x:f>IF(AND(AND(AND(ISNUMBER($F68),ISNUMBER($G68),$H68=$L68),$I68=$M68,NOT(AND($I68="Penales",$F68&lt;&gt;$G68))),$F68-$G68=$J68-$K68),Reglas!$B$6,0)</x:f>
        <x:v>0</x:v>
      </x:c>
      <x:c r="S68" t="n">
        <x:f>IF(AND(AND(AND(ISNUMBER($F68),ISNUMBER($G68),$H68=$L68),$I68=$M68,NOT(AND($I68="Penales",$F68&lt;&gt;$G68))),$F68=$J68),Reglas!$B$7,0)</x:f>
        <x:v>0</x:v>
      </x:c>
      <x:c r="T68" t="n">
        <x:f>IF(AND(AND(AND(ISNUMBER($F68),ISNUMBER($G68),$H68=$L68),$I68=$M68,NOT(AND($I68="Penales",$F68&lt;&gt;$G68))),$G68=$K68),Reglas!$B$8,0)</x:f>
        <x:v>0</x:v>
      </x:c>
      <x:c r="U68" t="n">
        <x:f>SUM(N68:T68)</x:f>
        <x:v>0</x:v>
      </x:c>
      <x:c r="V68" t="str">
        <x:f>IF($W68="Sin respuesta","Sin envio",IF($U68&gt;0,"OK","Sin puntos"))</x:f>
        <x:v>Sin puntos</x:v>
      </x:c>
      <x:c r="W68" t="str">
        <x:v>Google Forms</x:v>
      </x:c>
    </x:row>
    <x:row r="69" ht="15" hidden="0" customHeight="1">
      <x:c r="A69" t="str">
        <x:v>4tos</x:v>
      </x:c>
      <x:c r="B69" t="str">
        <x:v>QF4</x:v>
      </x:c>
      <x:c r="C69" t="str">
        <x:v>Moisés</x:v>
      </x:c>
      <x:c r="D69" t="str">
        <x:v>Argentina</x:v>
      </x:c>
      <x:c r="E69" t="str">
        <x:v>Suiza</x:v>
      </x:c>
      <x:c r="F69" t="n">
        <x:v>3</x:v>
      </x:c>
      <x:c r="G69" t="n">
        <x:v>1</x:v>
      </x:c>
      <x:c r="H69" t="str">
        <x:v>Argentina</x:v>
      </x:c>
      <x:c r="I69" t="str">
        <x:v>Suplementario</x:v>
      </x:c>
      <x:c r="J69" t="n">
        <x:v>3</x:v>
      </x:c>
      <x:c r="K69" t="n">
        <x:v>1</x:v>
      </x:c>
      <x:c r="L69" t="str">
        <x:v>Argentina</x:v>
      </x:c>
      <x:c r="M69" t="str">
        <x:v>Suplementario</x:v>
      </x:c>
      <x:c r="N69" t="n">
        <x:f>IF(AND(AND(ISNUMBER($F69),ISNUMBER($G69),$H69=$L69),IF($I69="90 minutos",IF($F69&gt;$G69,"A",IF($G69&gt;$F69,"B","E")),"E")=IF($M69="90 minutos",IF($J69&gt;$K69,"A",IF($K69&gt;$J69,"B","E")),"E")),Reglas!$B$2,0)</x:f>
        <x:v>5</x:v>
      </x:c>
      <x:c r="O69" t="n">
        <x:f>IF(AND(ISNUMBER($F69),ISNUMBER($G69),$H69=$L69),Reglas!$B$3,0)</x:f>
        <x:v>3</x:v>
      </x:c>
      <x:c r="P69" t="n">
        <x:f>IF(AND(AND(ISNUMBER($F69),ISNUMBER($G69),$H69=$L69),$I69=$M69),Reglas!$B$4,0)</x:f>
        <x:v>2</x:v>
      </x:c>
      <x:c r="Q69" t="n">
        <x:f>IF(AND(AND(AND(ISNUMBER($F69),ISNUMBER($G69),$H69=$L69),$I69=$M69,NOT(AND($I69="Penales",$F69&lt;&gt;$G69))),$F69=$J69,$G69=$K69),Reglas!$B$5,0)</x:f>
        <x:v>4</x:v>
      </x:c>
      <x:c r="R69" t="n">
        <x:f>IF(AND(AND(AND(ISNUMBER($F69),ISNUMBER($G69),$H69=$L69),$I69=$M69,NOT(AND($I69="Penales",$F69&lt;&gt;$G69))),$F69-$G69=$J69-$K69),Reglas!$B$6,0)</x:f>
        <x:v>2</x:v>
      </x:c>
      <x:c r="S69" t="n">
        <x:f>IF(AND(AND(AND(ISNUMBER($F69),ISNUMBER($G69),$H69=$L69),$I69=$M69,NOT(AND($I69="Penales",$F69&lt;&gt;$G69))),$F69=$J69),Reglas!$B$7,0)</x:f>
        <x:v>1</x:v>
      </x:c>
      <x:c r="T69" t="n">
        <x:f>IF(AND(AND(AND(ISNUMBER($F69),ISNUMBER($G69),$H69=$L69),$I69=$M69,NOT(AND($I69="Penales",$F69&lt;&gt;$G69))),$G69=$K69),Reglas!$B$8,0)</x:f>
        <x:v>1</x:v>
      </x:c>
      <x:c r="U69" t="n">
        <x:f>SUM(N69:T69)</x:f>
        <x:v>18</x:v>
      </x:c>
      <x:c r="V69" t="str">
        <x:f>IF($W69="Sin respuesta","Sin envio",IF($U69&gt;0,"OK","Sin puntos"))</x:f>
        <x:v>OK</x:v>
      </x:c>
      <x:c r="W69" t="str">
        <x:v>Google Forms</x:v>
      </x:c>
    </x:row>
    <x:row r="70" ht="15" hidden="0" customHeight="1">
      <x:c r="A70" t="str">
        <x:v>4tos</x:v>
      </x:c>
      <x:c r="B70" t="str">
        <x:v>QF1</x:v>
      </x:c>
      <x:c r="C70" t="str">
        <x:v>Alex</x:v>
      </x:c>
      <x:c r="D70" t="str">
        <x:v>Francia</x:v>
      </x:c>
      <x:c r="E70" t="str">
        <x:v>Marruecos</x:v>
      </x:c>
      <x:c r="F70" t="n">
        <x:v>3</x:v>
      </x:c>
      <x:c r="G70" t="n">
        <x:v>1</x:v>
      </x:c>
      <x:c r="H70" t="str">
        <x:v>Francia</x:v>
      </x:c>
      <x:c r="I70" t="str">
        <x:v>90 minutos</x:v>
      </x:c>
      <x:c r="J70" t="n">
        <x:v>2</x:v>
      </x:c>
      <x:c r="K70" t="n">
        <x:v>0</x:v>
      </x:c>
      <x:c r="L70" t="str">
        <x:v>Francia</x:v>
      </x:c>
      <x:c r="M70" t="str">
        <x:v>90 minutos</x:v>
      </x:c>
      <x:c r="N70" t="n">
        <x:f>IF(AND(AND(ISNUMBER($F70),ISNUMBER($G70),$H70=$L70),IF($I70="90 minutos",IF($F70&gt;$G70,"A",IF($G70&gt;$F70,"B","E")),"E")=IF($M70="90 minutos",IF($J70&gt;$K70,"A",IF($K70&gt;$J70,"B","E")),"E")),Reglas!$B$2,0)</x:f>
        <x:v>5</x:v>
      </x:c>
      <x:c r="O70" t="n">
        <x:f>IF(AND(ISNUMBER($F70),ISNUMBER($G70),$H70=$L70),Reglas!$B$3,0)</x:f>
        <x:v>3</x:v>
      </x:c>
      <x:c r="P70" t="n">
        <x:f>IF(AND(AND(ISNUMBER($F70),ISNUMBER($G70),$H70=$L70),$I70=$M70),Reglas!$B$4,0)</x:f>
        <x:v>2</x:v>
      </x:c>
      <x:c r="Q70" t="n">
        <x:f>IF(AND(AND(AND(ISNUMBER($F70),ISNUMBER($G70),$H70=$L70),$I70=$M70,NOT(AND($I70="Penales",$F70&lt;&gt;$G70))),$F70=$J70,$G70=$K70),Reglas!$B$5,0)</x:f>
        <x:v>0</x:v>
      </x:c>
      <x:c r="R70" t="n">
        <x:f>IF(AND(AND(AND(ISNUMBER($F70),ISNUMBER($G70),$H70=$L70),$I70=$M70,NOT(AND($I70="Penales",$F70&lt;&gt;$G70))),$F70-$G70=$J70-$K70),Reglas!$B$6,0)</x:f>
        <x:v>2</x:v>
      </x:c>
      <x:c r="S70" t="n">
        <x:f>IF(AND(AND(AND(ISNUMBER($F70),ISNUMBER($G70),$H70=$L70),$I70=$M70,NOT(AND($I70="Penales",$F70&lt;&gt;$G70))),$F70=$J70),Reglas!$B$7,0)</x:f>
        <x:v>0</x:v>
      </x:c>
      <x:c r="T70" t="n">
        <x:f>IF(AND(AND(AND(ISNUMBER($F70),ISNUMBER($G70),$H70=$L70),$I70=$M70,NOT(AND($I70="Penales",$F70&lt;&gt;$G70))),$G70=$K70),Reglas!$B$8,0)</x:f>
        <x:v>0</x:v>
      </x:c>
      <x:c r="U70" t="n">
        <x:f>SUM(N70:T70)</x:f>
        <x:v>12</x:v>
      </x:c>
      <x:c r="V70" t="str">
        <x:f>IF($W70="Sin respuesta","Sin envio",IF($U70&gt;0,"OK","Sin puntos"))</x:f>
        <x:v>OK</x:v>
      </x:c>
      <x:c r="W70" t="str">
        <x:v>Google Forms</x:v>
      </x:c>
    </x:row>
    <x:row r="71" ht="15" hidden="0" customHeight="1">
      <x:c r="A71" t="str">
        <x:v>4tos</x:v>
      </x:c>
      <x:c r="B71" t="str">
        <x:v>QF2</x:v>
      </x:c>
      <x:c r="C71" t="str">
        <x:v>Alex</x:v>
      </x:c>
      <x:c r="D71" t="str">
        <x:v>España</x:v>
      </x:c>
      <x:c r="E71" t="str">
        <x:v>Bélgica</x:v>
      </x:c>
      <x:c r="F71" t="n">
        <x:v>2</x:v>
      </x:c>
      <x:c r="G71" t="n">
        <x:v>1</x:v>
      </x:c>
      <x:c r="H71" t="str">
        <x:v>España</x:v>
      </x:c>
      <x:c r="I71" t="str">
        <x:v>Suplementario</x:v>
      </x:c>
      <x:c r="J71" t="n">
        <x:v>2</x:v>
      </x:c>
      <x:c r="K71" t="n">
        <x:v>1</x:v>
      </x:c>
      <x:c r="L71" t="str">
        <x:v>España</x:v>
      </x:c>
      <x:c r="M71" t="str">
        <x:v>90 minutos</x:v>
      </x:c>
      <x:c r="N71" t="n">
        <x:f>IF(AND(AND(ISNUMBER($F71),ISNUMBER($G71),$H71=$L71),IF($I71="90 minutos",IF($F71&gt;$G71,"A",IF($G71&gt;$F71,"B","E")),"E")=IF($M71="90 minutos",IF($J71&gt;$K71,"A",IF($K71&gt;$J71,"B","E")),"E")),Reglas!$B$2,0)</x:f>
        <x:v>0</x:v>
      </x:c>
      <x:c r="O71" t="n">
        <x:f>IF(AND(ISNUMBER($F71),ISNUMBER($G71),$H71=$L71),Reglas!$B$3,0)</x:f>
        <x:v>3</x:v>
      </x:c>
      <x:c r="P71" t="n">
        <x:f>IF(AND(AND(ISNUMBER($F71),ISNUMBER($G71),$H71=$L71),$I71=$M71),Reglas!$B$4,0)</x:f>
        <x:v>0</x:v>
      </x:c>
      <x:c r="Q71" t="n">
        <x:f>IF(AND(AND(AND(ISNUMBER($F71),ISNUMBER($G71),$H71=$L71),$I71=$M71,NOT(AND($I71="Penales",$F71&lt;&gt;$G71))),$F71=$J71,$G71=$K71),Reglas!$B$5,0)</x:f>
        <x:v>0</x:v>
      </x:c>
      <x:c r="R71" t="n">
        <x:f>IF(AND(AND(AND(ISNUMBER($F71),ISNUMBER($G71),$H71=$L71),$I71=$M71,NOT(AND($I71="Penales",$F71&lt;&gt;$G71))),$F71-$G71=$J71-$K71),Reglas!$B$6,0)</x:f>
        <x:v>0</x:v>
      </x:c>
      <x:c r="S71" t="n">
        <x:f>IF(AND(AND(AND(ISNUMBER($F71),ISNUMBER($G71),$H71=$L71),$I71=$M71,NOT(AND($I71="Penales",$F71&lt;&gt;$G71))),$F71=$J71),Reglas!$B$7,0)</x:f>
        <x:v>0</x:v>
      </x:c>
      <x:c r="T71" t="n">
        <x:f>IF(AND(AND(AND(ISNUMBER($F71),ISNUMBER($G71),$H71=$L71),$I71=$M71,NOT(AND($I71="Penales",$F71&lt;&gt;$G71))),$G71=$K71),Reglas!$B$8,0)</x:f>
        <x:v>0</x:v>
      </x:c>
      <x:c r="U71" t="n">
        <x:f>SUM(N71:T71)</x:f>
        <x:v>3</x:v>
      </x:c>
      <x:c r="V71" t="str">
        <x:f>IF($W71="Sin respuesta","Sin envio",IF($U71&gt;0,"OK","Sin puntos"))</x:f>
        <x:v>OK</x:v>
      </x:c>
      <x:c r="W71" t="str">
        <x:v>Google Forms</x:v>
      </x:c>
    </x:row>
    <x:row r="72" ht="15" hidden="0" customHeight="1">
      <x:c r="A72" t="str">
        <x:v>4tos</x:v>
      </x:c>
      <x:c r="B72" t="str">
        <x:v>QF3</x:v>
      </x:c>
      <x:c r="C72" t="str">
        <x:v>Alex</x:v>
      </x:c>
      <x:c r="D72" t="str">
        <x:v>Noruega</x:v>
      </x:c>
      <x:c r="E72" t="str">
        <x:v>Inglaterra</x:v>
      </x:c>
      <x:c r="F72" t="n">
        <x:v>2</x:v>
      </x:c>
      <x:c r="G72" t="n">
        <x:v>2</x:v>
      </x:c>
      <x:c r="H72" t="str">
        <x:v>Inglaterra</x:v>
      </x:c>
      <x:c r="I72" t="str">
        <x:v>Suplementario</x:v>
      </x:c>
      <x:c r="J72" t="n">
        <x:v>1</x:v>
      </x:c>
      <x:c r="K72" t="n">
        <x:v>2</x:v>
      </x:c>
      <x:c r="L72" t="str">
        <x:v>Inglaterra</x:v>
      </x:c>
      <x:c r="M72" t="str">
        <x:v>Suplementario</x:v>
      </x:c>
      <x:c r="N72" t="n">
        <x:f>IF(AND(AND(ISNUMBER($F72),ISNUMBER($G72),$H72=$L72),IF($I72="90 minutos",IF($F72&gt;$G72,"A",IF($G72&gt;$F72,"B","E")),"E")=IF($M72="90 minutos",IF($J72&gt;$K72,"A",IF($K72&gt;$J72,"B","E")),"E")),Reglas!$B$2,0)</x:f>
        <x:v>5</x:v>
      </x:c>
      <x:c r="O72" t="n">
        <x:f>IF(AND(ISNUMBER($F72),ISNUMBER($G72),$H72=$L72),Reglas!$B$3,0)</x:f>
        <x:v>3</x:v>
      </x:c>
      <x:c r="P72" t="n">
        <x:f>IF(AND(AND(ISNUMBER($F72),ISNUMBER($G72),$H72=$L72),$I72=$M72),Reglas!$B$4,0)</x:f>
        <x:v>2</x:v>
      </x:c>
      <x:c r="Q72" t="n">
        <x:f>IF(AND(AND(AND(ISNUMBER($F72),ISNUMBER($G72),$H72=$L72),$I72=$M72,NOT(AND($I72="Penales",$F72&lt;&gt;$G72))),$F72=$J72,$G72=$K72),Reglas!$B$5,0)</x:f>
        <x:v>0</x:v>
      </x:c>
      <x:c r="R72" t="n">
        <x:f>IF(AND(AND(AND(ISNUMBER($F72),ISNUMBER($G72),$H72=$L72),$I72=$M72,NOT(AND($I72="Penales",$F72&lt;&gt;$G72))),$F72-$G72=$J72-$K72),Reglas!$B$6,0)</x:f>
        <x:v>0</x:v>
      </x:c>
      <x:c r="S72" t="n">
        <x:f>IF(AND(AND(AND(ISNUMBER($F72),ISNUMBER($G72),$H72=$L72),$I72=$M72,NOT(AND($I72="Penales",$F72&lt;&gt;$G72))),$F72=$J72),Reglas!$B$7,0)</x:f>
        <x:v>0</x:v>
      </x:c>
      <x:c r="T72" t="n">
        <x:f>IF(AND(AND(AND(ISNUMBER($F72),ISNUMBER($G72),$H72=$L72),$I72=$M72,NOT(AND($I72="Penales",$F72&lt;&gt;$G72))),$G72=$K72),Reglas!$B$8,0)</x:f>
        <x:v>1</x:v>
      </x:c>
      <x:c r="U72" t="n">
        <x:f>SUM(N72:T72)</x:f>
        <x:v>11</x:v>
      </x:c>
      <x:c r="V72" t="str">
        <x:f>IF($W72="Sin respuesta","Sin envio",IF($U72&gt;0,"OK","Sin puntos"))</x:f>
        <x:v>OK</x:v>
      </x:c>
      <x:c r="W72" t="str">
        <x:v>Google Forms</x:v>
      </x:c>
    </x:row>
    <x:row r="73" ht="15" hidden="0" customHeight="1">
      <x:c r="A73" t="str">
        <x:v>4tos</x:v>
      </x:c>
      <x:c r="B73" t="str">
        <x:v>QF4</x:v>
      </x:c>
      <x:c r="C73" t="str">
        <x:v>Alex</x:v>
      </x:c>
      <x:c r="D73" t="str">
        <x:v>Argentina</x:v>
      </x:c>
      <x:c r="E73" t="str">
        <x:v>Suiza</x:v>
      </x:c>
      <x:c r="F73" t="n">
        <x:v>3</x:v>
      </x:c>
      <x:c r="G73" t="n">
        <x:v>1</x:v>
      </x:c>
      <x:c r="H73" t="str">
        <x:v>Argentina</x:v>
      </x:c>
      <x:c r="I73" t="str">
        <x:v>90 minutos</x:v>
      </x:c>
      <x:c r="J73" t="n">
        <x:v>3</x:v>
      </x:c>
      <x:c r="K73" t="n">
        <x:v>1</x:v>
      </x:c>
      <x:c r="L73" t="str">
        <x:v>Argentina</x:v>
      </x:c>
      <x:c r="M73" t="str">
        <x:v>Suplementario</x:v>
      </x:c>
      <x:c r="N73" t="n">
        <x:f>IF(AND(AND(ISNUMBER($F73),ISNUMBER($G73),$H73=$L73),IF($I73="90 minutos",IF($F73&gt;$G73,"A",IF($G73&gt;$F73,"B","E")),"E")=IF($M73="90 minutos",IF($J73&gt;$K73,"A",IF($K73&gt;$J73,"B","E")),"E")),Reglas!$B$2,0)</x:f>
        <x:v>0</x:v>
      </x:c>
      <x:c r="O73" t="n">
        <x:f>IF(AND(ISNUMBER($F73),ISNUMBER($G73),$H73=$L73),Reglas!$B$3,0)</x:f>
        <x:v>3</x:v>
      </x:c>
      <x:c r="P73" t="n">
        <x:f>IF(AND(AND(ISNUMBER($F73),ISNUMBER($G73),$H73=$L73),$I73=$M73),Reglas!$B$4,0)</x:f>
        <x:v>0</x:v>
      </x:c>
      <x:c r="Q73" t="n">
        <x:f>IF(AND(AND(AND(ISNUMBER($F73),ISNUMBER($G73),$H73=$L73),$I73=$M73,NOT(AND($I73="Penales",$F73&lt;&gt;$G73))),$F73=$J73,$G73=$K73),Reglas!$B$5,0)</x:f>
        <x:v>0</x:v>
      </x:c>
      <x:c r="R73" t="n">
        <x:f>IF(AND(AND(AND(ISNUMBER($F73),ISNUMBER($G73),$H73=$L73),$I73=$M73,NOT(AND($I73="Penales",$F73&lt;&gt;$G73))),$F73-$G73=$J73-$K73),Reglas!$B$6,0)</x:f>
        <x:v>0</x:v>
      </x:c>
      <x:c r="S73" t="n">
        <x:f>IF(AND(AND(AND(ISNUMBER($F73),ISNUMBER($G73),$H73=$L73),$I73=$M73,NOT(AND($I73="Penales",$F73&lt;&gt;$G73))),$F73=$J73),Reglas!$B$7,0)</x:f>
        <x:v>0</x:v>
      </x:c>
      <x:c r="T73" t="n">
        <x:f>IF(AND(AND(AND(ISNUMBER($F73),ISNUMBER($G73),$H73=$L73),$I73=$M73,NOT(AND($I73="Penales",$F73&lt;&gt;$G73))),$G73=$K73),Reglas!$B$8,0)</x:f>
        <x:v>0</x:v>
      </x:c>
      <x:c r="U73" t="n">
        <x:f>SUM(N73:T73)</x:f>
        <x:v>3</x:v>
      </x:c>
      <x:c r="V73" t="str">
        <x:f>IF($W73="Sin respuesta","Sin envio",IF($U73&gt;0,"OK","Sin puntos"))</x:f>
        <x:v>OK</x:v>
      </x:c>
      <x:c r="W73" t="str">
        <x:v>Google Forms</x:v>
      </x:c>
    </x:row>
    <x:row r="74" ht="15" hidden="0" customHeight="1">
      <x:c r="A74" t="str">
        <x:v>4tos</x:v>
      </x:c>
      <x:c r="B74" t="str">
        <x:v>QF1</x:v>
      </x:c>
      <x:c r="C74" t="str">
        <x:v>Omar</x:v>
      </x:c>
      <x:c r="D74" t="str">
        <x:v>Francia</x:v>
      </x:c>
      <x:c r="E74" t="str">
        <x:v>Marruecos</x:v>
      </x:c>
      <x:c r="F74"/>
      <x:c r="G74"/>
      <x:c r="H74" t="str">
        <x:v>Sin envio</x:v>
      </x:c>
      <x:c r="I74" t="str">
        <x:v>Sin envio</x:v>
      </x:c>
      <x:c r="J74" t="n">
        <x:v>2</x:v>
      </x:c>
      <x:c r="K74" t="n">
        <x:v>0</x:v>
      </x:c>
      <x:c r="L74" t="str">
        <x:v>Francia</x:v>
      </x:c>
      <x:c r="M74" t="str">
        <x:v>90 minutos</x:v>
      </x:c>
      <x:c r="N74" t="n">
        <x:f>IF(AND(AND(ISNUMBER($F74),ISNUMBER($G74),$H74=$L74),IF($I74="90 minutos",IF($F74&gt;$G74,"A",IF($G74&gt;$F74,"B","E")),"E")=IF($M74="90 minutos",IF($J74&gt;$K74,"A",IF($K74&gt;$J74,"B","E")),"E")),Reglas!$B$2,0)</x:f>
        <x:v>0</x:v>
      </x:c>
      <x:c r="O74" t="n">
        <x:f>IF(AND(ISNUMBER($F74),ISNUMBER($G74),$H74=$L74),Reglas!$B$3,0)</x:f>
        <x:v>0</x:v>
      </x:c>
      <x:c r="P74" t="n">
        <x:f>IF(AND(AND(ISNUMBER($F74),ISNUMBER($G74),$H74=$L74),$I74=$M74),Reglas!$B$4,0)</x:f>
        <x:v>0</x:v>
      </x:c>
      <x:c r="Q74" t="n">
        <x:f>IF(AND(AND(AND(ISNUMBER($F74),ISNUMBER($G74),$H74=$L74),$I74=$M74,NOT(AND($I74="Penales",$F74&lt;&gt;$G74))),$F74=$J74,$G74=$K74),Reglas!$B$5,0)</x:f>
        <x:v>0</x:v>
      </x:c>
      <x:c r="R74" t="n">
        <x:f>IF(AND(AND(AND(ISNUMBER($F74),ISNUMBER($G74),$H74=$L74),$I74=$M74,NOT(AND($I74="Penales",$F74&lt;&gt;$G74))),$F74-$G74=$J74-$K74),Reglas!$B$6,0)</x:f>
        <x:v>0</x:v>
      </x:c>
      <x:c r="S74" t="n">
        <x:f>IF(AND(AND(AND(ISNUMBER($F74),ISNUMBER($G74),$H74=$L74),$I74=$M74,NOT(AND($I74="Penales",$F74&lt;&gt;$G74))),$F74=$J74),Reglas!$B$7,0)</x:f>
        <x:v>0</x:v>
      </x:c>
      <x:c r="T74" t="n">
        <x:f>IF(AND(AND(AND(ISNUMBER($F74),ISNUMBER($G74),$H74=$L74),$I74=$M74,NOT(AND($I74="Penales",$F74&lt;&gt;$G74))),$G74=$K74),Reglas!$B$8,0)</x:f>
        <x:v>0</x:v>
      </x:c>
      <x:c r="U74" t="n">
        <x:f>SUM(N74:T74)</x:f>
        <x:v>0</x:v>
      </x:c>
      <x:c r="V74" t="str">
        <x:f>IF($W74="Sin respuesta","Sin envio",IF($U74&gt;0,"OK","Sin puntos"))</x:f>
        <x:v>Sin envio</x:v>
      </x:c>
      <x:c r="W74" t="str">
        <x:v>Sin respuesta</x:v>
      </x:c>
    </x:row>
    <x:row r="75" ht="15" hidden="0" customHeight="1">
      <x:c r="A75" t="str">
        <x:v>4tos</x:v>
      </x:c>
      <x:c r="B75" t="str">
        <x:v>QF2</x:v>
      </x:c>
      <x:c r="C75" t="str">
        <x:v>Omar</x:v>
      </x:c>
      <x:c r="D75" t="str">
        <x:v>España</x:v>
      </x:c>
      <x:c r="E75" t="str">
        <x:v>Bélgica</x:v>
      </x:c>
      <x:c r="F75"/>
      <x:c r="G75"/>
      <x:c r="H75" t="str">
        <x:v>Sin envio</x:v>
      </x:c>
      <x:c r="I75" t="str">
        <x:v>Sin envio</x:v>
      </x:c>
      <x:c r="J75" t="n">
        <x:v>2</x:v>
      </x:c>
      <x:c r="K75" t="n">
        <x:v>1</x:v>
      </x:c>
      <x:c r="L75" t="str">
        <x:v>España</x:v>
      </x:c>
      <x:c r="M75" t="str">
        <x:v>90 minutos</x:v>
      </x:c>
      <x:c r="N75" t="n">
        <x:f>IF(AND(AND(ISNUMBER($F75),ISNUMBER($G75),$H75=$L75),IF($I75="90 minutos",IF($F75&gt;$G75,"A",IF($G75&gt;$F75,"B","E")),"E")=IF($M75="90 minutos",IF($J75&gt;$K75,"A",IF($K75&gt;$J75,"B","E")),"E")),Reglas!$B$2,0)</x:f>
        <x:v>0</x:v>
      </x:c>
      <x:c r="O75" t="n">
        <x:f>IF(AND(ISNUMBER($F75),ISNUMBER($G75),$H75=$L75),Reglas!$B$3,0)</x:f>
        <x:v>0</x:v>
      </x:c>
      <x:c r="P75" t="n">
        <x:f>IF(AND(AND(ISNUMBER($F75),ISNUMBER($G75),$H75=$L75),$I75=$M75),Reglas!$B$4,0)</x:f>
        <x:v>0</x:v>
      </x:c>
      <x:c r="Q75" t="n">
        <x:f>IF(AND(AND(AND(ISNUMBER($F75),ISNUMBER($G75),$H75=$L75),$I75=$M75,NOT(AND($I75="Penales",$F75&lt;&gt;$G75))),$F75=$J75,$G75=$K75),Reglas!$B$5,0)</x:f>
        <x:v>0</x:v>
      </x:c>
      <x:c r="R75" t="n">
        <x:f>IF(AND(AND(AND(ISNUMBER($F75),ISNUMBER($G75),$H75=$L75),$I75=$M75,NOT(AND($I75="Penales",$F75&lt;&gt;$G75))),$F75-$G75=$J75-$K75),Reglas!$B$6,0)</x:f>
        <x:v>0</x:v>
      </x:c>
      <x:c r="S75" t="n">
        <x:f>IF(AND(AND(AND(ISNUMBER($F75),ISNUMBER($G75),$H75=$L75),$I75=$M75,NOT(AND($I75="Penales",$F75&lt;&gt;$G75))),$F75=$J75),Reglas!$B$7,0)</x:f>
        <x:v>0</x:v>
      </x:c>
      <x:c r="T75" t="n">
        <x:f>IF(AND(AND(AND(ISNUMBER($F75),ISNUMBER($G75),$H75=$L75),$I75=$M75,NOT(AND($I75="Penales",$F75&lt;&gt;$G75))),$G75=$K75),Reglas!$B$8,0)</x:f>
        <x:v>0</x:v>
      </x:c>
      <x:c r="U75" t="n">
        <x:f>SUM(N75:T75)</x:f>
        <x:v>0</x:v>
      </x:c>
      <x:c r="V75" t="str">
        <x:f>IF($W75="Sin respuesta","Sin envio",IF($U75&gt;0,"OK","Sin puntos"))</x:f>
        <x:v>Sin envio</x:v>
      </x:c>
      <x:c r="W75" t="str">
        <x:v>Sin respuesta</x:v>
      </x:c>
    </x:row>
    <x:row r="76" ht="15" hidden="0" customHeight="1">
      <x:c r="A76" t="str">
        <x:v>4tos</x:v>
      </x:c>
      <x:c r="B76" t="str">
        <x:v>QF3</x:v>
      </x:c>
      <x:c r="C76" t="str">
        <x:v>Omar</x:v>
      </x:c>
      <x:c r="D76" t="str">
        <x:v>Noruega</x:v>
      </x:c>
      <x:c r="E76" t="str">
        <x:v>Inglaterra</x:v>
      </x:c>
      <x:c r="F76"/>
      <x:c r="G76"/>
      <x:c r="H76" t="str">
        <x:v>Sin envio</x:v>
      </x:c>
      <x:c r="I76" t="str">
        <x:v>Sin envio</x:v>
      </x:c>
      <x:c r="J76" t="n">
        <x:v>1</x:v>
      </x:c>
      <x:c r="K76" t="n">
        <x:v>2</x:v>
      </x:c>
      <x:c r="L76" t="str">
        <x:v>Inglaterra</x:v>
      </x:c>
      <x:c r="M76" t="str">
        <x:v>Suplementario</x:v>
      </x:c>
      <x:c r="N76" t="n">
        <x:f>IF(AND(AND(ISNUMBER($F76),ISNUMBER($G76),$H76=$L76),IF($I76="90 minutos",IF($F76&gt;$G76,"A",IF($G76&gt;$F76,"B","E")),"E")=IF($M76="90 minutos",IF($J76&gt;$K76,"A",IF($K76&gt;$J76,"B","E")),"E")),Reglas!$B$2,0)</x:f>
        <x:v>0</x:v>
      </x:c>
      <x:c r="O76" t="n">
        <x:f>IF(AND(ISNUMBER($F76),ISNUMBER($G76),$H76=$L76),Reglas!$B$3,0)</x:f>
        <x:v>0</x:v>
      </x:c>
      <x:c r="P76" t="n">
        <x:f>IF(AND(AND(ISNUMBER($F76),ISNUMBER($G76),$H76=$L76),$I76=$M76),Reglas!$B$4,0)</x:f>
        <x:v>0</x:v>
      </x:c>
      <x:c r="Q76" t="n">
        <x:f>IF(AND(AND(AND(ISNUMBER($F76),ISNUMBER($G76),$H76=$L76),$I76=$M76,NOT(AND($I76="Penales",$F76&lt;&gt;$G76))),$F76=$J76,$G76=$K76),Reglas!$B$5,0)</x:f>
        <x:v>0</x:v>
      </x:c>
      <x:c r="R76" t="n">
        <x:f>IF(AND(AND(AND(ISNUMBER($F76),ISNUMBER($G76),$H76=$L76),$I76=$M76,NOT(AND($I76="Penales",$F76&lt;&gt;$G76))),$F76-$G76=$J76-$K76),Reglas!$B$6,0)</x:f>
        <x:v>0</x:v>
      </x:c>
      <x:c r="S76" t="n">
        <x:f>IF(AND(AND(AND(ISNUMBER($F76),ISNUMBER($G76),$H76=$L76),$I76=$M76,NOT(AND($I76="Penales",$F76&lt;&gt;$G76))),$F76=$J76),Reglas!$B$7,0)</x:f>
        <x:v>0</x:v>
      </x:c>
      <x:c r="T76" t="n">
        <x:f>IF(AND(AND(AND(ISNUMBER($F76),ISNUMBER($G76),$H76=$L76),$I76=$M76,NOT(AND($I76="Penales",$F76&lt;&gt;$G76))),$G76=$K76),Reglas!$B$8,0)</x:f>
        <x:v>0</x:v>
      </x:c>
      <x:c r="U76" t="n">
        <x:f>SUM(N76:T76)</x:f>
        <x:v>0</x:v>
      </x:c>
      <x:c r="V76" t="str">
        <x:f>IF($W76="Sin respuesta","Sin envio",IF($U76&gt;0,"OK","Sin puntos"))</x:f>
        <x:v>Sin envio</x:v>
      </x:c>
      <x:c r="W76" t="str">
        <x:v>Sin respuesta</x:v>
      </x:c>
    </x:row>
    <x:row r="77" ht="15" hidden="0" customHeight="1">
      <x:c r="A77" t="str">
        <x:v>4tos</x:v>
      </x:c>
      <x:c r="B77" t="str">
        <x:v>QF4</x:v>
      </x:c>
      <x:c r="C77" t="str">
        <x:v>Omar</x:v>
      </x:c>
      <x:c r="D77" t="str">
        <x:v>Argentina</x:v>
      </x:c>
      <x:c r="E77" t="str">
        <x:v>Suiza</x:v>
      </x:c>
      <x:c r="F77"/>
      <x:c r="G77"/>
      <x:c r="H77" t="str">
        <x:v>Sin envio</x:v>
      </x:c>
      <x:c r="I77" t="str">
        <x:v>Sin envio</x:v>
      </x:c>
      <x:c r="J77" t="n">
        <x:v>3</x:v>
      </x:c>
      <x:c r="K77" t="n">
        <x:v>1</x:v>
      </x:c>
      <x:c r="L77" t="str">
        <x:v>Argentina</x:v>
      </x:c>
      <x:c r="M77" t="str">
        <x:v>Suplementario</x:v>
      </x:c>
      <x:c r="N77" t="n">
        <x:f>IF(AND(AND(ISNUMBER($F77),ISNUMBER($G77),$H77=$L77),IF($I77="90 minutos",IF($F77&gt;$G77,"A",IF($G77&gt;$F77,"B","E")),"E")=IF($M77="90 minutos",IF($J77&gt;$K77,"A",IF($K77&gt;$J77,"B","E")),"E")),Reglas!$B$2,0)</x:f>
        <x:v>0</x:v>
      </x:c>
      <x:c r="O77" t="n">
        <x:f>IF(AND(ISNUMBER($F77),ISNUMBER($G77),$H77=$L77),Reglas!$B$3,0)</x:f>
        <x:v>0</x:v>
      </x:c>
      <x:c r="P77" t="n">
        <x:f>IF(AND(AND(ISNUMBER($F77),ISNUMBER($G77),$H77=$L77),$I77=$M77),Reglas!$B$4,0)</x:f>
        <x:v>0</x:v>
      </x:c>
      <x:c r="Q77" t="n">
        <x:f>IF(AND(AND(AND(ISNUMBER($F77),ISNUMBER($G77),$H77=$L77),$I77=$M77,NOT(AND($I77="Penales",$F77&lt;&gt;$G77))),$F77=$J77,$G77=$K77),Reglas!$B$5,0)</x:f>
        <x:v>0</x:v>
      </x:c>
      <x:c r="R77" t="n">
        <x:f>IF(AND(AND(AND(ISNUMBER($F77),ISNUMBER($G77),$H77=$L77),$I77=$M77,NOT(AND($I77="Penales",$F77&lt;&gt;$G77))),$F77-$G77=$J77-$K77),Reglas!$B$6,0)</x:f>
        <x:v>0</x:v>
      </x:c>
      <x:c r="S77" t="n">
        <x:f>IF(AND(AND(AND(ISNUMBER($F77),ISNUMBER($G77),$H77=$L77),$I77=$M77,NOT(AND($I77="Penales",$F77&lt;&gt;$G77))),$F77=$J77),Reglas!$B$7,0)</x:f>
        <x:v>0</x:v>
      </x:c>
      <x:c r="T77" t="n">
        <x:f>IF(AND(AND(AND(ISNUMBER($F77),ISNUMBER($G77),$H77=$L77),$I77=$M77,NOT(AND($I77="Penales",$F77&lt;&gt;$G77))),$G77=$K77),Reglas!$B$8,0)</x:f>
        <x:v>0</x:v>
      </x:c>
      <x:c r="U77" t="n">
        <x:f>SUM(N77:T77)</x:f>
        <x:v>0</x:v>
      </x:c>
      <x:c r="V77" t="str">
        <x:f>IF($W77="Sin respuesta","Sin envio",IF($U77&gt;0,"OK","Sin puntos"))</x:f>
        <x:v>Sin envio</x:v>
      </x:c>
      <x:c r="W77" t="str">
        <x:v>Sin respuesta</x:v>
      </x:c>
    </x:row>
    <x:row r="78" ht="15" hidden="0" customHeight="1">
      <x:c r="A78" t="str">
        <x:v>4tos</x:v>
      </x:c>
      <x:c r="B78" t="str">
        <x:v>QF1</x:v>
      </x:c>
      <x:c r="C78" t="str">
        <x:v>Fernando</x:v>
      </x:c>
      <x:c r="D78" t="str">
        <x:v>Francia</x:v>
      </x:c>
      <x:c r="E78" t="str">
        <x:v>Marruecos</x:v>
      </x:c>
      <x:c r="F78" t="n">
        <x:v>2</x:v>
      </x:c>
      <x:c r="G78" t="n">
        <x:v>1</x:v>
      </x:c>
      <x:c r="H78" t="str">
        <x:v>Francia</x:v>
      </x:c>
      <x:c r="I78" t="str">
        <x:v>90 minutos</x:v>
      </x:c>
      <x:c r="J78" t="n">
        <x:v>2</x:v>
      </x:c>
      <x:c r="K78" t="n">
        <x:v>0</x:v>
      </x:c>
      <x:c r="L78" t="str">
        <x:v>Francia</x:v>
      </x:c>
      <x:c r="M78" t="str">
        <x:v>90 minutos</x:v>
      </x:c>
      <x:c r="N78" t="n">
        <x:f>IF(AND(AND(ISNUMBER($F78),ISNUMBER($G78),$H78=$L78),IF($I78="90 minutos",IF($F78&gt;$G78,"A",IF($G78&gt;$F78,"B","E")),"E")=IF($M78="90 minutos",IF($J78&gt;$K78,"A",IF($K78&gt;$J78,"B","E")),"E")),Reglas!$B$2,0)</x:f>
        <x:v>5</x:v>
      </x:c>
      <x:c r="O78" t="n">
        <x:f>IF(AND(ISNUMBER($F78),ISNUMBER($G78),$H78=$L78),Reglas!$B$3,0)</x:f>
        <x:v>3</x:v>
      </x:c>
      <x:c r="P78" t="n">
        <x:f>IF(AND(AND(ISNUMBER($F78),ISNUMBER($G78),$H78=$L78),$I78=$M78),Reglas!$B$4,0)</x:f>
        <x:v>2</x:v>
      </x:c>
      <x:c r="Q78" t="n">
        <x:f>IF(AND(AND(AND(ISNUMBER($F78),ISNUMBER($G78),$H78=$L78),$I78=$M78,NOT(AND($I78="Penales",$F78&lt;&gt;$G78))),$F78=$J78,$G78=$K78),Reglas!$B$5,0)</x:f>
        <x:v>0</x:v>
      </x:c>
      <x:c r="R78" t="n">
        <x:f>IF(AND(AND(AND(ISNUMBER($F78),ISNUMBER($G78),$H78=$L78),$I78=$M78,NOT(AND($I78="Penales",$F78&lt;&gt;$G78))),$F78-$G78=$J78-$K78),Reglas!$B$6,0)</x:f>
        <x:v>0</x:v>
      </x:c>
      <x:c r="S78" t="n">
        <x:f>IF(AND(AND(AND(ISNUMBER($F78),ISNUMBER($G78),$H78=$L78),$I78=$M78,NOT(AND($I78="Penales",$F78&lt;&gt;$G78))),$F78=$J78),Reglas!$B$7,0)</x:f>
        <x:v>1</x:v>
      </x:c>
      <x:c r="T78" t="n">
        <x:f>IF(AND(AND(AND(ISNUMBER($F78),ISNUMBER($G78),$H78=$L78),$I78=$M78,NOT(AND($I78="Penales",$F78&lt;&gt;$G78))),$G78=$K78),Reglas!$B$8,0)</x:f>
        <x:v>0</x:v>
      </x:c>
      <x:c r="U78" t="n">
        <x:f>SUM(N78:T78)</x:f>
        <x:v>11</x:v>
      </x:c>
      <x:c r="V78" t="str">
        <x:f>IF($W78="Sin respuesta","Sin envio",IF($U78&gt;0,"OK","Sin puntos"))</x:f>
        <x:v>OK</x:v>
      </x:c>
      <x:c r="W78" t="str">
        <x:v>Google Forms</x:v>
      </x:c>
    </x:row>
    <x:row r="79" ht="15" hidden="0" customHeight="1">
      <x:c r="A79" t="str">
        <x:v>4tos</x:v>
      </x:c>
      <x:c r="B79" t="str">
        <x:v>QF2</x:v>
      </x:c>
      <x:c r="C79" t="str">
        <x:v>Fernando</x:v>
      </x:c>
      <x:c r="D79" t="str">
        <x:v>España</x:v>
      </x:c>
      <x:c r="E79" t="str">
        <x:v>Bélgica</x:v>
      </x:c>
      <x:c r="F79" t="n">
        <x:v>1</x:v>
      </x:c>
      <x:c r="G79" t="n">
        <x:v>0</x:v>
      </x:c>
      <x:c r="H79" t="str">
        <x:v>España</x:v>
      </x:c>
      <x:c r="I79" t="str">
        <x:v>90 minutos</x:v>
      </x:c>
      <x:c r="J79" t="n">
        <x:v>2</x:v>
      </x:c>
      <x:c r="K79" t="n">
        <x:v>1</x:v>
      </x:c>
      <x:c r="L79" t="str">
        <x:v>España</x:v>
      </x:c>
      <x:c r="M79" t="str">
        <x:v>90 minutos</x:v>
      </x:c>
      <x:c r="N79" t="n">
        <x:f>IF(AND(AND(ISNUMBER($F79),ISNUMBER($G79),$H79=$L79),IF($I79="90 minutos",IF($F79&gt;$G79,"A",IF($G79&gt;$F79,"B","E")),"E")=IF($M79="90 minutos",IF($J79&gt;$K79,"A",IF($K79&gt;$J79,"B","E")),"E")),Reglas!$B$2,0)</x:f>
        <x:v>5</x:v>
      </x:c>
      <x:c r="O79" t="n">
        <x:f>IF(AND(ISNUMBER($F79),ISNUMBER($G79),$H79=$L79),Reglas!$B$3,0)</x:f>
        <x:v>3</x:v>
      </x:c>
      <x:c r="P79" t="n">
        <x:f>IF(AND(AND(ISNUMBER($F79),ISNUMBER($G79),$H79=$L79),$I79=$M79),Reglas!$B$4,0)</x:f>
        <x:v>2</x:v>
      </x:c>
      <x:c r="Q79" t="n">
        <x:f>IF(AND(AND(AND(ISNUMBER($F79),ISNUMBER($G79),$H79=$L79),$I79=$M79,NOT(AND($I79="Penales",$F79&lt;&gt;$G79))),$F79=$J79,$G79=$K79),Reglas!$B$5,0)</x:f>
        <x:v>0</x:v>
      </x:c>
      <x:c r="R79" t="n">
        <x:f>IF(AND(AND(AND(ISNUMBER($F79),ISNUMBER($G79),$H79=$L79),$I79=$M79,NOT(AND($I79="Penales",$F79&lt;&gt;$G79))),$F79-$G79=$J79-$K79),Reglas!$B$6,0)</x:f>
        <x:v>2</x:v>
      </x:c>
      <x:c r="S79" t="n">
        <x:f>IF(AND(AND(AND(ISNUMBER($F79),ISNUMBER($G79),$H79=$L79),$I79=$M79,NOT(AND($I79="Penales",$F79&lt;&gt;$G79))),$F79=$J79),Reglas!$B$7,0)</x:f>
        <x:v>0</x:v>
      </x:c>
      <x:c r="T79" t="n">
        <x:f>IF(AND(AND(AND(ISNUMBER($F79),ISNUMBER($G79),$H79=$L79),$I79=$M79,NOT(AND($I79="Penales",$F79&lt;&gt;$G79))),$G79=$K79),Reglas!$B$8,0)</x:f>
        <x:v>0</x:v>
      </x:c>
      <x:c r="U79" t="n">
        <x:f>SUM(N79:T79)</x:f>
        <x:v>12</x:v>
      </x:c>
      <x:c r="V79" t="str">
        <x:f>IF($W79="Sin respuesta","Sin envio",IF($U79&gt;0,"OK","Sin puntos"))</x:f>
        <x:v>OK</x:v>
      </x:c>
      <x:c r="W79" t="str">
        <x:v>Google Forms</x:v>
      </x:c>
    </x:row>
    <x:row r="80" ht="15" hidden="0" customHeight="1">
      <x:c r="A80" t="str">
        <x:v>4tos</x:v>
      </x:c>
      <x:c r="B80" t="str">
        <x:v>QF3</x:v>
      </x:c>
      <x:c r="C80" t="str">
        <x:v>Fernando</x:v>
      </x:c>
      <x:c r="D80" t="str">
        <x:v>Noruega</x:v>
      </x:c>
      <x:c r="E80" t="str">
        <x:v>Inglaterra</x:v>
      </x:c>
      <x:c r="F80" t="n">
        <x:v>3</x:v>
      </x:c>
      <x:c r="G80" t="n">
        <x:v>2</x:v>
      </x:c>
      <x:c r="H80" t="str">
        <x:v>Noruega</x:v>
      </x:c>
      <x:c r="I80" t="str">
        <x:v>90 minutos</x:v>
      </x:c>
      <x:c r="J80" t="n">
        <x:v>1</x:v>
      </x:c>
      <x:c r="K80" t="n">
        <x:v>2</x:v>
      </x:c>
      <x:c r="L80" t="str">
        <x:v>Inglaterra</x:v>
      </x:c>
      <x:c r="M80" t="str">
        <x:v>Suplementario</x:v>
      </x:c>
      <x:c r="N80" t="n">
        <x:f>IF(AND(AND(ISNUMBER($F80),ISNUMBER($G80),$H80=$L80),IF($I80="90 minutos",IF($F80&gt;$G80,"A",IF($G80&gt;$F80,"B","E")),"E")=IF($M80="90 minutos",IF($J80&gt;$K80,"A",IF($K80&gt;$J80,"B","E")),"E")),Reglas!$B$2,0)</x:f>
        <x:v>0</x:v>
      </x:c>
      <x:c r="O80" t="n">
        <x:f>IF(AND(ISNUMBER($F80),ISNUMBER($G80),$H80=$L80),Reglas!$B$3,0)</x:f>
        <x:v>0</x:v>
      </x:c>
      <x:c r="P80" t="n">
        <x:f>IF(AND(AND(ISNUMBER($F80),ISNUMBER($G80),$H80=$L80),$I80=$M80),Reglas!$B$4,0)</x:f>
        <x:v>0</x:v>
      </x:c>
      <x:c r="Q80" t="n">
        <x:f>IF(AND(AND(AND(ISNUMBER($F80),ISNUMBER($G80),$H80=$L80),$I80=$M80,NOT(AND($I80="Penales",$F80&lt;&gt;$G80))),$F80=$J80,$G80=$K80),Reglas!$B$5,0)</x:f>
        <x:v>0</x:v>
      </x:c>
      <x:c r="R80" t="n">
        <x:f>IF(AND(AND(AND(ISNUMBER($F80),ISNUMBER($G80),$H80=$L80),$I80=$M80,NOT(AND($I80="Penales",$F80&lt;&gt;$G80))),$F80-$G80=$J80-$K80),Reglas!$B$6,0)</x:f>
        <x:v>0</x:v>
      </x:c>
      <x:c r="S80" t="n">
        <x:f>IF(AND(AND(AND(ISNUMBER($F80),ISNUMBER($G80),$H80=$L80),$I80=$M80,NOT(AND($I80="Penales",$F80&lt;&gt;$G80))),$F80=$J80),Reglas!$B$7,0)</x:f>
        <x:v>0</x:v>
      </x:c>
      <x:c r="T80" t="n">
        <x:f>IF(AND(AND(AND(ISNUMBER($F80),ISNUMBER($G80),$H80=$L80),$I80=$M80,NOT(AND($I80="Penales",$F80&lt;&gt;$G80))),$G80=$K80),Reglas!$B$8,0)</x:f>
        <x:v>0</x:v>
      </x:c>
      <x:c r="U80" t="n">
        <x:f>SUM(N80:T80)</x:f>
        <x:v>0</x:v>
      </x:c>
      <x:c r="V80" t="str">
        <x:f>IF($W80="Sin respuesta","Sin envio",IF($U80&gt;0,"OK","Sin puntos"))</x:f>
        <x:v>Sin puntos</x:v>
      </x:c>
      <x:c r="W80" t="str">
        <x:v>Google Forms</x:v>
      </x:c>
    </x:row>
    <x:row r="81" ht="15" hidden="0" customHeight="1">
      <x:c r="A81" t="str">
        <x:v>4tos</x:v>
      </x:c>
      <x:c r="B81" t="str">
        <x:v>QF4</x:v>
      </x:c>
      <x:c r="C81" t="str">
        <x:v>Fernando</x:v>
      </x:c>
      <x:c r="D81" t="str">
        <x:v>Argentina</x:v>
      </x:c>
      <x:c r="E81" t="str">
        <x:v>Suiza</x:v>
      </x:c>
      <x:c r="F81" t="n">
        <x:v>1</x:v>
      </x:c>
      <x:c r="G81" t="n">
        <x:v>0</x:v>
      </x:c>
      <x:c r="H81" t="str">
        <x:v>Argentina</x:v>
      </x:c>
      <x:c r="I81" t="str">
        <x:v>90 minutos</x:v>
      </x:c>
      <x:c r="J81" t="n">
        <x:v>3</x:v>
      </x:c>
      <x:c r="K81" t="n">
        <x:v>1</x:v>
      </x:c>
      <x:c r="L81" t="str">
        <x:v>Argentina</x:v>
      </x:c>
      <x:c r="M81" t="str">
        <x:v>Suplementario</x:v>
      </x:c>
      <x:c r="N81" t="n">
        <x:f>IF(AND(AND(ISNUMBER($F81),ISNUMBER($G81),$H81=$L81),IF($I81="90 minutos",IF($F81&gt;$G81,"A",IF($G81&gt;$F81,"B","E")),"E")=IF($M81="90 minutos",IF($J81&gt;$K81,"A",IF($K81&gt;$J81,"B","E")),"E")),Reglas!$B$2,0)</x:f>
        <x:v>0</x:v>
      </x:c>
      <x:c r="O81" t="n">
        <x:f>IF(AND(ISNUMBER($F81),ISNUMBER($G81),$H81=$L81),Reglas!$B$3,0)</x:f>
        <x:v>3</x:v>
      </x:c>
      <x:c r="P81" t="n">
        <x:f>IF(AND(AND(ISNUMBER($F81),ISNUMBER($G81),$H81=$L81),$I81=$M81),Reglas!$B$4,0)</x:f>
        <x:v>0</x:v>
      </x:c>
      <x:c r="Q81" t="n">
        <x:f>IF(AND(AND(AND(ISNUMBER($F81),ISNUMBER($G81),$H81=$L81),$I81=$M81,NOT(AND($I81="Penales",$F81&lt;&gt;$G81))),$F81=$J81,$G81=$K81),Reglas!$B$5,0)</x:f>
        <x:v>0</x:v>
      </x:c>
      <x:c r="R81" t="n">
        <x:f>IF(AND(AND(AND(ISNUMBER($F81),ISNUMBER($G81),$H81=$L81),$I81=$M81,NOT(AND($I81="Penales",$F81&lt;&gt;$G81))),$F81-$G81=$J81-$K81),Reglas!$B$6,0)</x:f>
        <x:v>0</x:v>
      </x:c>
      <x:c r="S81" t="n">
        <x:f>IF(AND(AND(AND(ISNUMBER($F81),ISNUMBER($G81),$H81=$L81),$I81=$M81,NOT(AND($I81="Penales",$F81&lt;&gt;$G81))),$F81=$J81),Reglas!$B$7,0)</x:f>
        <x:v>0</x:v>
      </x:c>
      <x:c r="T81" t="n">
        <x:f>IF(AND(AND(AND(ISNUMBER($F81),ISNUMBER($G81),$H81=$L81),$I81=$M81,NOT(AND($I81="Penales",$F81&lt;&gt;$G81))),$G81=$K81),Reglas!$B$8,0)</x:f>
        <x:v>0</x:v>
      </x:c>
      <x:c r="U81" t="n">
        <x:f>SUM(N81:T81)</x:f>
        <x:v>3</x:v>
      </x:c>
      <x:c r="V81" t="str">
        <x:f>IF($W81="Sin respuesta","Sin envio",IF($U81&gt;0,"OK","Sin puntos"))</x:f>
        <x:v>OK</x:v>
      </x:c>
      <x:c r="W81" t="str">
        <x:v>Google Forms</x:v>
      </x:c>
    </x:row>
    <x:row r="82" ht="15" hidden="0" customHeight="1">
      <x:c r="A82" t="str">
        <x:v>4tos</x:v>
      </x:c>
      <x:c r="B82" t="str">
        <x:v>QF1</x:v>
      </x:c>
      <x:c r="C82" t="str">
        <x:v>Diana</x:v>
      </x:c>
      <x:c r="D82" t="str">
        <x:v>Francia</x:v>
      </x:c>
      <x:c r="E82" t="str">
        <x:v>Marruecos</x:v>
      </x:c>
      <x:c r="F82"/>
      <x:c r="G82"/>
      <x:c r="H82" t="str">
        <x:v>Sin envio</x:v>
      </x:c>
      <x:c r="I82" t="str">
        <x:v>Sin envio</x:v>
      </x:c>
      <x:c r="J82" t="n">
        <x:v>2</x:v>
      </x:c>
      <x:c r="K82" t="n">
        <x:v>0</x:v>
      </x:c>
      <x:c r="L82" t="str">
        <x:v>Francia</x:v>
      </x:c>
      <x:c r="M82" t="str">
        <x:v>90 minutos</x:v>
      </x:c>
      <x:c r="N82" t="n">
        <x:f>IF(AND(AND(ISNUMBER($F82),ISNUMBER($G82),$H82=$L82),IF($I82="90 minutos",IF($F82&gt;$G82,"A",IF($G82&gt;$F82,"B","E")),"E")=IF($M82="90 minutos",IF($J82&gt;$K82,"A",IF($K82&gt;$J82,"B","E")),"E")),Reglas!$B$2,0)</x:f>
        <x:v>0</x:v>
      </x:c>
      <x:c r="O82" t="n">
        <x:f>IF(AND(ISNUMBER($F82),ISNUMBER($G82),$H82=$L82),Reglas!$B$3,0)</x:f>
        <x:v>0</x:v>
      </x:c>
      <x:c r="P82" t="n">
        <x:f>IF(AND(AND(ISNUMBER($F82),ISNUMBER($G82),$H82=$L82),$I82=$M82),Reglas!$B$4,0)</x:f>
        <x:v>0</x:v>
      </x:c>
      <x:c r="Q82" t="n">
        <x:f>IF(AND(AND(AND(ISNUMBER($F82),ISNUMBER($G82),$H82=$L82),$I82=$M82,NOT(AND($I82="Penales",$F82&lt;&gt;$G82))),$F82=$J82,$G82=$K82),Reglas!$B$5,0)</x:f>
        <x:v>0</x:v>
      </x:c>
      <x:c r="R82" t="n">
        <x:f>IF(AND(AND(AND(ISNUMBER($F82),ISNUMBER($G82),$H82=$L82),$I82=$M82,NOT(AND($I82="Penales",$F82&lt;&gt;$G82))),$F82-$G82=$J82-$K82),Reglas!$B$6,0)</x:f>
        <x:v>0</x:v>
      </x:c>
      <x:c r="S82" t="n">
        <x:f>IF(AND(AND(AND(ISNUMBER($F82),ISNUMBER($G82),$H82=$L82),$I82=$M82,NOT(AND($I82="Penales",$F82&lt;&gt;$G82))),$F82=$J82),Reglas!$B$7,0)</x:f>
        <x:v>0</x:v>
      </x:c>
      <x:c r="T82" t="n">
        <x:f>IF(AND(AND(AND(ISNUMBER($F82),ISNUMBER($G82),$H82=$L82),$I82=$M82,NOT(AND($I82="Penales",$F82&lt;&gt;$G82))),$G82=$K82),Reglas!$B$8,0)</x:f>
        <x:v>0</x:v>
      </x:c>
      <x:c r="U82" t="n">
        <x:f>SUM(N82:T82)</x:f>
        <x:v>0</x:v>
      </x:c>
      <x:c r="V82" t="str">
        <x:f>IF($W82="Sin respuesta","Sin envio",IF($U82&gt;0,"OK","Sin puntos"))</x:f>
        <x:v>Sin envio</x:v>
      </x:c>
      <x:c r="W82" t="str">
        <x:v>Sin respuesta</x:v>
      </x:c>
    </x:row>
    <x:row r="83" ht="15" hidden="0" customHeight="1">
      <x:c r="A83" t="str">
        <x:v>4tos</x:v>
      </x:c>
      <x:c r="B83" t="str">
        <x:v>QF2</x:v>
      </x:c>
      <x:c r="C83" t="str">
        <x:v>Diana</x:v>
      </x:c>
      <x:c r="D83" t="str">
        <x:v>España</x:v>
      </x:c>
      <x:c r="E83" t="str">
        <x:v>Bélgica</x:v>
      </x:c>
      <x:c r="F83"/>
      <x:c r="G83"/>
      <x:c r="H83" t="str">
        <x:v>Sin envio</x:v>
      </x:c>
      <x:c r="I83" t="str">
        <x:v>Sin envio</x:v>
      </x:c>
      <x:c r="J83" t="n">
        <x:v>2</x:v>
      </x:c>
      <x:c r="K83" t="n">
        <x:v>1</x:v>
      </x:c>
      <x:c r="L83" t="str">
        <x:v>España</x:v>
      </x:c>
      <x:c r="M83" t="str">
        <x:v>90 minutos</x:v>
      </x:c>
      <x:c r="N83" t="n">
        <x:f>IF(AND(AND(ISNUMBER($F83),ISNUMBER($G83),$H83=$L83),IF($I83="90 minutos",IF($F83&gt;$G83,"A",IF($G83&gt;$F83,"B","E")),"E")=IF($M83="90 minutos",IF($J83&gt;$K83,"A",IF($K83&gt;$J83,"B","E")),"E")),Reglas!$B$2,0)</x:f>
        <x:v>0</x:v>
      </x:c>
      <x:c r="O83" t="n">
        <x:f>IF(AND(ISNUMBER($F83),ISNUMBER($G83),$H83=$L83),Reglas!$B$3,0)</x:f>
        <x:v>0</x:v>
      </x:c>
      <x:c r="P83" t="n">
        <x:f>IF(AND(AND(ISNUMBER($F83),ISNUMBER($G83),$H83=$L83),$I83=$M83),Reglas!$B$4,0)</x:f>
        <x:v>0</x:v>
      </x:c>
      <x:c r="Q83" t="n">
        <x:f>IF(AND(AND(AND(ISNUMBER($F83),ISNUMBER($G83),$H83=$L83),$I83=$M83,NOT(AND($I83="Penales",$F83&lt;&gt;$G83))),$F83=$J83,$G83=$K83),Reglas!$B$5,0)</x:f>
        <x:v>0</x:v>
      </x:c>
      <x:c r="R83" t="n">
        <x:f>IF(AND(AND(AND(ISNUMBER($F83),ISNUMBER($G83),$H83=$L83),$I83=$M83,NOT(AND($I83="Penales",$F83&lt;&gt;$G83))),$F83-$G83=$J83-$K83),Reglas!$B$6,0)</x:f>
        <x:v>0</x:v>
      </x:c>
      <x:c r="S83" t="n">
        <x:f>IF(AND(AND(AND(ISNUMBER($F83),ISNUMBER($G83),$H83=$L83),$I83=$M83,NOT(AND($I83="Penales",$F83&lt;&gt;$G83))),$F83=$J83),Reglas!$B$7,0)</x:f>
        <x:v>0</x:v>
      </x:c>
      <x:c r="T83" t="n">
        <x:f>IF(AND(AND(AND(ISNUMBER($F83),ISNUMBER($G83),$H83=$L83),$I83=$M83,NOT(AND($I83="Penales",$F83&lt;&gt;$G83))),$G83=$K83),Reglas!$B$8,0)</x:f>
        <x:v>0</x:v>
      </x:c>
      <x:c r="U83" t="n">
        <x:f>SUM(N83:T83)</x:f>
        <x:v>0</x:v>
      </x:c>
      <x:c r="V83" t="str">
        <x:f>IF($W83="Sin respuesta","Sin envio",IF($U83&gt;0,"OK","Sin puntos"))</x:f>
        <x:v>Sin envio</x:v>
      </x:c>
      <x:c r="W83" t="str">
        <x:v>Sin respuesta</x:v>
      </x:c>
    </x:row>
    <x:row r="84" ht="15" hidden="0" customHeight="1">
      <x:c r="A84" t="str">
        <x:v>4tos</x:v>
      </x:c>
      <x:c r="B84" t="str">
        <x:v>QF3</x:v>
      </x:c>
      <x:c r="C84" t="str">
        <x:v>Diana</x:v>
      </x:c>
      <x:c r="D84" t="str">
        <x:v>Noruega</x:v>
      </x:c>
      <x:c r="E84" t="str">
        <x:v>Inglaterra</x:v>
      </x:c>
      <x:c r="F84"/>
      <x:c r="G84"/>
      <x:c r="H84" t="str">
        <x:v>Sin envio</x:v>
      </x:c>
      <x:c r="I84" t="str">
        <x:v>Sin envio</x:v>
      </x:c>
      <x:c r="J84" t="n">
        <x:v>1</x:v>
      </x:c>
      <x:c r="K84" t="n">
        <x:v>2</x:v>
      </x:c>
      <x:c r="L84" t="str">
        <x:v>Inglaterra</x:v>
      </x:c>
      <x:c r="M84" t="str">
        <x:v>Suplementario</x:v>
      </x:c>
      <x:c r="N84" t="n">
        <x:f>IF(AND(AND(ISNUMBER($F84),ISNUMBER($G84),$H84=$L84),IF($I84="90 minutos",IF($F84&gt;$G84,"A",IF($G84&gt;$F84,"B","E")),"E")=IF($M84="90 minutos",IF($J84&gt;$K84,"A",IF($K84&gt;$J84,"B","E")),"E")),Reglas!$B$2,0)</x:f>
        <x:v>0</x:v>
      </x:c>
      <x:c r="O84" t="n">
        <x:f>IF(AND(ISNUMBER($F84),ISNUMBER($G84),$H84=$L84),Reglas!$B$3,0)</x:f>
        <x:v>0</x:v>
      </x:c>
      <x:c r="P84" t="n">
        <x:f>IF(AND(AND(ISNUMBER($F84),ISNUMBER($G84),$H84=$L84),$I84=$M84),Reglas!$B$4,0)</x:f>
        <x:v>0</x:v>
      </x:c>
      <x:c r="Q84" t="n">
        <x:f>IF(AND(AND(AND(ISNUMBER($F84),ISNUMBER($G84),$H84=$L84),$I84=$M84,NOT(AND($I84="Penales",$F84&lt;&gt;$G84))),$F84=$J84,$G84=$K84),Reglas!$B$5,0)</x:f>
        <x:v>0</x:v>
      </x:c>
      <x:c r="R84" t="n">
        <x:f>IF(AND(AND(AND(ISNUMBER($F84),ISNUMBER($G84),$H84=$L84),$I84=$M84,NOT(AND($I84="Penales",$F84&lt;&gt;$G84))),$F84-$G84=$J84-$K84),Reglas!$B$6,0)</x:f>
        <x:v>0</x:v>
      </x:c>
      <x:c r="S84" t="n">
        <x:f>IF(AND(AND(AND(ISNUMBER($F84),ISNUMBER($G84),$H84=$L84),$I84=$M84,NOT(AND($I84="Penales",$F84&lt;&gt;$G84))),$F84=$J84),Reglas!$B$7,0)</x:f>
        <x:v>0</x:v>
      </x:c>
      <x:c r="T84" t="n">
        <x:f>IF(AND(AND(AND(ISNUMBER($F84),ISNUMBER($G84),$H84=$L84),$I84=$M84,NOT(AND($I84="Penales",$F84&lt;&gt;$G84))),$G84=$K84),Reglas!$B$8,0)</x:f>
        <x:v>0</x:v>
      </x:c>
      <x:c r="U84" t="n">
        <x:f>SUM(N84:T84)</x:f>
        <x:v>0</x:v>
      </x:c>
      <x:c r="V84" t="str">
        <x:f>IF($W84="Sin respuesta","Sin envio",IF($U84&gt;0,"OK","Sin puntos"))</x:f>
        <x:v>Sin envio</x:v>
      </x:c>
      <x:c r="W84" t="str">
        <x:v>Sin respuesta</x:v>
      </x:c>
    </x:row>
    <x:row r="85" ht="15" hidden="0" customHeight="1">
      <x:c r="A85" t="str">
        <x:v>4tos</x:v>
      </x:c>
      <x:c r="B85" t="str">
        <x:v>QF4</x:v>
      </x:c>
      <x:c r="C85" t="str">
        <x:v>Diana</x:v>
      </x:c>
      <x:c r="D85" t="str">
        <x:v>Argentina</x:v>
      </x:c>
      <x:c r="E85" t="str">
        <x:v>Suiza</x:v>
      </x:c>
      <x:c r="F85"/>
      <x:c r="G85"/>
      <x:c r="H85" t="str">
        <x:v>Sin envio</x:v>
      </x:c>
      <x:c r="I85" t="str">
        <x:v>Sin envio</x:v>
      </x:c>
      <x:c r="J85" t="n">
        <x:v>3</x:v>
      </x:c>
      <x:c r="K85" t="n">
        <x:v>1</x:v>
      </x:c>
      <x:c r="L85" t="str">
        <x:v>Argentina</x:v>
      </x:c>
      <x:c r="M85" t="str">
        <x:v>Suplementario</x:v>
      </x:c>
      <x:c r="N85" t="n">
        <x:f>IF(AND(AND(ISNUMBER($F85),ISNUMBER($G85),$H85=$L85),IF($I85="90 minutos",IF($F85&gt;$G85,"A",IF($G85&gt;$F85,"B","E")),"E")=IF($M85="90 minutos",IF($J85&gt;$K85,"A",IF($K85&gt;$J85,"B","E")),"E")),Reglas!$B$2,0)</x:f>
        <x:v>0</x:v>
      </x:c>
      <x:c r="O85" t="n">
        <x:f>IF(AND(ISNUMBER($F85),ISNUMBER($G85),$H85=$L85),Reglas!$B$3,0)</x:f>
        <x:v>0</x:v>
      </x:c>
      <x:c r="P85" t="n">
        <x:f>IF(AND(AND(ISNUMBER($F85),ISNUMBER($G85),$H85=$L85),$I85=$M85),Reglas!$B$4,0)</x:f>
        <x:v>0</x:v>
      </x:c>
      <x:c r="Q85" t="n">
        <x:f>IF(AND(AND(AND(ISNUMBER($F85),ISNUMBER($G85),$H85=$L85),$I85=$M85,NOT(AND($I85="Penales",$F85&lt;&gt;$G85))),$F85=$J85,$G85=$K85),Reglas!$B$5,0)</x:f>
        <x:v>0</x:v>
      </x:c>
      <x:c r="R85" t="n">
        <x:f>IF(AND(AND(AND(ISNUMBER($F85),ISNUMBER($G85),$H85=$L85),$I85=$M85,NOT(AND($I85="Penales",$F85&lt;&gt;$G85))),$F85-$G85=$J85-$K85),Reglas!$B$6,0)</x:f>
        <x:v>0</x:v>
      </x:c>
      <x:c r="S85" t="n">
        <x:f>IF(AND(AND(AND(ISNUMBER($F85),ISNUMBER($G85),$H85=$L85),$I85=$M85,NOT(AND($I85="Penales",$F85&lt;&gt;$G85))),$F85=$J85),Reglas!$B$7,0)</x:f>
        <x:v>0</x:v>
      </x:c>
      <x:c r="T85" t="n">
        <x:f>IF(AND(AND(AND(ISNUMBER($F85),ISNUMBER($G85),$H85=$L85),$I85=$M85,NOT(AND($I85="Penales",$F85&lt;&gt;$G85))),$G85=$K85),Reglas!$B$8,0)</x:f>
        <x:v>0</x:v>
      </x:c>
      <x:c r="U85" t="n">
        <x:f>SUM(N85:T85)</x:f>
        <x:v>0</x:v>
      </x:c>
      <x:c r="V85" t="str">
        <x:f>IF($W85="Sin respuesta","Sin envio",IF($U85&gt;0,"OK","Sin puntos"))</x:f>
        <x:v>Sin envio</x:v>
      </x:c>
      <x:c r="W85" t="str">
        <x:v>Sin respuesta</x:v>
      </x:c>
    </x:row>
    <x:row r="86" ht="15" hidden="0" customHeight="1">
      <x:c r="A86" t="str">
        <x:v>4tos</x:v>
      </x:c>
      <x:c r="B86" t="str">
        <x:v>QF1</x:v>
      </x:c>
      <x:c r="C86" t="str">
        <x:v>Óscar</x:v>
      </x:c>
      <x:c r="D86" t="str">
        <x:v>Francia</x:v>
      </x:c>
      <x:c r="E86" t="str">
        <x:v>Marruecos</x:v>
      </x:c>
      <x:c r="F86" t="n">
        <x:v>2</x:v>
      </x:c>
      <x:c r="G86" t="n">
        <x:v>1</x:v>
      </x:c>
      <x:c r="H86" t="str">
        <x:v>Francia</x:v>
      </x:c>
      <x:c r="I86" t="str">
        <x:v>Suplementario</x:v>
      </x:c>
      <x:c r="J86" t="n">
        <x:v>2</x:v>
      </x:c>
      <x:c r="K86" t="n">
        <x:v>0</x:v>
      </x:c>
      <x:c r="L86" t="str">
        <x:v>Francia</x:v>
      </x:c>
      <x:c r="M86" t="str">
        <x:v>90 minutos</x:v>
      </x:c>
      <x:c r="N86" t="n">
        <x:f>IF(AND(AND(ISNUMBER($F86),ISNUMBER($G86),$H86=$L86),IF($I86="90 minutos",IF($F86&gt;$G86,"A",IF($G86&gt;$F86,"B","E")),"E")=IF($M86="90 minutos",IF($J86&gt;$K86,"A",IF($K86&gt;$J86,"B","E")),"E")),Reglas!$B$2,0)</x:f>
        <x:v>0</x:v>
      </x:c>
      <x:c r="O86" t="n">
        <x:f>IF(AND(ISNUMBER($F86),ISNUMBER($G86),$H86=$L86),Reglas!$B$3,0)</x:f>
        <x:v>3</x:v>
      </x:c>
      <x:c r="P86" t="n">
        <x:f>IF(AND(AND(ISNUMBER($F86),ISNUMBER($G86),$H86=$L86),$I86=$M86),Reglas!$B$4,0)</x:f>
        <x:v>0</x:v>
      </x:c>
      <x:c r="Q86" t="n">
        <x:f>IF(AND(AND(AND(ISNUMBER($F86),ISNUMBER($G86),$H86=$L86),$I86=$M86,NOT(AND($I86="Penales",$F86&lt;&gt;$G86))),$F86=$J86,$G86=$K86),Reglas!$B$5,0)</x:f>
        <x:v>0</x:v>
      </x:c>
      <x:c r="R86" t="n">
        <x:f>IF(AND(AND(AND(ISNUMBER($F86),ISNUMBER($G86),$H86=$L86),$I86=$M86,NOT(AND($I86="Penales",$F86&lt;&gt;$G86))),$F86-$G86=$J86-$K86),Reglas!$B$6,0)</x:f>
        <x:v>0</x:v>
      </x:c>
      <x:c r="S86" t="n">
        <x:f>IF(AND(AND(AND(ISNUMBER($F86),ISNUMBER($G86),$H86=$L86),$I86=$M86,NOT(AND($I86="Penales",$F86&lt;&gt;$G86))),$F86=$J86),Reglas!$B$7,0)</x:f>
        <x:v>0</x:v>
      </x:c>
      <x:c r="T86" t="n">
        <x:f>IF(AND(AND(AND(ISNUMBER($F86),ISNUMBER($G86),$H86=$L86),$I86=$M86,NOT(AND($I86="Penales",$F86&lt;&gt;$G86))),$G86=$K86),Reglas!$B$8,0)</x:f>
        <x:v>0</x:v>
      </x:c>
      <x:c r="U86" t="n">
        <x:f>SUM(N86:T86)</x:f>
        <x:v>3</x:v>
      </x:c>
      <x:c r="V86" t="str">
        <x:f>IF($W86="Sin respuesta","Sin envio",IF($U86&gt;0,"OK","Sin puntos"))</x:f>
        <x:v>OK</x:v>
      </x:c>
      <x:c r="W86" t="str">
        <x:v>Google Forms</x:v>
      </x:c>
    </x:row>
    <x:row r="87" ht="15" hidden="0" customHeight="1">
      <x:c r="A87" t="str">
        <x:v>4tos</x:v>
      </x:c>
      <x:c r="B87" t="str">
        <x:v>QF2</x:v>
      </x:c>
      <x:c r="C87" t="str">
        <x:v>Óscar</x:v>
      </x:c>
      <x:c r="D87" t="str">
        <x:v>España</x:v>
      </x:c>
      <x:c r="E87" t="str">
        <x:v>Bélgica</x:v>
      </x:c>
      <x:c r="F87" t="n">
        <x:v>1</x:v>
      </x:c>
      <x:c r="G87" t="n">
        <x:v>1</x:v>
      </x:c>
      <x:c r="H87" t="str">
        <x:v>España</x:v>
      </x:c>
      <x:c r="I87" t="str">
        <x:v>Penales</x:v>
      </x:c>
      <x:c r="J87" t="n">
        <x:v>2</x:v>
      </x:c>
      <x:c r="K87" t="n">
        <x:v>1</x:v>
      </x:c>
      <x:c r="L87" t="str">
        <x:v>España</x:v>
      </x:c>
      <x:c r="M87" t="str">
        <x:v>90 minutos</x:v>
      </x:c>
      <x:c r="N87" t="n">
        <x:f>IF(AND(AND(ISNUMBER($F87),ISNUMBER($G87),$H87=$L87),IF($I87="90 minutos",IF($F87&gt;$G87,"A",IF($G87&gt;$F87,"B","E")),"E")=IF($M87="90 minutos",IF($J87&gt;$K87,"A",IF($K87&gt;$J87,"B","E")),"E")),Reglas!$B$2,0)</x:f>
        <x:v>0</x:v>
      </x:c>
      <x:c r="O87" t="n">
        <x:f>IF(AND(ISNUMBER($F87),ISNUMBER($G87),$H87=$L87),Reglas!$B$3,0)</x:f>
        <x:v>3</x:v>
      </x:c>
      <x:c r="P87" t="n">
        <x:f>IF(AND(AND(ISNUMBER($F87),ISNUMBER($G87),$H87=$L87),$I87=$M87),Reglas!$B$4,0)</x:f>
        <x:v>0</x:v>
      </x:c>
      <x:c r="Q87" t="n">
        <x:f>IF(AND(AND(AND(ISNUMBER($F87),ISNUMBER($G87),$H87=$L87),$I87=$M87,NOT(AND($I87="Penales",$F87&lt;&gt;$G87))),$F87=$J87,$G87=$K87),Reglas!$B$5,0)</x:f>
        <x:v>0</x:v>
      </x:c>
      <x:c r="R87" t="n">
        <x:f>IF(AND(AND(AND(ISNUMBER($F87),ISNUMBER($G87),$H87=$L87),$I87=$M87,NOT(AND($I87="Penales",$F87&lt;&gt;$G87))),$F87-$G87=$J87-$K87),Reglas!$B$6,0)</x:f>
        <x:v>0</x:v>
      </x:c>
      <x:c r="S87" t="n">
        <x:f>IF(AND(AND(AND(ISNUMBER($F87),ISNUMBER($G87),$H87=$L87),$I87=$M87,NOT(AND($I87="Penales",$F87&lt;&gt;$G87))),$F87=$J87),Reglas!$B$7,0)</x:f>
        <x:v>0</x:v>
      </x:c>
      <x:c r="T87" t="n">
        <x:f>IF(AND(AND(AND(ISNUMBER($F87),ISNUMBER($G87),$H87=$L87),$I87=$M87,NOT(AND($I87="Penales",$F87&lt;&gt;$G87))),$G87=$K87),Reglas!$B$8,0)</x:f>
        <x:v>0</x:v>
      </x:c>
      <x:c r="U87" t="n">
        <x:f>SUM(N87:T87)</x:f>
        <x:v>3</x:v>
      </x:c>
      <x:c r="V87" t="str">
        <x:f>IF($W87="Sin respuesta","Sin envio",IF($U87&gt;0,"OK","Sin puntos"))</x:f>
        <x:v>OK</x:v>
      </x:c>
      <x:c r="W87" t="str">
        <x:v>Google Forms</x:v>
      </x:c>
    </x:row>
    <x:row r="88" ht="15" hidden="0" customHeight="1">
      <x:c r="A88" t="str">
        <x:v>4tos</x:v>
      </x:c>
      <x:c r="B88" t="str">
        <x:v>QF3</x:v>
      </x:c>
      <x:c r="C88" t="str">
        <x:v>Óscar</x:v>
      </x:c>
      <x:c r="D88" t="str">
        <x:v>Noruega</x:v>
      </x:c>
      <x:c r="E88" t="str">
        <x:v>Inglaterra</x:v>
      </x:c>
      <x:c r="F88" t="n">
        <x:v>2</x:v>
      </x:c>
      <x:c r="G88" t="n">
        <x:v>3</x:v>
      </x:c>
      <x:c r="H88" t="str">
        <x:v>Inglaterra</x:v>
      </x:c>
      <x:c r="I88" t="str">
        <x:v>Suplementario</x:v>
      </x:c>
      <x:c r="J88" t="n">
        <x:v>1</x:v>
      </x:c>
      <x:c r="K88" t="n">
        <x:v>2</x:v>
      </x:c>
      <x:c r="L88" t="str">
        <x:v>Inglaterra</x:v>
      </x:c>
      <x:c r="M88" t="str">
        <x:v>Suplementario</x:v>
      </x:c>
      <x:c r="N88" t="n">
        <x:f>IF(AND(AND(ISNUMBER($F88),ISNUMBER($G88),$H88=$L88),IF($I88="90 minutos",IF($F88&gt;$G88,"A",IF($G88&gt;$F88,"B","E")),"E")=IF($M88="90 minutos",IF($J88&gt;$K88,"A",IF($K88&gt;$J88,"B","E")),"E")),Reglas!$B$2,0)</x:f>
        <x:v>5</x:v>
      </x:c>
      <x:c r="O88" t="n">
        <x:f>IF(AND(ISNUMBER($F88),ISNUMBER($G88),$H88=$L88),Reglas!$B$3,0)</x:f>
        <x:v>3</x:v>
      </x:c>
      <x:c r="P88" t="n">
        <x:f>IF(AND(AND(ISNUMBER($F88),ISNUMBER($G88),$H88=$L88),$I88=$M88),Reglas!$B$4,0)</x:f>
        <x:v>2</x:v>
      </x:c>
      <x:c r="Q88" t="n">
        <x:f>IF(AND(AND(AND(ISNUMBER($F88),ISNUMBER($G88),$H88=$L88),$I88=$M88,NOT(AND($I88="Penales",$F88&lt;&gt;$G88))),$F88=$J88,$G88=$K88),Reglas!$B$5,0)</x:f>
        <x:v>0</x:v>
      </x:c>
      <x:c r="R88" t="n">
        <x:f>IF(AND(AND(AND(ISNUMBER($F88),ISNUMBER($G88),$H88=$L88),$I88=$M88,NOT(AND($I88="Penales",$F88&lt;&gt;$G88))),$F88-$G88=$J88-$K88),Reglas!$B$6,0)</x:f>
        <x:v>2</x:v>
      </x:c>
      <x:c r="S88" t="n">
        <x:f>IF(AND(AND(AND(ISNUMBER($F88),ISNUMBER($G88),$H88=$L88),$I88=$M88,NOT(AND($I88="Penales",$F88&lt;&gt;$G88))),$F88=$J88),Reglas!$B$7,0)</x:f>
        <x:v>0</x:v>
      </x:c>
      <x:c r="T88" t="n">
        <x:f>IF(AND(AND(AND(ISNUMBER($F88),ISNUMBER($G88),$H88=$L88),$I88=$M88,NOT(AND($I88="Penales",$F88&lt;&gt;$G88))),$G88=$K88),Reglas!$B$8,0)</x:f>
        <x:v>0</x:v>
      </x:c>
      <x:c r="U88" t="n">
        <x:f>SUM(N88:T88)</x:f>
        <x:v>12</x:v>
      </x:c>
      <x:c r="V88" t="str">
        <x:f>IF($W88="Sin respuesta","Sin envio",IF($U88&gt;0,"OK","Sin puntos"))</x:f>
        <x:v>OK</x:v>
      </x:c>
      <x:c r="W88" t="str">
        <x:v>Google Forms</x:v>
      </x:c>
    </x:row>
    <x:row r="89" ht="15" hidden="0" customHeight="1">
      <x:c r="A89" t="str">
        <x:v>4tos</x:v>
      </x:c>
      <x:c r="B89" t="str">
        <x:v>QF4</x:v>
      </x:c>
      <x:c r="C89" t="str">
        <x:v>Óscar</x:v>
      </x:c>
      <x:c r="D89" t="str">
        <x:v>Argentina</x:v>
      </x:c>
      <x:c r="E89" t="str">
        <x:v>Suiza</x:v>
      </x:c>
      <x:c r="F89" t="n">
        <x:v>2</x:v>
      </x:c>
      <x:c r="G89" t="n">
        <x:v>2</x:v>
      </x:c>
      <x:c r="H89" t="str">
        <x:v>Argentina</x:v>
      </x:c>
      <x:c r="I89" t="str">
        <x:v>Penales</x:v>
      </x:c>
      <x:c r="J89" t="n">
        <x:v>3</x:v>
      </x:c>
      <x:c r="K89" t="n">
        <x:v>1</x:v>
      </x:c>
      <x:c r="L89" t="str">
        <x:v>Argentina</x:v>
      </x:c>
      <x:c r="M89" t="str">
        <x:v>Suplementario</x:v>
      </x:c>
      <x:c r="N89" t="n">
        <x:f>IF(AND(AND(ISNUMBER($F89),ISNUMBER($G89),$H89=$L89),IF($I89="90 minutos",IF($F89&gt;$G89,"A",IF($G89&gt;$F89,"B","E")),"E")=IF($M89="90 minutos",IF($J89&gt;$K89,"A",IF($K89&gt;$J89,"B","E")),"E")),Reglas!$B$2,0)</x:f>
        <x:v>5</x:v>
      </x:c>
      <x:c r="O89" t="n">
        <x:f>IF(AND(ISNUMBER($F89),ISNUMBER($G89),$H89=$L89),Reglas!$B$3,0)</x:f>
        <x:v>3</x:v>
      </x:c>
      <x:c r="P89" t="n">
        <x:f>IF(AND(AND(ISNUMBER($F89),ISNUMBER($G89),$H89=$L89),$I89=$M89),Reglas!$B$4,0)</x:f>
        <x:v>0</x:v>
      </x:c>
      <x:c r="Q89" t="n">
        <x:f>IF(AND(AND(AND(ISNUMBER($F89),ISNUMBER($G89),$H89=$L89),$I89=$M89,NOT(AND($I89="Penales",$F89&lt;&gt;$G89))),$F89=$J89,$G89=$K89),Reglas!$B$5,0)</x:f>
        <x:v>0</x:v>
      </x:c>
      <x:c r="R89" t="n">
        <x:f>IF(AND(AND(AND(ISNUMBER($F89),ISNUMBER($G89),$H89=$L89),$I89=$M89,NOT(AND($I89="Penales",$F89&lt;&gt;$G89))),$F89-$G89=$J89-$K89),Reglas!$B$6,0)</x:f>
        <x:v>0</x:v>
      </x:c>
      <x:c r="S89" t="n">
        <x:f>IF(AND(AND(AND(ISNUMBER($F89),ISNUMBER($G89),$H89=$L89),$I89=$M89,NOT(AND($I89="Penales",$F89&lt;&gt;$G89))),$F89=$J89),Reglas!$B$7,0)</x:f>
        <x:v>0</x:v>
      </x:c>
      <x:c r="T89" t="n">
        <x:f>IF(AND(AND(AND(ISNUMBER($F89),ISNUMBER($G89),$H89=$L89),$I89=$M89,NOT(AND($I89="Penales",$F89&lt;&gt;$G89))),$G89=$K89),Reglas!$B$8,0)</x:f>
        <x:v>0</x:v>
      </x:c>
      <x:c r="U89" t="n">
        <x:f>SUM(N89:T89)</x:f>
        <x:v>8</x:v>
      </x:c>
      <x:c r="V89" t="str">
        <x:f>IF($W89="Sin respuesta","Sin envio",IF($U89&gt;0,"OK","Sin puntos"))</x:f>
        <x:v>OK</x:v>
      </x:c>
      <x:c r="W89" t="str">
        <x:v>Google Forms</x:v>
      </x:c>
    </x:row>
  </x:sheetData>
  <x:pageMargins left="0.7" right="0.7" top="0.75" bottom="0.75" header="0.3" footer="0.3"/>
  <x:tableParts count="1">
    <x:tablePart xmlns:r="http://schemas.openxmlformats.org/officeDocument/2006/relationships" r:id="R3be400013149455c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380000114440918" hidden="0" customWidth="1"/>
    <x:col min="2" max="2" width="8.630000114440918" hidden="0" customWidth="1"/>
    <x:col min="3" max="3" width="12.25" hidden="0" customWidth="1"/>
    <x:col min="4" max="4" width="9.880000114440918" hidden="0" customWidth="1"/>
    <x:col min="5" max="5" width="9.75" hidden="0" customWidth="1"/>
    <x:col min="6" max="6" width="10.880000114440918" hidden="0" customWidth="1"/>
    <x:col min="7" max="7" width="10.75" hidden="0" customWidth="1"/>
    <x:col min="8" max="8" width="18.75" hidden="0" customWidth="1"/>
    <x:col min="9" max="9" width="12.880000114440918" hidden="0" customWidth="1"/>
    <x:col min="10" max="10" width="9.380000114440918" hidden="0" customWidth="1"/>
    <x:col min="11" max="11" width="9.380000114440918" hidden="0" customWidth="1"/>
    <x:col min="12" max="12" width="16.25" hidden="0" customWidth="1"/>
    <x:col min="13" max="13" width="10.5" hidden="0" customWidth="1"/>
    <x:col min="14" max="14" width="7.75" hidden="0" customWidth="1"/>
    <x:col min="15" max="15" width="9.880000114440918" hidden="0" customWidth="1"/>
    <x:col min="16" max="16" width="8.25" hidden="0" customWidth="1"/>
    <x:col min="17" max="17" width="13.25" hidden="0" customWidth="1"/>
    <x:col min="18" max="18" width="8" hidden="0" customWidth="1"/>
    <x:col min="19" max="19" width="10" hidden="0" customWidth="1"/>
    <x:col min="20" max="20" width="9.880000114440918" hidden="0" customWidth="1"/>
    <x:col min="21" max="21" width="6.75" hidden="0" customWidth="1"/>
    <x:col min="22" max="22" width="8.380000114440918" hidden="0" customWidth="1"/>
    <x:col min="23" max="23" width="10.880000114440918" hidden="0" customWidth="1"/>
  </x:cols>
  <x:sheetData>
    <x:row r="1" ht="15" hidden="0" customHeight="1">
      <x:c r="A1" s="3" t="str">
        <x:v>Fase</x:v>
      </x:c>
      <x:c r="B1" s="3" t="str">
        <x:v>Partido</x:v>
      </x:c>
      <x:c r="C1" s="3" t="str">
        <x:v>Participante</x:v>
      </x:c>
      <x:c r="D1" s="3" t="str">
        <x:v>Equipo A</x:v>
      </x:c>
      <x:c r="E1" s="3" t="str">
        <x:v>Equipo B</x:v>
      </x:c>
      <x:c r="F1" s="3" t="str">
        <x:v>Apuesta A</x:v>
      </x:c>
      <x:c r="G1" s="3" t="str">
        <x:v>Apuesta B</x:v>
      </x:c>
      <x:c r="H1" s="3" t="str">
        <x:v>Clasificado apostado</x:v>
      </x:c>
      <x:c r="I1" s="3" t="str">
        <x:v>Via apostada</x:v>
      </x:c>
      <x:c r="J1" s="3" t="str">
        <x:v>Oficial A</x:v>
      </x:c>
      <x:c r="K1" s="3" t="str">
        <x:v>Oficial B</x:v>
      </x:c>
      <x:c r="L1" s="3" t="str">
        <x:v>Clasificado oficial</x:v>
      </x:c>
      <x:c r="M1" s="3" t="str">
        <x:v>Via oficial</x:v>
      </x:c>
      <x:c r="N1" s="3" t="str">
        <x:v>Pts 90</x:v>
      </x:c>
      <x:c r="O1" s="3" t="str">
        <x:v>Pts Clasif</x:v>
      </x:c>
      <x:c r="P1" s="3" t="str">
        <x:v>Pts Via</x:v>
      </x:c>
      <x:c r="Q1" s="3" t="str">
        <x:v>Pts Marcador</x:v>
      </x:c>
      <x:c r="R1" s="3" t="str">
        <x:v>Pts Dif</x:v>
      </x:c>
      <x:c r="S1" s="3" t="str">
        <x:v>Pts Gol A</x:v>
      </x:c>
      <x:c r="T1" s="3" t="str">
        <x:v>Pts Gol B</x:v>
      </x:c>
      <x:c r="U1" s="3" t="str">
        <x:v>Total</x:v>
      </x:c>
      <x:c r="V1" s="3" t="str">
        <x:v>Nota</x:v>
      </x:c>
      <x:c r="W1" s="3" t="str">
        <x:v>Fuente</x:v>
      </x:c>
    </x:row>
    <x:row r="2" ht="15" hidden="0" customHeight="1">
      <x:c r="A2" t="str">
        <x:v>Semifinal</x:v>
      </x:c>
      <x:c r="B2" t="str">
        <x:v>SF1</x:v>
      </x:c>
      <x:c r="C2" t="str">
        <x:v>Freddy</x:v>
      </x:c>
      <x:c r="D2" t="str">
        <x:v>Francia</x:v>
      </x:c>
      <x:c r="E2" t="str">
        <x:v>España</x:v>
      </x:c>
      <x:c r="F2" t="n">
        <x:v>2</x:v>
      </x:c>
      <x:c r="G2" t="n">
        <x:v>1</x:v>
      </x:c>
      <x:c r="H2" t="str">
        <x:v>Francia</x:v>
      </x:c>
      <x:c r="I2" t="str">
        <x:v>90 minutos</x:v>
      </x:c>
      <x:c r="J2" t="n">
        <x:v>0</x:v>
      </x:c>
      <x:c r="K2" t="n">
        <x:v>2</x:v>
      </x:c>
      <x:c r="L2" t="str">
        <x:v>España</x:v>
      </x:c>
      <x:c r="M2" t="str">
        <x:v>90 minutos</x:v>
      </x:c>
      <x:c r="N2" t="n">
        <x:f>IF(AND(AND(ISNUMBER($F2),ISNUMBER($G2),$H2=$L2),IF($I2="90 minutos",IF($F2&gt;$G2,"A",IF($G2&gt;$F2,"B","E")),"E")=IF($M2="90 minutos",IF($J2&gt;$K2,"A",IF($K2&gt;$J2,"B","E")),"E")),Reglas!$B$2,0)</x:f>
        <x:v>0</x:v>
      </x:c>
      <x:c r="O2" t="n">
        <x:f>IF(AND(ISNUMBER($F2),ISNUMBER($G2),$H2=$L2),Reglas!$B$3,0)</x:f>
        <x:v>0</x:v>
      </x:c>
      <x:c r="P2" t="n">
        <x:f>IF(AND(AND(ISNUMBER($F2),ISNUMBER($G2),$H2=$L2),$I2=$M2),Reglas!$B$4,0)</x:f>
        <x:v>0</x:v>
      </x:c>
      <x:c r="Q2" t="n">
        <x:f>IF(AND(AND(AND(ISNUMBER($F2),ISNUMBER($G2),$H2=$L2),$I2=$M2,NOT(AND($I2="Penales",$F2&lt;&gt;$G2))),$F2=$J2,$G2=$K2),Reglas!$B$5,0)</x:f>
        <x:v>0</x:v>
      </x:c>
      <x:c r="R2" t="n">
        <x:f>IF(AND(AND(AND(ISNUMBER($F2),ISNUMBER($G2),$H2=$L2),$I2=$M2,NOT(AND($I2="Penales",$F2&lt;&gt;$G2))),$F2-$G2=$J2-$K2),Reglas!$B$6,0)</x:f>
        <x:v>0</x:v>
      </x:c>
      <x:c r="S2" t="n">
        <x:f>IF(AND(AND(AND(ISNUMBER($F2),ISNUMBER($G2),$H2=$L2),$I2=$M2,NOT(AND($I2="Penales",$F2&lt;&gt;$G2))),$F2=$J2),Reglas!$B$7,0)</x:f>
        <x:v>0</x:v>
      </x:c>
      <x:c r="T2" t="n">
        <x:f>IF(AND(AND(AND(ISNUMBER($F2),ISNUMBER($G2),$H2=$L2),$I2=$M2,NOT(AND($I2="Penales",$F2&lt;&gt;$G2))),$G2=$K2),Reglas!$B$8,0)</x:f>
        <x:v>0</x:v>
      </x:c>
      <x:c r="U2" t="n">
        <x:f>SUM(N2:T2)</x:f>
        <x:v>0</x:v>
      </x:c>
      <x:c r="V2" t="str">
        <x:f>IF($W2="Sin respuesta","Sin envio",IF($U2&gt;0,"OK","Sin puntos"))</x:f>
        <x:v>Sin puntos</x:v>
      </x:c>
      <x:c r="W2" t="str">
        <x:v>Google Forms</x:v>
      </x:c>
    </x:row>
    <x:row r="3" ht="15" hidden="0" customHeight="1">
      <x:c r="A3" t="str">
        <x:v>Semifinal</x:v>
      </x:c>
      <x:c r="B3" t="str">
        <x:v>SF2</x:v>
      </x:c>
      <x:c r="C3" t="str">
        <x:v>Freddy</x:v>
      </x:c>
      <x:c r="D3" t="str">
        <x:v>Inglaterra</x:v>
      </x:c>
      <x:c r="E3" t="str">
        <x:v>Argentina</x:v>
      </x:c>
      <x:c r="F3" t="n">
        <x:v>1</x:v>
      </x:c>
      <x:c r="G3" t="n">
        <x:v>2</x:v>
      </x:c>
      <x:c r="H3" t="str">
        <x:v>Argentina</x:v>
      </x:c>
      <x:c r="I3" t="str">
        <x:v>Suplementario</x:v>
      </x:c>
      <x:c r="J3" t="n">
        <x:v>1</x:v>
      </x:c>
      <x:c r="K3" t="n">
        <x:v>2</x:v>
      </x:c>
      <x:c r="L3" t="str">
        <x:v>Argentina</x:v>
      </x:c>
      <x:c r="M3" t="str">
        <x:v>90 minutos</x:v>
      </x:c>
      <x:c r="N3" t="n">
        <x:f>IF(AND(AND(ISNUMBER($F3),ISNUMBER($G3),$H3=$L3),IF($I3="90 minutos",IF($F3&gt;$G3,"A",IF($G3&gt;$F3,"B","E")),"E")=IF($M3="90 minutos",IF($J3&gt;$K3,"A",IF($K3&gt;$J3,"B","E")),"E")),Reglas!$B$2,0)</x:f>
        <x:v>0</x:v>
      </x:c>
      <x:c r="O3" t="n">
        <x:f>IF(AND(ISNUMBER($F3),ISNUMBER($G3),$H3=$L3),Reglas!$B$3,0)</x:f>
        <x:v>3</x:v>
      </x:c>
      <x:c r="P3" t="n">
        <x:f>IF(AND(AND(ISNUMBER($F3),ISNUMBER($G3),$H3=$L3),$I3=$M3),Reglas!$B$4,0)</x:f>
        <x:v>0</x:v>
      </x:c>
      <x:c r="Q3" t="n">
        <x:f>IF(AND(AND(AND(ISNUMBER($F3),ISNUMBER($G3),$H3=$L3),$I3=$M3,NOT(AND($I3="Penales",$F3&lt;&gt;$G3))),$F3=$J3,$G3=$K3),Reglas!$B$5,0)</x:f>
        <x:v>0</x:v>
      </x:c>
      <x:c r="R3" t="n">
        <x:f>IF(AND(AND(AND(ISNUMBER($F3),ISNUMBER($G3),$H3=$L3),$I3=$M3,NOT(AND($I3="Penales",$F3&lt;&gt;$G3))),$F3-$G3=$J3-$K3),Reglas!$B$6,0)</x:f>
        <x:v>0</x:v>
      </x:c>
      <x:c r="S3" t="n">
        <x:f>IF(AND(AND(AND(ISNUMBER($F3),ISNUMBER($G3),$H3=$L3),$I3=$M3,NOT(AND($I3="Penales",$F3&lt;&gt;$G3))),$F3=$J3),Reglas!$B$7,0)</x:f>
        <x:v>0</x:v>
      </x:c>
      <x:c r="T3" t="n">
        <x:f>IF(AND(AND(AND(ISNUMBER($F3),ISNUMBER($G3),$H3=$L3),$I3=$M3,NOT(AND($I3="Penales",$F3&lt;&gt;$G3))),$G3=$K3),Reglas!$B$8,0)</x:f>
        <x:v>0</x:v>
      </x:c>
      <x:c r="U3" t="n">
        <x:f>SUM(N3:T3)</x:f>
        <x:v>3</x:v>
      </x:c>
      <x:c r="V3" t="str">
        <x:f>IF($W3="Sin respuesta","Sin envio",IF($U3&gt;0,"OK","Sin puntos"))</x:f>
        <x:v>OK</x:v>
      </x:c>
      <x:c r="W3" t="str">
        <x:v>Google Forms</x:v>
      </x:c>
    </x:row>
    <x:row r="4" ht="15" hidden="0" customHeight="1">
      <x:c r="A4" t="str">
        <x:v>Semifinal</x:v>
      </x:c>
      <x:c r="B4" t="str">
        <x:v>SF1</x:v>
      </x:c>
      <x:c r="C4" t="str">
        <x:v>Gabriela</x:v>
      </x:c>
      <x:c r="D4" t="str">
        <x:v>Francia</x:v>
      </x:c>
      <x:c r="E4" t="str">
        <x:v>España</x:v>
      </x:c>
      <x:c r="F4" t="n">
        <x:v>2</x:v>
      </x:c>
      <x:c r="G4" t="n">
        <x:v>2</x:v>
      </x:c>
      <x:c r="H4" t="str">
        <x:v>Francia</x:v>
      </x:c>
      <x:c r="I4" t="str">
        <x:v>Penales</x:v>
      </x:c>
      <x:c r="J4" t="n">
        <x:v>0</x:v>
      </x:c>
      <x:c r="K4" t="n">
        <x:v>2</x:v>
      </x:c>
      <x:c r="L4" t="str">
        <x:v>España</x:v>
      </x:c>
      <x:c r="M4" t="str">
        <x:v>90 minutos</x:v>
      </x:c>
      <x:c r="N4" t="n">
        <x:f>IF(AND(AND(ISNUMBER($F4),ISNUMBER($G4),$H4=$L4),IF($I4="90 minutos",IF($F4&gt;$G4,"A",IF($G4&gt;$F4,"B","E")),"E")=IF($M4="90 minutos",IF($J4&gt;$K4,"A",IF($K4&gt;$J4,"B","E")),"E")),Reglas!$B$2,0)</x:f>
        <x:v>0</x:v>
      </x:c>
      <x:c r="O4" t="n">
        <x:f>IF(AND(ISNUMBER($F4),ISNUMBER($G4),$H4=$L4),Reglas!$B$3,0)</x:f>
        <x:v>0</x:v>
      </x:c>
      <x:c r="P4" t="n">
        <x:f>IF(AND(AND(ISNUMBER($F4),ISNUMBER($G4),$H4=$L4),$I4=$M4),Reglas!$B$4,0)</x:f>
        <x:v>0</x:v>
      </x:c>
      <x:c r="Q4" t="n">
        <x:f>IF(AND(AND(AND(ISNUMBER($F4),ISNUMBER($G4),$H4=$L4),$I4=$M4,NOT(AND($I4="Penales",$F4&lt;&gt;$G4))),$F4=$J4,$G4=$K4),Reglas!$B$5,0)</x:f>
        <x:v>0</x:v>
      </x:c>
      <x:c r="R4" t="n">
        <x:f>IF(AND(AND(AND(ISNUMBER($F4),ISNUMBER($G4),$H4=$L4),$I4=$M4,NOT(AND($I4="Penales",$F4&lt;&gt;$G4))),$F4-$G4=$J4-$K4),Reglas!$B$6,0)</x:f>
        <x:v>0</x:v>
      </x:c>
      <x:c r="S4" t="n">
        <x:f>IF(AND(AND(AND(ISNUMBER($F4),ISNUMBER($G4),$H4=$L4),$I4=$M4,NOT(AND($I4="Penales",$F4&lt;&gt;$G4))),$F4=$J4),Reglas!$B$7,0)</x:f>
        <x:v>0</x:v>
      </x:c>
      <x:c r="T4" t="n">
        <x:f>IF(AND(AND(AND(ISNUMBER($F4),ISNUMBER($G4),$H4=$L4),$I4=$M4,NOT(AND($I4="Penales",$F4&lt;&gt;$G4))),$G4=$K4),Reglas!$B$8,0)</x:f>
        <x:v>0</x:v>
      </x:c>
      <x:c r="U4" t="n">
        <x:f>SUM(N4:T4)</x:f>
        <x:v>0</x:v>
      </x:c>
      <x:c r="V4" t="str">
        <x:f>IF($W4="Sin respuesta","Sin envio",IF($U4&gt;0,"OK","Sin puntos"))</x:f>
        <x:v>Sin puntos</x:v>
      </x:c>
      <x:c r="W4" t="str">
        <x:v>Google Forms</x:v>
      </x:c>
    </x:row>
    <x:row r="5" ht="15" hidden="0" customHeight="1">
      <x:c r="A5" t="str">
        <x:v>Semifinal</x:v>
      </x:c>
      <x:c r="B5" t="str">
        <x:v>SF2</x:v>
      </x:c>
      <x:c r="C5" t="str">
        <x:v>Gabriela</x:v>
      </x:c>
      <x:c r="D5" t="str">
        <x:v>Inglaterra</x:v>
      </x:c>
      <x:c r="E5" t="str">
        <x:v>Argentina</x:v>
      </x:c>
      <x:c r="F5" t="n">
        <x:v>3</x:v>
      </x:c>
      <x:c r="G5" t="n">
        <x:v>2</x:v>
      </x:c>
      <x:c r="H5" t="str">
        <x:v>Inglaterra</x:v>
      </x:c>
      <x:c r="I5" t="str">
        <x:v>Suplementario</x:v>
      </x:c>
      <x:c r="J5" t="n">
        <x:v>1</x:v>
      </x:c>
      <x:c r="K5" t="n">
        <x:v>2</x:v>
      </x:c>
      <x:c r="L5" t="str">
        <x:v>Argentina</x:v>
      </x:c>
      <x:c r="M5" t="str">
        <x:v>90 minutos</x:v>
      </x:c>
      <x:c r="N5" t="n">
        <x:f>IF(AND(AND(ISNUMBER($F5),ISNUMBER($G5),$H5=$L5),IF($I5="90 minutos",IF($F5&gt;$G5,"A",IF($G5&gt;$F5,"B","E")),"E")=IF($M5="90 minutos",IF($J5&gt;$K5,"A",IF($K5&gt;$J5,"B","E")),"E")),Reglas!$B$2,0)</x:f>
        <x:v>0</x:v>
      </x:c>
      <x:c r="O5" t="n">
        <x:f>IF(AND(ISNUMBER($F5),ISNUMBER($G5),$H5=$L5),Reglas!$B$3,0)</x:f>
        <x:v>0</x:v>
      </x:c>
      <x:c r="P5" t="n">
        <x:f>IF(AND(AND(ISNUMBER($F5),ISNUMBER($G5),$H5=$L5),$I5=$M5),Reglas!$B$4,0)</x:f>
        <x:v>0</x:v>
      </x:c>
      <x:c r="Q5" t="n">
        <x:f>IF(AND(AND(AND(ISNUMBER($F5),ISNUMBER($G5),$H5=$L5),$I5=$M5,NOT(AND($I5="Penales",$F5&lt;&gt;$G5))),$F5=$J5,$G5=$K5),Reglas!$B$5,0)</x:f>
        <x:v>0</x:v>
      </x:c>
      <x:c r="R5" t="n">
        <x:f>IF(AND(AND(AND(ISNUMBER($F5),ISNUMBER($G5),$H5=$L5),$I5=$M5,NOT(AND($I5="Penales",$F5&lt;&gt;$G5))),$F5-$G5=$J5-$K5),Reglas!$B$6,0)</x:f>
        <x:v>0</x:v>
      </x:c>
      <x:c r="S5" t="n">
        <x:f>IF(AND(AND(AND(ISNUMBER($F5),ISNUMBER($G5),$H5=$L5),$I5=$M5,NOT(AND($I5="Penales",$F5&lt;&gt;$G5))),$F5=$J5),Reglas!$B$7,0)</x:f>
        <x:v>0</x:v>
      </x:c>
      <x:c r="T5" t="n">
        <x:f>IF(AND(AND(AND(ISNUMBER($F5),ISNUMBER($G5),$H5=$L5),$I5=$M5,NOT(AND($I5="Penales",$F5&lt;&gt;$G5))),$G5=$K5),Reglas!$B$8,0)</x:f>
        <x:v>0</x:v>
      </x:c>
      <x:c r="U5" t="n">
        <x:f>SUM(N5:T5)</x:f>
        <x:v>0</x:v>
      </x:c>
      <x:c r="V5" t="str">
        <x:f>IF($W5="Sin respuesta","Sin envio",IF($U5&gt;0,"OK","Sin puntos"))</x:f>
        <x:v>Sin puntos</x:v>
      </x:c>
      <x:c r="W5" t="str">
        <x:v>Google Forms</x:v>
      </x:c>
    </x:row>
    <x:row r="6" ht="15" hidden="0" customHeight="1">
      <x:c r="A6" t="str">
        <x:v>Semifinal</x:v>
      </x:c>
      <x:c r="B6" t="str">
        <x:v>SF1</x:v>
      </x:c>
      <x:c r="C6" t="str">
        <x:v>Jean</x:v>
      </x:c>
      <x:c r="D6" t="str">
        <x:v>Francia</x:v>
      </x:c>
      <x:c r="E6" t="str">
        <x:v>España</x:v>
      </x:c>
      <x:c r="F6" t="n">
        <x:v>2</x:v>
      </x:c>
      <x:c r="G6" t="n">
        <x:v>1</x:v>
      </x:c>
      <x:c r="H6" t="str">
        <x:v>Francia</x:v>
      </x:c>
      <x:c r="I6" t="str">
        <x:v>90 minutos</x:v>
      </x:c>
      <x:c r="J6" t="n">
        <x:v>0</x:v>
      </x:c>
      <x:c r="K6" t="n">
        <x:v>2</x:v>
      </x:c>
      <x:c r="L6" t="str">
        <x:v>España</x:v>
      </x:c>
      <x:c r="M6" t="str">
        <x:v>90 minutos</x:v>
      </x:c>
      <x:c r="N6" t="n">
        <x:f>IF(AND(AND(ISNUMBER($F6),ISNUMBER($G6),$H6=$L6),IF($I6="90 minutos",IF($F6&gt;$G6,"A",IF($G6&gt;$F6,"B","E")),"E")=IF($M6="90 minutos",IF($J6&gt;$K6,"A",IF($K6&gt;$J6,"B","E")),"E")),Reglas!$B$2,0)</x:f>
        <x:v>0</x:v>
      </x:c>
      <x:c r="O6" t="n">
        <x:f>IF(AND(ISNUMBER($F6),ISNUMBER($G6),$H6=$L6),Reglas!$B$3,0)</x:f>
        <x:v>0</x:v>
      </x:c>
      <x:c r="P6" t="n">
        <x:f>IF(AND(AND(ISNUMBER($F6),ISNUMBER($G6),$H6=$L6),$I6=$M6),Reglas!$B$4,0)</x:f>
        <x:v>0</x:v>
      </x:c>
      <x:c r="Q6" t="n">
        <x:f>IF(AND(AND(AND(ISNUMBER($F6),ISNUMBER($G6),$H6=$L6),$I6=$M6,NOT(AND($I6="Penales",$F6&lt;&gt;$G6))),$F6=$J6,$G6=$K6),Reglas!$B$5,0)</x:f>
        <x:v>0</x:v>
      </x:c>
      <x:c r="R6" t="n">
        <x:f>IF(AND(AND(AND(ISNUMBER($F6),ISNUMBER($G6),$H6=$L6),$I6=$M6,NOT(AND($I6="Penales",$F6&lt;&gt;$G6))),$F6-$G6=$J6-$K6),Reglas!$B$6,0)</x:f>
        <x:v>0</x:v>
      </x:c>
      <x:c r="S6" t="n">
        <x:f>IF(AND(AND(AND(ISNUMBER($F6),ISNUMBER($G6),$H6=$L6),$I6=$M6,NOT(AND($I6="Penales",$F6&lt;&gt;$G6))),$F6=$J6),Reglas!$B$7,0)</x:f>
        <x:v>0</x:v>
      </x:c>
      <x:c r="T6" t="n">
        <x:f>IF(AND(AND(AND(ISNUMBER($F6),ISNUMBER($G6),$H6=$L6),$I6=$M6,NOT(AND($I6="Penales",$F6&lt;&gt;$G6))),$G6=$K6),Reglas!$B$8,0)</x:f>
        <x:v>0</x:v>
      </x:c>
      <x:c r="U6" t="n">
        <x:f>SUM(N6:T6)</x:f>
        <x:v>0</x:v>
      </x:c>
      <x:c r="V6" t="str">
        <x:f>IF($W6="Sin respuesta","Sin envio",IF($U6&gt;0,"OK","Sin puntos"))</x:f>
        <x:v>Sin puntos</x:v>
      </x:c>
      <x:c r="W6" t="str">
        <x:v>Google Forms</x:v>
      </x:c>
    </x:row>
    <x:row r="7" ht="15" hidden="0" customHeight="1">
      <x:c r="A7" t="str">
        <x:v>Semifinal</x:v>
      </x:c>
      <x:c r="B7" t="str">
        <x:v>SF2</x:v>
      </x:c>
      <x:c r="C7" t="str">
        <x:v>Jean</x:v>
      </x:c>
      <x:c r="D7" t="str">
        <x:v>Inglaterra</x:v>
      </x:c>
      <x:c r="E7" t="str">
        <x:v>Argentina</x:v>
      </x:c>
      <x:c r="F7" t="n">
        <x:v>1</x:v>
      </x:c>
      <x:c r="G7" t="n">
        <x:v>2</x:v>
      </x:c>
      <x:c r="H7" t="str">
        <x:v>Argentina</x:v>
      </x:c>
      <x:c r="I7" t="str">
        <x:v>90 minutos</x:v>
      </x:c>
      <x:c r="J7" t="n">
        <x:v>1</x:v>
      </x:c>
      <x:c r="K7" t="n">
        <x:v>2</x:v>
      </x:c>
      <x:c r="L7" t="str">
        <x:v>Argentina</x:v>
      </x:c>
      <x:c r="M7" t="str">
        <x:v>90 minutos</x:v>
      </x:c>
      <x:c r="N7" t="n">
        <x:f>IF(AND(AND(ISNUMBER($F7),ISNUMBER($G7),$H7=$L7),IF($I7="90 minutos",IF($F7&gt;$G7,"A",IF($G7&gt;$F7,"B","E")),"E")=IF($M7="90 minutos",IF($J7&gt;$K7,"A",IF($K7&gt;$J7,"B","E")),"E")),Reglas!$B$2,0)</x:f>
        <x:v>5</x:v>
      </x:c>
      <x:c r="O7" t="n">
        <x:f>IF(AND(ISNUMBER($F7),ISNUMBER($G7),$H7=$L7),Reglas!$B$3,0)</x:f>
        <x:v>3</x:v>
      </x:c>
      <x:c r="P7" t="n">
        <x:f>IF(AND(AND(ISNUMBER($F7),ISNUMBER($G7),$H7=$L7),$I7=$M7),Reglas!$B$4,0)</x:f>
        <x:v>2</x:v>
      </x:c>
      <x:c r="Q7" t="n">
        <x:f>IF(AND(AND(AND(ISNUMBER($F7),ISNUMBER($G7),$H7=$L7),$I7=$M7,NOT(AND($I7="Penales",$F7&lt;&gt;$G7))),$F7=$J7,$G7=$K7),Reglas!$B$5,0)</x:f>
        <x:v>4</x:v>
      </x:c>
      <x:c r="R7" t="n">
        <x:f>IF(AND(AND(AND(ISNUMBER($F7),ISNUMBER($G7),$H7=$L7),$I7=$M7,NOT(AND($I7="Penales",$F7&lt;&gt;$G7))),$F7-$G7=$J7-$K7),Reglas!$B$6,0)</x:f>
        <x:v>2</x:v>
      </x:c>
      <x:c r="S7" t="n">
        <x:f>IF(AND(AND(AND(ISNUMBER($F7),ISNUMBER($G7),$H7=$L7),$I7=$M7,NOT(AND($I7="Penales",$F7&lt;&gt;$G7))),$F7=$J7),Reglas!$B$7,0)</x:f>
        <x:v>1</x:v>
      </x:c>
      <x:c r="T7" t="n">
        <x:f>IF(AND(AND(AND(ISNUMBER($F7),ISNUMBER($G7),$H7=$L7),$I7=$M7,NOT(AND($I7="Penales",$F7&lt;&gt;$G7))),$G7=$K7),Reglas!$B$8,0)</x:f>
        <x:v>1</x:v>
      </x:c>
      <x:c r="U7" t="n">
        <x:f>SUM(N7:T7)</x:f>
        <x:v>18</x:v>
      </x:c>
      <x:c r="V7" t="str">
        <x:f>IF($W7="Sin respuesta","Sin envio",IF($U7&gt;0,"OK","Sin puntos"))</x:f>
        <x:v>OK</x:v>
      </x:c>
      <x:c r="W7" t="str">
        <x:v>Google Forms</x:v>
      </x:c>
    </x:row>
    <x:row r="8" ht="15" hidden="0" customHeight="1">
      <x:c r="A8" t="str">
        <x:v>Semifinal</x:v>
      </x:c>
      <x:c r="B8" t="str">
        <x:v>SF1</x:v>
      </x:c>
      <x:c r="C8" t="str">
        <x:v>Juan</x:v>
      </x:c>
      <x:c r="D8" t="str">
        <x:v>Francia</x:v>
      </x:c>
      <x:c r="E8" t="str">
        <x:v>España</x:v>
      </x:c>
      <x:c r="F8" t="n">
        <x:v>1</x:v>
      </x:c>
      <x:c r="G8" t="n">
        <x:v>2</x:v>
      </x:c>
      <x:c r="H8" t="str">
        <x:v>España</x:v>
      </x:c>
      <x:c r="I8" t="str">
        <x:v>Suplementario</x:v>
      </x:c>
      <x:c r="J8" t="n">
        <x:v>0</x:v>
      </x:c>
      <x:c r="K8" t="n">
        <x:v>2</x:v>
      </x:c>
      <x:c r="L8" t="str">
        <x:v>España</x:v>
      </x:c>
      <x:c r="M8" t="str">
        <x:v>90 minutos</x:v>
      </x:c>
      <x:c r="N8" t="n">
        <x:f>IF(AND(AND(ISNUMBER($F8),ISNUMBER($G8),$H8=$L8),IF($I8="90 minutos",IF($F8&gt;$G8,"A",IF($G8&gt;$F8,"B","E")),"E")=IF($M8="90 minutos",IF($J8&gt;$K8,"A",IF($K8&gt;$J8,"B","E")),"E")),Reglas!$B$2,0)</x:f>
        <x:v>0</x:v>
      </x:c>
      <x:c r="O8" t="n">
        <x:f>IF(AND(ISNUMBER($F8),ISNUMBER($G8),$H8=$L8),Reglas!$B$3,0)</x:f>
        <x:v>3</x:v>
      </x:c>
      <x:c r="P8" t="n">
        <x:f>IF(AND(AND(ISNUMBER($F8),ISNUMBER($G8),$H8=$L8),$I8=$M8),Reglas!$B$4,0)</x:f>
        <x:v>0</x:v>
      </x:c>
      <x:c r="Q8" t="n">
        <x:f>IF(AND(AND(AND(ISNUMBER($F8),ISNUMBER($G8),$H8=$L8),$I8=$M8,NOT(AND($I8="Penales",$F8&lt;&gt;$G8))),$F8=$J8,$G8=$K8),Reglas!$B$5,0)</x:f>
        <x:v>0</x:v>
      </x:c>
      <x:c r="R8" t="n">
        <x:f>IF(AND(AND(AND(ISNUMBER($F8),ISNUMBER($G8),$H8=$L8),$I8=$M8,NOT(AND($I8="Penales",$F8&lt;&gt;$G8))),$F8-$G8=$J8-$K8),Reglas!$B$6,0)</x:f>
        <x:v>0</x:v>
      </x:c>
      <x:c r="S8" t="n">
        <x:f>IF(AND(AND(AND(ISNUMBER($F8),ISNUMBER($G8),$H8=$L8),$I8=$M8,NOT(AND($I8="Penales",$F8&lt;&gt;$G8))),$F8=$J8),Reglas!$B$7,0)</x:f>
        <x:v>0</x:v>
      </x:c>
      <x:c r="T8" t="n">
        <x:f>IF(AND(AND(AND(ISNUMBER($F8),ISNUMBER($G8),$H8=$L8),$I8=$M8,NOT(AND($I8="Penales",$F8&lt;&gt;$G8))),$G8=$K8),Reglas!$B$8,0)</x:f>
        <x:v>0</x:v>
      </x:c>
      <x:c r="U8" t="n">
        <x:f>SUM(N8:T8)</x:f>
        <x:v>3</x:v>
      </x:c>
      <x:c r="V8" t="str">
        <x:f>IF($W8="Sin respuesta","Sin envio",IF($U8&gt;0,"OK","Sin puntos"))</x:f>
        <x:v>OK</x:v>
      </x:c>
      <x:c r="W8" t="str">
        <x:v>Google Forms</x:v>
      </x:c>
    </x:row>
    <x:row r="9" ht="15" hidden="0" customHeight="1">
      <x:c r="A9" t="str">
        <x:v>Semifinal</x:v>
      </x:c>
      <x:c r="B9" t="str">
        <x:v>SF2</x:v>
      </x:c>
      <x:c r="C9" t="str">
        <x:v>Juan</x:v>
      </x:c>
      <x:c r="D9" t="str">
        <x:v>Inglaterra</x:v>
      </x:c>
      <x:c r="E9" t="str">
        <x:v>Argentina</x:v>
      </x:c>
      <x:c r="F9" t="n">
        <x:v>2</x:v>
      </x:c>
      <x:c r="G9" t="n">
        <x:v>2</x:v>
      </x:c>
      <x:c r="H9" t="str">
        <x:v>Argentina</x:v>
      </x:c>
      <x:c r="I9" t="str">
        <x:v>Penales</x:v>
      </x:c>
      <x:c r="J9" t="n">
        <x:v>1</x:v>
      </x:c>
      <x:c r="K9" t="n">
        <x:v>2</x:v>
      </x:c>
      <x:c r="L9" t="str">
        <x:v>Argentina</x:v>
      </x:c>
      <x:c r="M9" t="str">
        <x:v>90 minutos</x:v>
      </x:c>
      <x:c r="N9" t="n">
        <x:f>IF(AND(AND(ISNUMBER($F9),ISNUMBER($G9),$H9=$L9),IF($I9="90 minutos",IF($F9&gt;$G9,"A",IF($G9&gt;$F9,"B","E")),"E")=IF($M9="90 minutos",IF($J9&gt;$K9,"A",IF($K9&gt;$J9,"B","E")),"E")),Reglas!$B$2,0)</x:f>
        <x:v>0</x:v>
      </x:c>
      <x:c r="O9" t="n">
        <x:f>IF(AND(ISNUMBER($F9),ISNUMBER($G9),$H9=$L9),Reglas!$B$3,0)</x:f>
        <x:v>3</x:v>
      </x:c>
      <x:c r="P9" t="n">
        <x:f>IF(AND(AND(ISNUMBER($F9),ISNUMBER($G9),$H9=$L9),$I9=$M9),Reglas!$B$4,0)</x:f>
        <x:v>0</x:v>
      </x:c>
      <x:c r="Q9" t="n">
        <x:f>IF(AND(AND(AND(ISNUMBER($F9),ISNUMBER($G9),$H9=$L9),$I9=$M9,NOT(AND($I9="Penales",$F9&lt;&gt;$G9))),$F9=$J9,$G9=$K9),Reglas!$B$5,0)</x:f>
        <x:v>0</x:v>
      </x:c>
      <x:c r="R9" t="n">
        <x:f>IF(AND(AND(AND(ISNUMBER($F9),ISNUMBER($G9),$H9=$L9),$I9=$M9,NOT(AND($I9="Penales",$F9&lt;&gt;$G9))),$F9-$G9=$J9-$K9),Reglas!$B$6,0)</x:f>
        <x:v>0</x:v>
      </x:c>
      <x:c r="S9" t="n">
        <x:f>IF(AND(AND(AND(ISNUMBER($F9),ISNUMBER($G9),$H9=$L9),$I9=$M9,NOT(AND($I9="Penales",$F9&lt;&gt;$G9))),$F9=$J9),Reglas!$B$7,0)</x:f>
        <x:v>0</x:v>
      </x:c>
      <x:c r="T9" t="n">
        <x:f>IF(AND(AND(AND(ISNUMBER($F9),ISNUMBER($G9),$H9=$L9),$I9=$M9,NOT(AND($I9="Penales",$F9&lt;&gt;$G9))),$G9=$K9),Reglas!$B$8,0)</x:f>
        <x:v>0</x:v>
      </x:c>
      <x:c r="U9" t="n">
        <x:f>SUM(N9:T9)</x:f>
        <x:v>3</x:v>
      </x:c>
      <x:c r="V9" t="str">
        <x:f>IF($W9="Sin respuesta","Sin envio",IF($U9&gt;0,"OK","Sin puntos"))</x:f>
        <x:v>OK</x:v>
      </x:c>
      <x:c r="W9" t="str">
        <x:v>Google Forms</x:v>
      </x:c>
    </x:row>
    <x:row r="10" ht="15" hidden="0" customHeight="1">
      <x:c r="A10" t="str">
        <x:v>Semifinal</x:v>
      </x:c>
      <x:c r="B10" t="str">
        <x:v>SF1</x:v>
      </x:c>
      <x:c r="C10" t="str">
        <x:v>Jesús</x:v>
      </x:c>
      <x:c r="D10" t="str">
        <x:v>Francia</x:v>
      </x:c>
      <x:c r="E10" t="str">
        <x:v>España</x:v>
      </x:c>
      <x:c r="F10" t="n">
        <x:v>2</x:v>
      </x:c>
      <x:c r="G10" t="n">
        <x:v>1</x:v>
      </x:c>
      <x:c r="H10" t="str">
        <x:v>Francia</x:v>
      </x:c>
      <x:c r="I10" t="str">
        <x:v>90 minutos</x:v>
      </x:c>
      <x:c r="J10" t="n">
        <x:v>0</x:v>
      </x:c>
      <x:c r="K10" t="n">
        <x:v>2</x:v>
      </x:c>
      <x:c r="L10" t="str">
        <x:v>España</x:v>
      </x:c>
      <x:c r="M10" t="str">
        <x:v>90 minutos</x:v>
      </x:c>
      <x:c r="N10" t="n">
        <x:f>IF(AND(AND(ISNUMBER($F10),ISNUMBER($G10),$H10=$L10),IF($I10="90 minutos",IF($F10&gt;$G10,"A",IF($G10&gt;$F10,"B","E")),"E")=IF($M10="90 minutos",IF($J10&gt;$K10,"A",IF($K10&gt;$J10,"B","E")),"E")),Reglas!$B$2,0)</x:f>
        <x:v>0</x:v>
      </x:c>
      <x:c r="O10" t="n">
        <x:f>IF(AND(ISNUMBER($F10),ISNUMBER($G10),$H10=$L10),Reglas!$B$3,0)</x:f>
        <x:v>0</x:v>
      </x:c>
      <x:c r="P10" t="n">
        <x:f>IF(AND(AND(ISNUMBER($F10),ISNUMBER($G10),$H10=$L10),$I10=$M10),Reglas!$B$4,0)</x:f>
        <x:v>0</x:v>
      </x:c>
      <x:c r="Q10" t="n">
        <x:f>IF(AND(AND(AND(ISNUMBER($F10),ISNUMBER($G10),$H10=$L10),$I10=$M10,NOT(AND($I10="Penales",$F10&lt;&gt;$G10))),$F10=$J10,$G10=$K10),Reglas!$B$5,0)</x:f>
        <x:v>0</x:v>
      </x:c>
      <x:c r="R10" t="n">
        <x:f>IF(AND(AND(AND(ISNUMBER($F10),ISNUMBER($G10),$H10=$L10),$I10=$M10,NOT(AND($I10="Penales",$F10&lt;&gt;$G10))),$F10-$G10=$J10-$K10),Reglas!$B$6,0)</x:f>
        <x:v>0</x:v>
      </x:c>
      <x:c r="S10" t="n">
        <x:f>IF(AND(AND(AND(ISNUMBER($F10),ISNUMBER($G10),$H10=$L10),$I10=$M10,NOT(AND($I10="Penales",$F10&lt;&gt;$G10))),$F10=$J10),Reglas!$B$7,0)</x:f>
        <x:v>0</x:v>
      </x:c>
      <x:c r="T10" t="n">
        <x:f>IF(AND(AND(AND(ISNUMBER($F10),ISNUMBER($G10),$H10=$L10),$I10=$M10,NOT(AND($I10="Penales",$F10&lt;&gt;$G10))),$G10=$K10),Reglas!$B$8,0)</x:f>
        <x:v>0</x:v>
      </x:c>
      <x:c r="U10" t="n">
        <x:f>SUM(N10:T10)</x:f>
        <x:v>0</x:v>
      </x:c>
      <x:c r="V10" t="str">
        <x:f>IF($W10="Sin respuesta","Sin envio",IF($U10&gt;0,"OK","Sin puntos"))</x:f>
        <x:v>Sin puntos</x:v>
      </x:c>
      <x:c r="W10" t="str">
        <x:v>Google Forms</x:v>
      </x:c>
    </x:row>
    <x:row r="11" ht="15" hidden="0" customHeight="1">
      <x:c r="A11" t="str">
        <x:v>Semifinal</x:v>
      </x:c>
      <x:c r="B11" t="str">
        <x:v>SF2</x:v>
      </x:c>
      <x:c r="C11" t="str">
        <x:v>Jesús</x:v>
      </x:c>
      <x:c r="D11" t="str">
        <x:v>Inglaterra</x:v>
      </x:c>
      <x:c r="E11" t="str">
        <x:v>Argentina</x:v>
      </x:c>
      <x:c r="F11" t="n">
        <x:v>2</x:v>
      </x:c>
      <x:c r="G11" t="n">
        <x:v>1</x:v>
      </x:c>
      <x:c r="H11" t="str">
        <x:v>Inglaterra</x:v>
      </x:c>
      <x:c r="I11" t="str">
        <x:v>90 minutos</x:v>
      </x:c>
      <x:c r="J11" t="n">
        <x:v>1</x:v>
      </x:c>
      <x:c r="K11" t="n">
        <x:v>2</x:v>
      </x:c>
      <x:c r="L11" t="str">
        <x:v>Argentina</x:v>
      </x:c>
      <x:c r="M11" t="str">
        <x:v>90 minutos</x:v>
      </x:c>
      <x:c r="N11" t="n">
        <x:f>IF(AND(AND(ISNUMBER($F11),ISNUMBER($G11),$H11=$L11),IF($I11="90 minutos",IF($F11&gt;$G11,"A",IF($G11&gt;$F11,"B","E")),"E")=IF($M11="90 minutos",IF($J11&gt;$K11,"A",IF($K11&gt;$J11,"B","E")),"E")),Reglas!$B$2,0)</x:f>
        <x:v>0</x:v>
      </x:c>
      <x:c r="O11" t="n">
        <x:f>IF(AND(ISNUMBER($F11),ISNUMBER($G11),$H11=$L11),Reglas!$B$3,0)</x:f>
        <x:v>0</x:v>
      </x:c>
      <x:c r="P11" t="n">
        <x:f>IF(AND(AND(ISNUMBER($F11),ISNUMBER($G11),$H11=$L11),$I11=$M11),Reglas!$B$4,0)</x:f>
        <x:v>0</x:v>
      </x:c>
      <x:c r="Q11" t="n">
        <x:f>IF(AND(AND(AND(ISNUMBER($F11),ISNUMBER($G11),$H11=$L11),$I11=$M11,NOT(AND($I11="Penales",$F11&lt;&gt;$G11))),$F11=$J11,$G11=$K11),Reglas!$B$5,0)</x:f>
        <x:v>0</x:v>
      </x:c>
      <x:c r="R11" t="n">
        <x:f>IF(AND(AND(AND(ISNUMBER($F11),ISNUMBER($G11),$H11=$L11),$I11=$M11,NOT(AND($I11="Penales",$F11&lt;&gt;$G11))),$F11-$G11=$J11-$K11),Reglas!$B$6,0)</x:f>
        <x:v>0</x:v>
      </x:c>
      <x:c r="S11" t="n">
        <x:f>IF(AND(AND(AND(ISNUMBER($F11),ISNUMBER($G11),$H11=$L11),$I11=$M11,NOT(AND($I11="Penales",$F11&lt;&gt;$G11))),$F11=$J11),Reglas!$B$7,0)</x:f>
        <x:v>0</x:v>
      </x:c>
      <x:c r="T11" t="n">
        <x:f>IF(AND(AND(AND(ISNUMBER($F11),ISNUMBER($G11),$H11=$L11),$I11=$M11,NOT(AND($I11="Penales",$F11&lt;&gt;$G11))),$G11=$K11),Reglas!$B$8,0)</x:f>
        <x:v>0</x:v>
      </x:c>
      <x:c r="U11" t="n">
        <x:f>SUM(N11:T11)</x:f>
        <x:v>0</x:v>
      </x:c>
      <x:c r="V11" t="str">
        <x:f>IF($W11="Sin respuesta","Sin envio",IF($U11&gt;0,"OK","Sin puntos"))</x:f>
        <x:v>Sin puntos</x:v>
      </x:c>
      <x:c r="W11" t="str">
        <x:v>Google Forms</x:v>
      </x:c>
    </x:row>
    <x:row r="12" ht="15" hidden="0" customHeight="1">
      <x:c r="A12" t="str">
        <x:v>Semifinal</x:v>
      </x:c>
      <x:c r="B12" t="str">
        <x:v>SF1</x:v>
      </x:c>
      <x:c r="C12" t="str">
        <x:v>Diego</x:v>
      </x:c>
      <x:c r="D12" t="str">
        <x:v>Francia</x:v>
      </x:c>
      <x:c r="E12" t="str">
        <x:v>España</x:v>
      </x:c>
      <x:c r="F12" t="n">
        <x:v>2</x:v>
      </x:c>
      <x:c r="G12" t="n">
        <x:v>1</x:v>
      </x:c>
      <x:c r="H12" t="str">
        <x:v>Francia</x:v>
      </x:c>
      <x:c r="I12" t="str">
        <x:v>Suplementario</x:v>
      </x:c>
      <x:c r="J12" t="n">
        <x:v>0</x:v>
      </x:c>
      <x:c r="K12" t="n">
        <x:v>2</x:v>
      </x:c>
      <x:c r="L12" t="str">
        <x:v>España</x:v>
      </x:c>
      <x:c r="M12" t="str">
        <x:v>90 minutos</x:v>
      </x:c>
      <x:c r="N12" t="n">
        <x:f>IF(AND(AND(ISNUMBER($F12),ISNUMBER($G12),$H12=$L12),IF($I12="90 minutos",IF($F12&gt;$G12,"A",IF($G12&gt;$F12,"B","E")),"E")=IF($M12="90 minutos",IF($J12&gt;$K12,"A",IF($K12&gt;$J12,"B","E")),"E")),Reglas!$B$2,0)</x:f>
        <x:v>0</x:v>
      </x:c>
      <x:c r="O12" t="n">
        <x:f>IF(AND(ISNUMBER($F12),ISNUMBER($G12),$H12=$L12),Reglas!$B$3,0)</x:f>
        <x:v>0</x:v>
      </x:c>
      <x:c r="P12" t="n">
        <x:f>IF(AND(AND(ISNUMBER($F12),ISNUMBER($G12),$H12=$L12),$I12=$M12),Reglas!$B$4,0)</x:f>
        <x:v>0</x:v>
      </x:c>
      <x:c r="Q12" t="n">
        <x:f>IF(AND(AND(AND(ISNUMBER($F12),ISNUMBER($G12),$H12=$L12),$I12=$M12,NOT(AND($I12="Penales",$F12&lt;&gt;$G12))),$F12=$J12,$G12=$K12),Reglas!$B$5,0)</x:f>
        <x:v>0</x:v>
      </x:c>
      <x:c r="R12" t="n">
        <x:f>IF(AND(AND(AND(ISNUMBER($F12),ISNUMBER($G12),$H12=$L12),$I12=$M12,NOT(AND($I12="Penales",$F12&lt;&gt;$G12))),$F12-$G12=$J12-$K12),Reglas!$B$6,0)</x:f>
        <x:v>0</x:v>
      </x:c>
      <x:c r="S12" t="n">
        <x:f>IF(AND(AND(AND(ISNUMBER($F12),ISNUMBER($G12),$H12=$L12),$I12=$M12,NOT(AND($I12="Penales",$F12&lt;&gt;$G12))),$F12=$J12),Reglas!$B$7,0)</x:f>
        <x:v>0</x:v>
      </x:c>
      <x:c r="T12" t="n">
        <x:f>IF(AND(AND(AND(ISNUMBER($F12),ISNUMBER($G12),$H12=$L12),$I12=$M12,NOT(AND($I12="Penales",$F12&lt;&gt;$G12))),$G12=$K12),Reglas!$B$8,0)</x:f>
        <x:v>0</x:v>
      </x:c>
      <x:c r="U12" t="n">
        <x:f>SUM(N12:T12)</x:f>
        <x:v>0</x:v>
      </x:c>
      <x:c r="V12" t="str">
        <x:f>IF($W12="Sin respuesta","Sin envio",IF($U12&gt;0,"OK","Sin puntos"))</x:f>
        <x:v>Sin puntos</x:v>
      </x:c>
      <x:c r="W12" t="str">
        <x:v>Google Forms</x:v>
      </x:c>
    </x:row>
    <x:row r="13" ht="15" hidden="0" customHeight="1">
      <x:c r="A13" t="str">
        <x:v>Semifinal</x:v>
      </x:c>
      <x:c r="B13" t="str">
        <x:v>SF2</x:v>
      </x:c>
      <x:c r="C13" t="str">
        <x:v>Diego</x:v>
      </x:c>
      <x:c r="D13" t="str">
        <x:v>Inglaterra</x:v>
      </x:c>
      <x:c r="E13" t="str">
        <x:v>Argentina</x:v>
      </x:c>
      <x:c r="F13" t="n">
        <x:v>1</x:v>
      </x:c>
      <x:c r="G13" t="n">
        <x:v>2</x:v>
      </x:c>
      <x:c r="H13" t="str">
        <x:v>Argentina</x:v>
      </x:c>
      <x:c r="I13" t="str">
        <x:v>Suplementario</x:v>
      </x:c>
      <x:c r="J13" t="n">
        <x:v>1</x:v>
      </x:c>
      <x:c r="K13" t="n">
        <x:v>2</x:v>
      </x:c>
      <x:c r="L13" t="str">
        <x:v>Argentina</x:v>
      </x:c>
      <x:c r="M13" t="str">
        <x:v>90 minutos</x:v>
      </x:c>
      <x:c r="N13" t="n">
        <x:f>IF(AND(AND(ISNUMBER($F13),ISNUMBER($G13),$H13=$L13),IF($I13="90 minutos",IF($F13&gt;$G13,"A",IF($G13&gt;$F13,"B","E")),"E")=IF($M13="90 minutos",IF($J13&gt;$K13,"A",IF($K13&gt;$J13,"B","E")),"E")),Reglas!$B$2,0)</x:f>
        <x:v>0</x:v>
      </x:c>
      <x:c r="O13" t="n">
        <x:f>IF(AND(ISNUMBER($F13),ISNUMBER($G13),$H13=$L13),Reglas!$B$3,0)</x:f>
        <x:v>3</x:v>
      </x:c>
      <x:c r="P13" t="n">
        <x:f>IF(AND(AND(ISNUMBER($F13),ISNUMBER($G13),$H13=$L13),$I13=$M13),Reglas!$B$4,0)</x:f>
        <x:v>0</x:v>
      </x:c>
      <x:c r="Q13" t="n">
        <x:f>IF(AND(AND(AND(ISNUMBER($F13),ISNUMBER($G13),$H13=$L13),$I13=$M13,NOT(AND($I13="Penales",$F13&lt;&gt;$G13))),$F13=$J13,$G13=$K13),Reglas!$B$5,0)</x:f>
        <x:v>0</x:v>
      </x:c>
      <x:c r="R13" t="n">
        <x:f>IF(AND(AND(AND(ISNUMBER($F13),ISNUMBER($G13),$H13=$L13),$I13=$M13,NOT(AND($I13="Penales",$F13&lt;&gt;$G13))),$F13-$G13=$J13-$K13),Reglas!$B$6,0)</x:f>
        <x:v>0</x:v>
      </x:c>
      <x:c r="S13" t="n">
        <x:f>IF(AND(AND(AND(ISNUMBER($F13),ISNUMBER($G13),$H13=$L13),$I13=$M13,NOT(AND($I13="Penales",$F13&lt;&gt;$G13))),$F13=$J13),Reglas!$B$7,0)</x:f>
        <x:v>0</x:v>
      </x:c>
      <x:c r="T13" t="n">
        <x:f>IF(AND(AND(AND(ISNUMBER($F13),ISNUMBER($G13),$H13=$L13),$I13=$M13,NOT(AND($I13="Penales",$F13&lt;&gt;$G13))),$G13=$K13),Reglas!$B$8,0)</x:f>
        <x:v>0</x:v>
      </x:c>
      <x:c r="U13" t="n">
        <x:f>SUM(N13:T13)</x:f>
        <x:v>3</x:v>
      </x:c>
      <x:c r="V13" t="str">
        <x:f>IF($W13="Sin respuesta","Sin envio",IF($U13&gt;0,"OK","Sin puntos"))</x:f>
        <x:v>OK</x:v>
      </x:c>
      <x:c r="W13" t="str">
        <x:v>Google Forms</x:v>
      </x:c>
    </x:row>
    <x:row r="14" ht="15" hidden="0" customHeight="1">
      <x:c r="A14" t="str">
        <x:v>Semifinal</x:v>
      </x:c>
      <x:c r="B14" t="str">
        <x:v>SF1</x:v>
      </x:c>
      <x:c r="C14" t="str">
        <x:v>Aldo</x:v>
      </x:c>
      <x:c r="D14" t="str">
        <x:v>Francia</x:v>
      </x:c>
      <x:c r="E14" t="str">
        <x:v>España</x:v>
      </x:c>
      <x:c r="F14" t="n">
        <x:v>0</x:v>
      </x:c>
      <x:c r="G14" t="n">
        <x:v>1</x:v>
      </x:c>
      <x:c r="H14" t="str">
        <x:v>España</x:v>
      </x:c>
      <x:c r="I14" t="str">
        <x:v>Suplementario</x:v>
      </x:c>
      <x:c r="J14" t="n">
        <x:v>0</x:v>
      </x:c>
      <x:c r="K14" t="n">
        <x:v>2</x:v>
      </x:c>
      <x:c r="L14" t="str">
        <x:v>España</x:v>
      </x:c>
      <x:c r="M14" t="str">
        <x:v>90 minutos</x:v>
      </x:c>
      <x:c r="N14" t="n">
        <x:f>IF(AND(AND(ISNUMBER($F14),ISNUMBER($G14),$H14=$L14),IF($I14="90 minutos",IF($F14&gt;$G14,"A",IF($G14&gt;$F14,"B","E")),"E")=IF($M14="90 minutos",IF($J14&gt;$K14,"A",IF($K14&gt;$J14,"B","E")),"E")),Reglas!$B$2,0)</x:f>
        <x:v>0</x:v>
      </x:c>
      <x:c r="O14" t="n">
        <x:f>IF(AND(ISNUMBER($F14),ISNUMBER($G14),$H14=$L14),Reglas!$B$3,0)</x:f>
        <x:v>3</x:v>
      </x:c>
      <x:c r="P14" t="n">
        <x:f>IF(AND(AND(ISNUMBER($F14),ISNUMBER($G14),$H14=$L14),$I14=$M14),Reglas!$B$4,0)</x:f>
        <x:v>0</x:v>
      </x:c>
      <x:c r="Q14" t="n">
        <x:f>IF(AND(AND(AND(ISNUMBER($F14),ISNUMBER($G14),$H14=$L14),$I14=$M14,NOT(AND($I14="Penales",$F14&lt;&gt;$G14))),$F14=$J14,$G14=$K14),Reglas!$B$5,0)</x:f>
        <x:v>0</x:v>
      </x:c>
      <x:c r="R14" t="n">
        <x:f>IF(AND(AND(AND(ISNUMBER($F14),ISNUMBER($G14),$H14=$L14),$I14=$M14,NOT(AND($I14="Penales",$F14&lt;&gt;$G14))),$F14-$G14=$J14-$K14),Reglas!$B$6,0)</x:f>
        <x:v>0</x:v>
      </x:c>
      <x:c r="S14" t="n">
        <x:f>IF(AND(AND(AND(ISNUMBER($F14),ISNUMBER($G14),$H14=$L14),$I14=$M14,NOT(AND($I14="Penales",$F14&lt;&gt;$G14))),$F14=$J14),Reglas!$B$7,0)</x:f>
        <x:v>0</x:v>
      </x:c>
      <x:c r="T14" t="n">
        <x:f>IF(AND(AND(AND(ISNUMBER($F14),ISNUMBER($G14),$H14=$L14),$I14=$M14,NOT(AND($I14="Penales",$F14&lt;&gt;$G14))),$G14=$K14),Reglas!$B$8,0)</x:f>
        <x:v>0</x:v>
      </x:c>
      <x:c r="U14" t="n">
        <x:f>SUM(N14:T14)</x:f>
        <x:v>3</x:v>
      </x:c>
      <x:c r="V14" t="str">
        <x:f>IF($W14="Sin respuesta","Sin envio",IF($U14&gt;0,"OK","Sin puntos"))</x:f>
        <x:v>OK</x:v>
      </x:c>
      <x:c r="W14" t="str">
        <x:v>Google Forms</x:v>
      </x:c>
    </x:row>
    <x:row r="15" ht="15" hidden="0" customHeight="1">
      <x:c r="A15" t="str">
        <x:v>Semifinal</x:v>
      </x:c>
      <x:c r="B15" t="str">
        <x:v>SF2</x:v>
      </x:c>
      <x:c r="C15" t="str">
        <x:v>Aldo</x:v>
      </x:c>
      <x:c r="D15" t="str">
        <x:v>Inglaterra</x:v>
      </x:c>
      <x:c r="E15" t="str">
        <x:v>Argentina</x:v>
      </x:c>
      <x:c r="F15" t="n">
        <x:v>1</x:v>
      </x:c>
      <x:c r="G15" t="n">
        <x:v>2</x:v>
      </x:c>
      <x:c r="H15" t="str">
        <x:v>Argentina</x:v>
      </x:c>
      <x:c r="I15" t="str">
        <x:v>Suplementario</x:v>
      </x:c>
      <x:c r="J15" t="n">
        <x:v>1</x:v>
      </x:c>
      <x:c r="K15" t="n">
        <x:v>2</x:v>
      </x:c>
      <x:c r="L15" t="str">
        <x:v>Argentina</x:v>
      </x:c>
      <x:c r="M15" t="str">
        <x:v>90 minutos</x:v>
      </x:c>
      <x:c r="N15" t="n">
        <x:f>IF(AND(AND(ISNUMBER($F15),ISNUMBER($G15),$H15=$L15),IF($I15="90 minutos",IF($F15&gt;$G15,"A",IF($G15&gt;$F15,"B","E")),"E")=IF($M15="90 minutos",IF($J15&gt;$K15,"A",IF($K15&gt;$J15,"B","E")),"E")),Reglas!$B$2,0)</x:f>
        <x:v>0</x:v>
      </x:c>
      <x:c r="O15" t="n">
        <x:f>IF(AND(ISNUMBER($F15),ISNUMBER($G15),$H15=$L15),Reglas!$B$3,0)</x:f>
        <x:v>3</x:v>
      </x:c>
      <x:c r="P15" t="n">
        <x:f>IF(AND(AND(ISNUMBER($F15),ISNUMBER($G15),$H15=$L15),$I15=$M15),Reglas!$B$4,0)</x:f>
        <x:v>0</x:v>
      </x:c>
      <x:c r="Q15" t="n">
        <x:f>IF(AND(AND(AND(ISNUMBER($F15),ISNUMBER($G15),$H15=$L15),$I15=$M15,NOT(AND($I15="Penales",$F15&lt;&gt;$G15))),$F15=$J15,$G15=$K15),Reglas!$B$5,0)</x:f>
        <x:v>0</x:v>
      </x:c>
      <x:c r="R15" t="n">
        <x:f>IF(AND(AND(AND(ISNUMBER($F15),ISNUMBER($G15),$H15=$L15),$I15=$M15,NOT(AND($I15="Penales",$F15&lt;&gt;$G15))),$F15-$G15=$J15-$K15),Reglas!$B$6,0)</x:f>
        <x:v>0</x:v>
      </x:c>
      <x:c r="S15" t="n">
        <x:f>IF(AND(AND(AND(ISNUMBER($F15),ISNUMBER($G15),$H15=$L15),$I15=$M15,NOT(AND($I15="Penales",$F15&lt;&gt;$G15))),$F15=$J15),Reglas!$B$7,0)</x:f>
        <x:v>0</x:v>
      </x:c>
      <x:c r="T15" t="n">
        <x:f>IF(AND(AND(AND(ISNUMBER($F15),ISNUMBER($G15),$H15=$L15),$I15=$M15,NOT(AND($I15="Penales",$F15&lt;&gt;$G15))),$G15=$K15),Reglas!$B$8,0)</x:f>
        <x:v>0</x:v>
      </x:c>
      <x:c r="U15" t="n">
        <x:f>SUM(N15:T15)</x:f>
        <x:v>3</x:v>
      </x:c>
      <x:c r="V15" t="str">
        <x:f>IF($W15="Sin respuesta","Sin envio",IF($U15&gt;0,"OK","Sin puntos"))</x:f>
        <x:v>OK</x:v>
      </x:c>
      <x:c r="W15" t="str">
        <x:v>Google Forms</x:v>
      </x:c>
    </x:row>
    <x:row r="16" ht="15" hidden="0" customHeight="1">
      <x:c r="A16" t="str">
        <x:v>Semifinal</x:v>
      </x:c>
      <x:c r="B16" t="str">
        <x:v>SF1</x:v>
      </x:c>
      <x:c r="C16" t="str">
        <x:v>Javier</x:v>
      </x:c>
      <x:c r="D16" t="str">
        <x:v>Francia</x:v>
      </x:c>
      <x:c r="E16" t="str">
        <x:v>España</x:v>
      </x:c>
      <x:c r="F16"/>
      <x:c r="G16"/>
      <x:c r="H16" t="str">
        <x:v>Sin envio</x:v>
      </x:c>
      <x:c r="I16" t="str">
        <x:v>Sin envio</x:v>
      </x:c>
      <x:c r="J16" t="n">
        <x:v>0</x:v>
      </x:c>
      <x:c r="K16" t="n">
        <x:v>2</x:v>
      </x:c>
      <x:c r="L16" t="str">
        <x:v>España</x:v>
      </x:c>
      <x:c r="M16" t="str">
        <x:v>90 minutos</x:v>
      </x:c>
      <x:c r="N16" t="n">
        <x:f>IF(AND(AND(ISNUMBER($F16),ISNUMBER($G16),$H16=$L16),IF($I16="90 minutos",IF($F16&gt;$G16,"A",IF($G16&gt;$F16,"B","E")),"E")=IF($M16="90 minutos",IF($J16&gt;$K16,"A",IF($K16&gt;$J16,"B","E")),"E")),Reglas!$B$2,0)</x:f>
        <x:v>0</x:v>
      </x:c>
      <x:c r="O16" t="n">
        <x:f>IF(AND(ISNUMBER($F16),ISNUMBER($G16),$H16=$L16),Reglas!$B$3,0)</x:f>
        <x:v>0</x:v>
      </x:c>
      <x:c r="P16" t="n">
        <x:f>IF(AND(AND(ISNUMBER($F16),ISNUMBER($G16),$H16=$L16),$I16=$M16),Reglas!$B$4,0)</x:f>
        <x:v>0</x:v>
      </x:c>
      <x:c r="Q16" t="n">
        <x:f>IF(AND(AND(AND(ISNUMBER($F16),ISNUMBER($G16),$H16=$L16),$I16=$M16,NOT(AND($I16="Penales",$F16&lt;&gt;$G16))),$F16=$J16,$G16=$K16),Reglas!$B$5,0)</x:f>
        <x:v>0</x:v>
      </x:c>
      <x:c r="R16" t="n">
        <x:f>IF(AND(AND(AND(ISNUMBER($F16),ISNUMBER($G16),$H16=$L16),$I16=$M16,NOT(AND($I16="Penales",$F16&lt;&gt;$G16))),$F16-$G16=$J16-$K16),Reglas!$B$6,0)</x:f>
        <x:v>0</x:v>
      </x:c>
      <x:c r="S16" t="n">
        <x:f>IF(AND(AND(AND(ISNUMBER($F16),ISNUMBER($G16),$H16=$L16),$I16=$M16,NOT(AND($I16="Penales",$F16&lt;&gt;$G16))),$F16=$J16),Reglas!$B$7,0)</x:f>
        <x:v>0</x:v>
      </x:c>
      <x:c r="T16" t="n">
        <x:f>IF(AND(AND(AND(ISNUMBER($F16),ISNUMBER($G16),$H16=$L16),$I16=$M16,NOT(AND($I16="Penales",$F16&lt;&gt;$G16))),$G16=$K16),Reglas!$B$8,0)</x:f>
        <x:v>0</x:v>
      </x:c>
      <x:c r="U16" t="n">
        <x:f>SUM(N16:T16)</x:f>
        <x:v>0</x:v>
      </x:c>
      <x:c r="V16" t="str">
        <x:f>IF($W16="Sin respuesta","Sin envio",IF($U16&gt;0,"OK","Sin puntos"))</x:f>
        <x:v>Sin envio</x:v>
      </x:c>
      <x:c r="W16" t="str">
        <x:v>Sin respuesta</x:v>
      </x:c>
    </x:row>
    <x:row r="17" ht="15" hidden="0" customHeight="1">
      <x:c r="A17" t="str">
        <x:v>Semifinal</x:v>
      </x:c>
      <x:c r="B17" t="str">
        <x:v>SF2</x:v>
      </x:c>
      <x:c r="C17" t="str">
        <x:v>Javier</x:v>
      </x:c>
      <x:c r="D17" t="str">
        <x:v>Inglaterra</x:v>
      </x:c>
      <x:c r="E17" t="str">
        <x:v>Argentina</x:v>
      </x:c>
      <x:c r="F17"/>
      <x:c r="G17"/>
      <x:c r="H17" t="str">
        <x:v>Sin envio</x:v>
      </x:c>
      <x:c r="I17" t="str">
        <x:v>Sin envio</x:v>
      </x:c>
      <x:c r="J17" t="n">
        <x:v>1</x:v>
      </x:c>
      <x:c r="K17" t="n">
        <x:v>2</x:v>
      </x:c>
      <x:c r="L17" t="str">
        <x:v>Argentina</x:v>
      </x:c>
      <x:c r="M17" t="str">
        <x:v>90 minutos</x:v>
      </x:c>
      <x:c r="N17" t="n">
        <x:f>IF(AND(AND(ISNUMBER($F17),ISNUMBER($G17),$H17=$L17),IF($I17="90 minutos",IF($F17&gt;$G17,"A",IF($G17&gt;$F17,"B","E")),"E")=IF($M17="90 minutos",IF($J17&gt;$K17,"A",IF($K17&gt;$J17,"B","E")),"E")),Reglas!$B$2,0)</x:f>
        <x:v>0</x:v>
      </x:c>
      <x:c r="O17" t="n">
        <x:f>IF(AND(ISNUMBER($F17),ISNUMBER($G17),$H17=$L17),Reglas!$B$3,0)</x:f>
        <x:v>0</x:v>
      </x:c>
      <x:c r="P17" t="n">
        <x:f>IF(AND(AND(ISNUMBER($F17),ISNUMBER($G17),$H17=$L17),$I17=$M17),Reglas!$B$4,0)</x:f>
        <x:v>0</x:v>
      </x:c>
      <x:c r="Q17" t="n">
        <x:f>IF(AND(AND(AND(ISNUMBER($F17),ISNUMBER($G17),$H17=$L17),$I17=$M17,NOT(AND($I17="Penales",$F17&lt;&gt;$G17))),$F17=$J17,$G17=$K17),Reglas!$B$5,0)</x:f>
        <x:v>0</x:v>
      </x:c>
      <x:c r="R17" t="n">
        <x:f>IF(AND(AND(AND(ISNUMBER($F17),ISNUMBER($G17),$H17=$L17),$I17=$M17,NOT(AND($I17="Penales",$F17&lt;&gt;$G17))),$F17-$G17=$J17-$K17),Reglas!$B$6,0)</x:f>
        <x:v>0</x:v>
      </x:c>
      <x:c r="S17" t="n">
        <x:f>IF(AND(AND(AND(ISNUMBER($F17),ISNUMBER($G17),$H17=$L17),$I17=$M17,NOT(AND($I17="Penales",$F17&lt;&gt;$G17))),$F17=$J17),Reglas!$B$7,0)</x:f>
        <x:v>0</x:v>
      </x:c>
      <x:c r="T17" t="n">
        <x:f>IF(AND(AND(AND(ISNUMBER($F17),ISNUMBER($G17),$H17=$L17),$I17=$M17,NOT(AND($I17="Penales",$F17&lt;&gt;$G17))),$G17=$K17),Reglas!$B$8,0)</x:f>
        <x:v>0</x:v>
      </x:c>
      <x:c r="U17" t="n">
        <x:f>SUM(N17:T17)</x:f>
        <x:v>0</x:v>
      </x:c>
      <x:c r="V17" t="str">
        <x:f>IF($W17="Sin respuesta","Sin envio",IF($U17&gt;0,"OK","Sin puntos"))</x:f>
        <x:v>Sin envio</x:v>
      </x:c>
      <x:c r="W17" t="str">
        <x:v>Sin respuesta</x:v>
      </x:c>
    </x:row>
    <x:row r="18" ht="15" hidden="0" customHeight="1">
      <x:c r="A18" t="str">
        <x:v>Semifinal</x:v>
      </x:c>
      <x:c r="B18" t="str">
        <x:v>SF1</x:v>
      </x:c>
      <x:c r="C18" t="str">
        <x:v>Gino</x:v>
      </x:c>
      <x:c r="D18" t="str">
        <x:v>Francia</x:v>
      </x:c>
      <x:c r="E18" t="str">
        <x:v>España</x:v>
      </x:c>
      <x:c r="F18" t="n">
        <x:v>3</x:v>
      </x:c>
      <x:c r="G18" t="n">
        <x:v>1</x:v>
      </x:c>
      <x:c r="H18" t="str">
        <x:v>Francia</x:v>
      </x:c>
      <x:c r="I18" t="str">
        <x:v>Suplementario</x:v>
      </x:c>
      <x:c r="J18" t="n">
        <x:v>0</x:v>
      </x:c>
      <x:c r="K18" t="n">
        <x:v>2</x:v>
      </x:c>
      <x:c r="L18" t="str">
        <x:v>España</x:v>
      </x:c>
      <x:c r="M18" t="str">
        <x:v>90 minutos</x:v>
      </x:c>
      <x:c r="N18" t="n">
        <x:f>IF(AND(AND(ISNUMBER($F18),ISNUMBER($G18),$H18=$L18),IF($I18="90 minutos",IF($F18&gt;$G18,"A",IF($G18&gt;$F18,"B","E")),"E")=IF($M18="90 minutos",IF($J18&gt;$K18,"A",IF($K18&gt;$J18,"B","E")),"E")),Reglas!$B$2,0)</x:f>
        <x:v>0</x:v>
      </x:c>
      <x:c r="O18" t="n">
        <x:f>IF(AND(ISNUMBER($F18),ISNUMBER($G18),$H18=$L18),Reglas!$B$3,0)</x:f>
        <x:v>0</x:v>
      </x:c>
      <x:c r="P18" t="n">
        <x:f>IF(AND(AND(ISNUMBER($F18),ISNUMBER($G18),$H18=$L18),$I18=$M18),Reglas!$B$4,0)</x:f>
        <x:v>0</x:v>
      </x:c>
      <x:c r="Q18" t="n">
        <x:f>IF(AND(AND(AND(ISNUMBER($F18),ISNUMBER($G18),$H18=$L18),$I18=$M18,NOT(AND($I18="Penales",$F18&lt;&gt;$G18))),$F18=$J18,$G18=$K18),Reglas!$B$5,0)</x:f>
        <x:v>0</x:v>
      </x:c>
      <x:c r="R18" t="n">
        <x:f>IF(AND(AND(AND(ISNUMBER($F18),ISNUMBER($G18),$H18=$L18),$I18=$M18,NOT(AND($I18="Penales",$F18&lt;&gt;$G18))),$F18-$G18=$J18-$K18),Reglas!$B$6,0)</x:f>
        <x:v>0</x:v>
      </x:c>
      <x:c r="S18" t="n">
        <x:f>IF(AND(AND(AND(ISNUMBER($F18),ISNUMBER($G18),$H18=$L18),$I18=$M18,NOT(AND($I18="Penales",$F18&lt;&gt;$G18))),$F18=$J18),Reglas!$B$7,0)</x:f>
        <x:v>0</x:v>
      </x:c>
      <x:c r="T18" t="n">
        <x:f>IF(AND(AND(AND(ISNUMBER($F18),ISNUMBER($G18),$H18=$L18),$I18=$M18,NOT(AND($I18="Penales",$F18&lt;&gt;$G18))),$G18=$K18),Reglas!$B$8,0)</x:f>
        <x:v>0</x:v>
      </x:c>
      <x:c r="U18" t="n">
        <x:f>SUM(N18:T18)</x:f>
        <x:v>0</x:v>
      </x:c>
      <x:c r="V18" t="str">
        <x:f>IF($W18="Sin respuesta","Sin envio",IF($U18&gt;0,"OK","Sin puntos"))</x:f>
        <x:v>Sin puntos</x:v>
      </x:c>
      <x:c r="W18" t="str">
        <x:v>Google Forms</x:v>
      </x:c>
    </x:row>
    <x:row r="19" ht="15" hidden="0" customHeight="1">
      <x:c r="A19" t="str">
        <x:v>Semifinal</x:v>
      </x:c>
      <x:c r="B19" t="str">
        <x:v>SF2</x:v>
      </x:c>
      <x:c r="C19" t="str">
        <x:v>Gino</x:v>
      </x:c>
      <x:c r="D19" t="str">
        <x:v>Inglaterra</x:v>
      </x:c>
      <x:c r="E19" t="str">
        <x:v>Argentina</x:v>
      </x:c>
      <x:c r="F19" t="n">
        <x:v>1</x:v>
      </x:c>
      <x:c r="G19" t="n">
        <x:v>1</x:v>
      </x:c>
      <x:c r="H19" t="str">
        <x:v>Inglaterra</x:v>
      </x:c>
      <x:c r="I19" t="str">
        <x:v>Penales</x:v>
      </x:c>
      <x:c r="J19" t="n">
        <x:v>1</x:v>
      </x:c>
      <x:c r="K19" t="n">
        <x:v>2</x:v>
      </x:c>
      <x:c r="L19" t="str">
        <x:v>Argentina</x:v>
      </x:c>
      <x:c r="M19" t="str">
        <x:v>90 minutos</x:v>
      </x:c>
      <x:c r="N19" t="n">
        <x:f>IF(AND(AND(ISNUMBER($F19),ISNUMBER($G19),$H19=$L19),IF($I19="90 minutos",IF($F19&gt;$G19,"A",IF($G19&gt;$F19,"B","E")),"E")=IF($M19="90 minutos",IF($J19&gt;$K19,"A",IF($K19&gt;$J19,"B","E")),"E")),Reglas!$B$2,0)</x:f>
        <x:v>0</x:v>
      </x:c>
      <x:c r="O19" t="n">
        <x:f>IF(AND(ISNUMBER($F19),ISNUMBER($G19),$H19=$L19),Reglas!$B$3,0)</x:f>
        <x:v>0</x:v>
      </x:c>
      <x:c r="P19" t="n">
        <x:f>IF(AND(AND(ISNUMBER($F19),ISNUMBER($G19),$H19=$L19),$I19=$M19),Reglas!$B$4,0)</x:f>
        <x:v>0</x:v>
      </x:c>
      <x:c r="Q19" t="n">
        <x:f>IF(AND(AND(AND(ISNUMBER($F19),ISNUMBER($G19),$H19=$L19),$I19=$M19,NOT(AND($I19="Penales",$F19&lt;&gt;$G19))),$F19=$J19,$G19=$K19),Reglas!$B$5,0)</x:f>
        <x:v>0</x:v>
      </x:c>
      <x:c r="R19" t="n">
        <x:f>IF(AND(AND(AND(ISNUMBER($F19),ISNUMBER($G19),$H19=$L19),$I19=$M19,NOT(AND($I19="Penales",$F19&lt;&gt;$G19))),$F19-$G19=$J19-$K19),Reglas!$B$6,0)</x:f>
        <x:v>0</x:v>
      </x:c>
      <x:c r="S19" t="n">
        <x:f>IF(AND(AND(AND(ISNUMBER($F19),ISNUMBER($G19),$H19=$L19),$I19=$M19,NOT(AND($I19="Penales",$F19&lt;&gt;$G19))),$F19=$J19),Reglas!$B$7,0)</x:f>
        <x:v>0</x:v>
      </x:c>
      <x:c r="T19" t="n">
        <x:f>IF(AND(AND(AND(ISNUMBER($F19),ISNUMBER($G19),$H19=$L19),$I19=$M19,NOT(AND($I19="Penales",$F19&lt;&gt;$G19))),$G19=$K19),Reglas!$B$8,0)</x:f>
        <x:v>0</x:v>
      </x:c>
      <x:c r="U19" t="n">
        <x:f>SUM(N19:T19)</x:f>
        <x:v>0</x:v>
      </x:c>
      <x:c r="V19" t="str">
        <x:f>IF($W19="Sin respuesta","Sin envio",IF($U19&gt;0,"OK","Sin puntos"))</x:f>
        <x:v>Sin puntos</x:v>
      </x:c>
      <x:c r="W19" t="str">
        <x:v>Google Forms</x:v>
      </x:c>
    </x:row>
    <x:row r="20" ht="15" hidden="0" customHeight="1">
      <x:c r="A20" t="str">
        <x:v>Semifinal</x:v>
      </x:c>
      <x:c r="B20" t="str">
        <x:v>SF1</x:v>
      </x:c>
      <x:c r="C20" t="str">
        <x:v>Manuel</x:v>
      </x:c>
      <x:c r="D20" t="str">
        <x:v>Francia</x:v>
      </x:c>
      <x:c r="E20" t="str">
        <x:v>España</x:v>
      </x:c>
      <x:c r="F20" t="n">
        <x:v>2</x:v>
      </x:c>
      <x:c r="G20" t="n">
        <x:v>0</x:v>
      </x:c>
      <x:c r="H20" t="str">
        <x:v>Francia</x:v>
      </x:c>
      <x:c r="I20" t="str">
        <x:v>90 minutos</x:v>
      </x:c>
      <x:c r="J20" t="n">
        <x:v>0</x:v>
      </x:c>
      <x:c r="K20" t="n">
        <x:v>2</x:v>
      </x:c>
      <x:c r="L20" t="str">
        <x:v>España</x:v>
      </x:c>
      <x:c r="M20" t="str">
        <x:v>90 minutos</x:v>
      </x:c>
      <x:c r="N20" t="n">
        <x:f>IF(AND(AND(ISNUMBER($F20),ISNUMBER($G20),$H20=$L20),IF($I20="90 minutos",IF($F20&gt;$G20,"A",IF($G20&gt;$F20,"B","E")),"E")=IF($M20="90 minutos",IF($J20&gt;$K20,"A",IF($K20&gt;$J20,"B","E")),"E")),Reglas!$B$2,0)</x:f>
        <x:v>0</x:v>
      </x:c>
      <x:c r="O20" t="n">
        <x:f>IF(AND(ISNUMBER($F20),ISNUMBER($G20),$H20=$L20),Reglas!$B$3,0)</x:f>
        <x:v>0</x:v>
      </x:c>
      <x:c r="P20" t="n">
        <x:f>IF(AND(AND(ISNUMBER($F20),ISNUMBER($G20),$H20=$L20),$I20=$M20),Reglas!$B$4,0)</x:f>
        <x:v>0</x:v>
      </x:c>
      <x:c r="Q20" t="n">
        <x:f>IF(AND(AND(AND(ISNUMBER($F20),ISNUMBER($G20),$H20=$L20),$I20=$M20,NOT(AND($I20="Penales",$F20&lt;&gt;$G20))),$F20=$J20,$G20=$K20),Reglas!$B$5,0)</x:f>
        <x:v>0</x:v>
      </x:c>
      <x:c r="R20" t="n">
        <x:f>IF(AND(AND(AND(ISNUMBER($F20),ISNUMBER($G20),$H20=$L20),$I20=$M20,NOT(AND($I20="Penales",$F20&lt;&gt;$G20))),$F20-$G20=$J20-$K20),Reglas!$B$6,0)</x:f>
        <x:v>0</x:v>
      </x:c>
      <x:c r="S20" t="n">
        <x:f>IF(AND(AND(AND(ISNUMBER($F20),ISNUMBER($G20),$H20=$L20),$I20=$M20,NOT(AND($I20="Penales",$F20&lt;&gt;$G20))),$F20=$J20),Reglas!$B$7,0)</x:f>
        <x:v>0</x:v>
      </x:c>
      <x:c r="T20" t="n">
        <x:f>IF(AND(AND(AND(ISNUMBER($F20),ISNUMBER($G20),$H20=$L20),$I20=$M20,NOT(AND($I20="Penales",$F20&lt;&gt;$G20))),$G20=$K20),Reglas!$B$8,0)</x:f>
        <x:v>0</x:v>
      </x:c>
      <x:c r="U20" t="n">
        <x:f>SUM(N20:T20)</x:f>
        <x:v>0</x:v>
      </x:c>
      <x:c r="V20" t="str">
        <x:f>IF($W20="Sin respuesta","Sin envio",IF($U20&gt;0,"OK","Sin puntos"))</x:f>
        <x:v>Sin puntos</x:v>
      </x:c>
      <x:c r="W20" t="str">
        <x:v>Google Forms</x:v>
      </x:c>
    </x:row>
    <x:row r="21" ht="15" hidden="0" customHeight="1">
      <x:c r="A21" t="str">
        <x:v>Semifinal</x:v>
      </x:c>
      <x:c r="B21" t="str">
        <x:v>SF2</x:v>
      </x:c>
      <x:c r="C21" t="str">
        <x:v>Manuel</x:v>
      </x:c>
      <x:c r="D21" t="str">
        <x:v>Inglaterra</x:v>
      </x:c>
      <x:c r="E21" t="str">
        <x:v>Argentina</x:v>
      </x:c>
      <x:c r="F21" t="n">
        <x:v>3</x:v>
      </x:c>
      <x:c r="G21" t="n">
        <x:v>1</x:v>
      </x:c>
      <x:c r="H21" t="str">
        <x:v>Inglaterra</x:v>
      </x:c>
      <x:c r="I21" t="str">
        <x:v>Suplementario</x:v>
      </x:c>
      <x:c r="J21" t="n">
        <x:v>1</x:v>
      </x:c>
      <x:c r="K21" t="n">
        <x:v>2</x:v>
      </x:c>
      <x:c r="L21" t="str">
        <x:v>Argentina</x:v>
      </x:c>
      <x:c r="M21" t="str">
        <x:v>90 minutos</x:v>
      </x:c>
      <x:c r="N21" t="n">
        <x:f>IF(AND(AND(ISNUMBER($F21),ISNUMBER($G21),$H21=$L21),IF($I21="90 minutos",IF($F21&gt;$G21,"A",IF($G21&gt;$F21,"B","E")),"E")=IF($M21="90 minutos",IF($J21&gt;$K21,"A",IF($K21&gt;$J21,"B","E")),"E")),Reglas!$B$2,0)</x:f>
        <x:v>0</x:v>
      </x:c>
      <x:c r="O21" t="n">
        <x:f>IF(AND(ISNUMBER($F21),ISNUMBER($G21),$H21=$L21),Reglas!$B$3,0)</x:f>
        <x:v>0</x:v>
      </x:c>
      <x:c r="P21" t="n">
        <x:f>IF(AND(AND(ISNUMBER($F21),ISNUMBER($G21),$H21=$L21),$I21=$M21),Reglas!$B$4,0)</x:f>
        <x:v>0</x:v>
      </x:c>
      <x:c r="Q21" t="n">
        <x:f>IF(AND(AND(AND(ISNUMBER($F21),ISNUMBER($G21),$H21=$L21),$I21=$M21,NOT(AND($I21="Penales",$F21&lt;&gt;$G21))),$F21=$J21,$G21=$K21),Reglas!$B$5,0)</x:f>
        <x:v>0</x:v>
      </x:c>
      <x:c r="R21" t="n">
        <x:f>IF(AND(AND(AND(ISNUMBER($F21),ISNUMBER($G21),$H21=$L21),$I21=$M21,NOT(AND($I21="Penales",$F21&lt;&gt;$G21))),$F21-$G21=$J21-$K21),Reglas!$B$6,0)</x:f>
        <x:v>0</x:v>
      </x:c>
      <x:c r="S21" t="n">
        <x:f>IF(AND(AND(AND(ISNUMBER($F21),ISNUMBER($G21),$H21=$L21),$I21=$M21,NOT(AND($I21="Penales",$F21&lt;&gt;$G21))),$F21=$J21),Reglas!$B$7,0)</x:f>
        <x:v>0</x:v>
      </x:c>
      <x:c r="T21" t="n">
        <x:f>IF(AND(AND(AND(ISNUMBER($F21),ISNUMBER($G21),$H21=$L21),$I21=$M21,NOT(AND($I21="Penales",$F21&lt;&gt;$G21))),$G21=$K21),Reglas!$B$8,0)</x:f>
        <x:v>0</x:v>
      </x:c>
      <x:c r="U21" t="n">
        <x:f>SUM(N21:T21)</x:f>
        <x:v>0</x:v>
      </x:c>
      <x:c r="V21" t="str">
        <x:f>IF($W21="Sin respuesta","Sin envio",IF($U21&gt;0,"OK","Sin puntos"))</x:f>
        <x:v>Sin puntos</x:v>
      </x:c>
      <x:c r="W21" t="str">
        <x:v>Google Forms</x:v>
      </x:c>
    </x:row>
    <x:row r="22" ht="15" hidden="0" customHeight="1">
      <x:c r="A22" t="str">
        <x:v>Semifinal</x:v>
      </x:c>
      <x:c r="B22" t="str">
        <x:v>SF1</x:v>
      </x:c>
      <x:c r="C22" t="str">
        <x:v>Jorge</x:v>
      </x:c>
      <x:c r="D22" t="str">
        <x:v>Francia</x:v>
      </x:c>
      <x:c r="E22" t="str">
        <x:v>España</x:v>
      </x:c>
      <x:c r="F22" t="n">
        <x:v>2</x:v>
      </x:c>
      <x:c r="G22" t="n">
        <x:v>3</x:v>
      </x:c>
      <x:c r="H22" t="str">
        <x:v>España</x:v>
      </x:c>
      <x:c r="I22" t="str">
        <x:v>Suplementario</x:v>
      </x:c>
      <x:c r="J22" t="n">
        <x:v>0</x:v>
      </x:c>
      <x:c r="K22" t="n">
        <x:v>2</x:v>
      </x:c>
      <x:c r="L22" t="str">
        <x:v>España</x:v>
      </x:c>
      <x:c r="M22" t="str">
        <x:v>90 minutos</x:v>
      </x:c>
      <x:c r="N22" t="n">
        <x:f>IF(AND(AND(ISNUMBER($F22),ISNUMBER($G22),$H22=$L22),IF($I22="90 minutos",IF($F22&gt;$G22,"A",IF($G22&gt;$F22,"B","E")),"E")=IF($M22="90 minutos",IF($J22&gt;$K22,"A",IF($K22&gt;$J22,"B","E")),"E")),Reglas!$B$2,0)</x:f>
        <x:v>0</x:v>
      </x:c>
      <x:c r="O22" t="n">
        <x:f>IF(AND(ISNUMBER($F22),ISNUMBER($G22),$H22=$L22),Reglas!$B$3,0)</x:f>
        <x:v>3</x:v>
      </x:c>
      <x:c r="P22" t="n">
        <x:f>IF(AND(AND(ISNUMBER($F22),ISNUMBER($G22),$H22=$L22),$I22=$M22),Reglas!$B$4,0)</x:f>
        <x:v>0</x:v>
      </x:c>
      <x:c r="Q22" t="n">
        <x:f>IF(AND(AND(AND(ISNUMBER($F22),ISNUMBER($G22),$H22=$L22),$I22=$M22,NOT(AND($I22="Penales",$F22&lt;&gt;$G22))),$F22=$J22,$G22=$K22),Reglas!$B$5,0)</x:f>
        <x:v>0</x:v>
      </x:c>
      <x:c r="R22" t="n">
        <x:f>IF(AND(AND(AND(ISNUMBER($F22),ISNUMBER($G22),$H22=$L22),$I22=$M22,NOT(AND($I22="Penales",$F22&lt;&gt;$G22))),$F22-$G22=$J22-$K22),Reglas!$B$6,0)</x:f>
        <x:v>0</x:v>
      </x:c>
      <x:c r="S22" t="n">
        <x:f>IF(AND(AND(AND(ISNUMBER($F22),ISNUMBER($G22),$H22=$L22),$I22=$M22,NOT(AND($I22="Penales",$F22&lt;&gt;$G22))),$F22=$J22),Reglas!$B$7,0)</x:f>
        <x:v>0</x:v>
      </x:c>
      <x:c r="T22" t="n">
        <x:f>IF(AND(AND(AND(ISNUMBER($F22),ISNUMBER($G22),$H22=$L22),$I22=$M22,NOT(AND($I22="Penales",$F22&lt;&gt;$G22))),$G22=$K22),Reglas!$B$8,0)</x:f>
        <x:v>0</x:v>
      </x:c>
      <x:c r="U22" t="n">
        <x:f>SUM(N22:T22)</x:f>
        <x:v>3</x:v>
      </x:c>
      <x:c r="V22" t="str">
        <x:f>IF($W22="Sin respuesta","Sin envio",IF($U22&gt;0,"OK","Sin puntos"))</x:f>
        <x:v>OK</x:v>
      </x:c>
      <x:c r="W22" t="str">
        <x:v>Google Forms</x:v>
      </x:c>
    </x:row>
    <x:row r="23" ht="15" hidden="0" customHeight="1">
      <x:c r="A23" t="str">
        <x:v>Semifinal</x:v>
      </x:c>
      <x:c r="B23" t="str">
        <x:v>SF2</x:v>
      </x:c>
      <x:c r="C23" t="str">
        <x:v>Jorge</x:v>
      </x:c>
      <x:c r="D23" t="str">
        <x:v>Inglaterra</x:v>
      </x:c>
      <x:c r="E23" t="str">
        <x:v>Argentina</x:v>
      </x:c>
      <x:c r="F23" t="n">
        <x:v>1</x:v>
      </x:c>
      <x:c r="G23" t="n">
        <x:v>2</x:v>
      </x:c>
      <x:c r="H23" t="str">
        <x:v>Argentina</x:v>
      </x:c>
      <x:c r="I23" t="str">
        <x:v>90 minutos</x:v>
      </x:c>
      <x:c r="J23" t="n">
        <x:v>1</x:v>
      </x:c>
      <x:c r="K23" t="n">
        <x:v>2</x:v>
      </x:c>
      <x:c r="L23" t="str">
        <x:v>Argentina</x:v>
      </x:c>
      <x:c r="M23" t="str">
        <x:v>90 minutos</x:v>
      </x:c>
      <x:c r="N23" t="n">
        <x:f>IF(AND(AND(ISNUMBER($F23),ISNUMBER($G23),$H23=$L23),IF($I23="90 minutos",IF($F23&gt;$G23,"A",IF($G23&gt;$F23,"B","E")),"E")=IF($M23="90 minutos",IF($J23&gt;$K23,"A",IF($K23&gt;$J23,"B","E")),"E")),Reglas!$B$2,0)</x:f>
        <x:v>5</x:v>
      </x:c>
      <x:c r="O23" t="n">
        <x:f>IF(AND(ISNUMBER($F23),ISNUMBER($G23),$H23=$L23),Reglas!$B$3,0)</x:f>
        <x:v>3</x:v>
      </x:c>
      <x:c r="P23" t="n">
        <x:f>IF(AND(AND(ISNUMBER($F23),ISNUMBER($G23),$H23=$L23),$I23=$M23),Reglas!$B$4,0)</x:f>
        <x:v>2</x:v>
      </x:c>
      <x:c r="Q23" t="n">
        <x:f>IF(AND(AND(AND(ISNUMBER($F23),ISNUMBER($G23),$H23=$L23),$I23=$M23,NOT(AND($I23="Penales",$F23&lt;&gt;$G23))),$F23=$J23,$G23=$K23),Reglas!$B$5,0)</x:f>
        <x:v>4</x:v>
      </x:c>
      <x:c r="R23" t="n">
        <x:f>IF(AND(AND(AND(ISNUMBER($F23),ISNUMBER($G23),$H23=$L23),$I23=$M23,NOT(AND($I23="Penales",$F23&lt;&gt;$G23))),$F23-$G23=$J23-$K23),Reglas!$B$6,0)</x:f>
        <x:v>2</x:v>
      </x:c>
      <x:c r="S23" t="n">
        <x:f>IF(AND(AND(AND(ISNUMBER($F23),ISNUMBER($G23),$H23=$L23),$I23=$M23,NOT(AND($I23="Penales",$F23&lt;&gt;$G23))),$F23=$J23),Reglas!$B$7,0)</x:f>
        <x:v>1</x:v>
      </x:c>
      <x:c r="T23" t="n">
        <x:f>IF(AND(AND(AND(ISNUMBER($F23),ISNUMBER($G23),$H23=$L23),$I23=$M23,NOT(AND($I23="Penales",$F23&lt;&gt;$G23))),$G23=$K23),Reglas!$B$8,0)</x:f>
        <x:v>1</x:v>
      </x:c>
      <x:c r="U23" t="n">
        <x:f>SUM(N23:T23)</x:f>
        <x:v>18</x:v>
      </x:c>
      <x:c r="V23" t="str">
        <x:f>IF($W23="Sin respuesta","Sin envio",IF($U23&gt;0,"OK","Sin puntos"))</x:f>
        <x:v>OK</x:v>
      </x:c>
      <x:c r="W23" t="str">
        <x:v>Google Forms</x:v>
      </x:c>
    </x:row>
    <x:row r="24" ht="15" hidden="0" customHeight="1">
      <x:c r="A24" t="str">
        <x:v>Semifinal</x:v>
      </x:c>
      <x:c r="B24" t="str">
        <x:v>SF1</x:v>
      </x:c>
      <x:c r="C24" t="str">
        <x:v>Daniel</x:v>
      </x:c>
      <x:c r="D24" t="str">
        <x:v>Francia</x:v>
      </x:c>
      <x:c r="E24" t="str">
        <x:v>España</x:v>
      </x:c>
      <x:c r="F24"/>
      <x:c r="G24"/>
      <x:c r="H24" t="str">
        <x:v>Sin envio</x:v>
      </x:c>
      <x:c r="I24" t="str">
        <x:v>Sin envio</x:v>
      </x:c>
      <x:c r="J24" t="n">
        <x:v>0</x:v>
      </x:c>
      <x:c r="K24" t="n">
        <x:v>2</x:v>
      </x:c>
      <x:c r="L24" t="str">
        <x:v>España</x:v>
      </x:c>
      <x:c r="M24" t="str">
        <x:v>90 minutos</x:v>
      </x:c>
      <x:c r="N24" t="n">
        <x:f>IF(AND(AND(ISNUMBER($F24),ISNUMBER($G24),$H24=$L24),IF($I24="90 minutos",IF($F24&gt;$G24,"A",IF($G24&gt;$F24,"B","E")),"E")=IF($M24="90 minutos",IF($J24&gt;$K24,"A",IF($K24&gt;$J24,"B","E")),"E")),Reglas!$B$2,0)</x:f>
        <x:v>0</x:v>
      </x:c>
      <x:c r="O24" t="n">
        <x:f>IF(AND(ISNUMBER($F24),ISNUMBER($G24),$H24=$L24),Reglas!$B$3,0)</x:f>
        <x:v>0</x:v>
      </x:c>
      <x:c r="P24" t="n">
        <x:f>IF(AND(AND(ISNUMBER($F24),ISNUMBER($G24),$H24=$L24),$I24=$M24),Reglas!$B$4,0)</x:f>
        <x:v>0</x:v>
      </x:c>
      <x:c r="Q24" t="n">
        <x:f>IF(AND(AND(AND(ISNUMBER($F24),ISNUMBER($G24),$H24=$L24),$I24=$M24,NOT(AND($I24="Penales",$F24&lt;&gt;$G24))),$F24=$J24,$G24=$K24),Reglas!$B$5,0)</x:f>
        <x:v>0</x:v>
      </x:c>
      <x:c r="R24" t="n">
        <x:f>IF(AND(AND(AND(ISNUMBER($F24),ISNUMBER($G24),$H24=$L24),$I24=$M24,NOT(AND($I24="Penales",$F24&lt;&gt;$G24))),$F24-$G24=$J24-$K24),Reglas!$B$6,0)</x:f>
        <x:v>0</x:v>
      </x:c>
      <x:c r="S24" t="n">
        <x:f>IF(AND(AND(AND(ISNUMBER($F24),ISNUMBER($G24),$H24=$L24),$I24=$M24,NOT(AND($I24="Penales",$F24&lt;&gt;$G24))),$F24=$J24),Reglas!$B$7,0)</x:f>
        <x:v>0</x:v>
      </x:c>
      <x:c r="T24" t="n">
        <x:f>IF(AND(AND(AND(ISNUMBER($F24),ISNUMBER($G24),$H24=$L24),$I24=$M24,NOT(AND($I24="Penales",$F24&lt;&gt;$G24))),$G24=$K24),Reglas!$B$8,0)</x:f>
        <x:v>0</x:v>
      </x:c>
      <x:c r="U24" t="n">
        <x:f>SUM(N24:T24)</x:f>
        <x:v>0</x:v>
      </x:c>
      <x:c r="V24" t="str">
        <x:f>IF($W24="Sin respuesta","Sin envio",IF($U24&gt;0,"OK","Sin puntos"))</x:f>
        <x:v>Sin envio</x:v>
      </x:c>
      <x:c r="W24" t="str">
        <x:v>Sin respuesta</x:v>
      </x:c>
    </x:row>
    <x:row r="25" ht="15" hidden="0" customHeight="1">
      <x:c r="A25" t="str">
        <x:v>Semifinal</x:v>
      </x:c>
      <x:c r="B25" t="str">
        <x:v>SF2</x:v>
      </x:c>
      <x:c r="C25" t="str">
        <x:v>Daniel</x:v>
      </x:c>
      <x:c r="D25" t="str">
        <x:v>Inglaterra</x:v>
      </x:c>
      <x:c r="E25" t="str">
        <x:v>Argentina</x:v>
      </x:c>
      <x:c r="F25"/>
      <x:c r="G25"/>
      <x:c r="H25" t="str">
        <x:v>Sin envio</x:v>
      </x:c>
      <x:c r="I25" t="str">
        <x:v>Sin envio</x:v>
      </x:c>
      <x:c r="J25" t="n">
        <x:v>1</x:v>
      </x:c>
      <x:c r="K25" t="n">
        <x:v>2</x:v>
      </x:c>
      <x:c r="L25" t="str">
        <x:v>Argentina</x:v>
      </x:c>
      <x:c r="M25" t="str">
        <x:v>90 minutos</x:v>
      </x:c>
      <x:c r="N25" t="n">
        <x:f>IF(AND(AND(ISNUMBER($F25),ISNUMBER($G25),$H25=$L25),IF($I25="90 minutos",IF($F25&gt;$G25,"A",IF($G25&gt;$F25,"B","E")),"E")=IF($M25="90 minutos",IF($J25&gt;$K25,"A",IF($K25&gt;$J25,"B","E")),"E")),Reglas!$B$2,0)</x:f>
        <x:v>0</x:v>
      </x:c>
      <x:c r="O25" t="n">
        <x:f>IF(AND(ISNUMBER($F25),ISNUMBER($G25),$H25=$L25),Reglas!$B$3,0)</x:f>
        <x:v>0</x:v>
      </x:c>
      <x:c r="P25" t="n">
        <x:f>IF(AND(AND(ISNUMBER($F25),ISNUMBER($G25),$H25=$L25),$I25=$M25),Reglas!$B$4,0)</x:f>
        <x:v>0</x:v>
      </x:c>
      <x:c r="Q25" t="n">
        <x:f>IF(AND(AND(AND(ISNUMBER($F25),ISNUMBER($G25),$H25=$L25),$I25=$M25,NOT(AND($I25="Penales",$F25&lt;&gt;$G25))),$F25=$J25,$G25=$K25),Reglas!$B$5,0)</x:f>
        <x:v>0</x:v>
      </x:c>
      <x:c r="R25" t="n">
        <x:f>IF(AND(AND(AND(ISNUMBER($F25),ISNUMBER($G25),$H25=$L25),$I25=$M25,NOT(AND($I25="Penales",$F25&lt;&gt;$G25))),$F25-$G25=$J25-$K25),Reglas!$B$6,0)</x:f>
        <x:v>0</x:v>
      </x:c>
      <x:c r="S25" t="n">
        <x:f>IF(AND(AND(AND(ISNUMBER($F25),ISNUMBER($G25),$H25=$L25),$I25=$M25,NOT(AND($I25="Penales",$F25&lt;&gt;$G25))),$F25=$J25),Reglas!$B$7,0)</x:f>
        <x:v>0</x:v>
      </x:c>
      <x:c r="T25" t="n">
        <x:f>IF(AND(AND(AND(ISNUMBER($F25),ISNUMBER($G25),$H25=$L25),$I25=$M25,NOT(AND($I25="Penales",$F25&lt;&gt;$G25))),$G25=$K25),Reglas!$B$8,0)</x:f>
        <x:v>0</x:v>
      </x:c>
      <x:c r="U25" t="n">
        <x:f>SUM(N25:T25)</x:f>
        <x:v>0</x:v>
      </x:c>
      <x:c r="V25" t="str">
        <x:f>IF($W25="Sin respuesta","Sin envio",IF($U25&gt;0,"OK","Sin puntos"))</x:f>
        <x:v>Sin envio</x:v>
      </x:c>
      <x:c r="W25" t="str">
        <x:v>Sin respuesta</x:v>
      </x:c>
    </x:row>
    <x:row r="26" ht="15" hidden="0" customHeight="1">
      <x:c r="A26" t="str">
        <x:v>Semifinal</x:v>
      </x:c>
      <x:c r="B26" t="str">
        <x:v>SF1</x:v>
      </x:c>
      <x:c r="C26" t="str">
        <x:v>Arthur</x:v>
      </x:c>
      <x:c r="D26" t="str">
        <x:v>Francia</x:v>
      </x:c>
      <x:c r="E26" t="str">
        <x:v>España</x:v>
      </x:c>
      <x:c r="F26" t="n">
        <x:v>3</x:v>
      </x:c>
      <x:c r="G26" t="n">
        <x:v>2</x:v>
      </x:c>
      <x:c r="H26" t="str">
        <x:v>Francia</x:v>
      </x:c>
      <x:c r="I26" t="str">
        <x:v>Suplementario</x:v>
      </x:c>
      <x:c r="J26" t="n">
        <x:v>0</x:v>
      </x:c>
      <x:c r="K26" t="n">
        <x:v>2</x:v>
      </x:c>
      <x:c r="L26" t="str">
        <x:v>España</x:v>
      </x:c>
      <x:c r="M26" t="str">
        <x:v>90 minutos</x:v>
      </x:c>
      <x:c r="N26" t="n">
        <x:f>IF(AND(AND(ISNUMBER($F26),ISNUMBER($G26),$H26=$L26),IF($I26="90 minutos",IF($F26&gt;$G26,"A",IF($G26&gt;$F26,"B","E")),"E")=IF($M26="90 minutos",IF($J26&gt;$K26,"A",IF($K26&gt;$J26,"B","E")),"E")),Reglas!$B$2,0)</x:f>
        <x:v>0</x:v>
      </x:c>
      <x:c r="O26" t="n">
        <x:f>IF(AND(ISNUMBER($F26),ISNUMBER($G26),$H26=$L26),Reglas!$B$3,0)</x:f>
        <x:v>0</x:v>
      </x:c>
      <x:c r="P26" t="n">
        <x:f>IF(AND(AND(ISNUMBER($F26),ISNUMBER($G26),$H26=$L26),$I26=$M26),Reglas!$B$4,0)</x:f>
        <x:v>0</x:v>
      </x:c>
      <x:c r="Q26" t="n">
        <x:f>IF(AND(AND(AND(ISNUMBER($F26),ISNUMBER($G26),$H26=$L26),$I26=$M26,NOT(AND($I26="Penales",$F26&lt;&gt;$G26))),$F26=$J26,$G26=$K26),Reglas!$B$5,0)</x:f>
        <x:v>0</x:v>
      </x:c>
      <x:c r="R26" t="n">
        <x:f>IF(AND(AND(AND(ISNUMBER($F26),ISNUMBER($G26),$H26=$L26),$I26=$M26,NOT(AND($I26="Penales",$F26&lt;&gt;$G26))),$F26-$G26=$J26-$K26),Reglas!$B$6,0)</x:f>
        <x:v>0</x:v>
      </x:c>
      <x:c r="S26" t="n">
        <x:f>IF(AND(AND(AND(ISNUMBER($F26),ISNUMBER($G26),$H26=$L26),$I26=$M26,NOT(AND($I26="Penales",$F26&lt;&gt;$G26))),$F26=$J26),Reglas!$B$7,0)</x:f>
        <x:v>0</x:v>
      </x:c>
      <x:c r="T26" t="n">
        <x:f>IF(AND(AND(AND(ISNUMBER($F26),ISNUMBER($G26),$H26=$L26),$I26=$M26,NOT(AND($I26="Penales",$F26&lt;&gt;$G26))),$G26=$K26),Reglas!$B$8,0)</x:f>
        <x:v>0</x:v>
      </x:c>
      <x:c r="U26" t="n">
        <x:f>SUM(N26:T26)</x:f>
        <x:v>0</x:v>
      </x:c>
      <x:c r="V26" t="str">
        <x:f>IF($W26="Sin respuesta","Sin envio",IF($U26&gt;0,"OK","Sin puntos"))</x:f>
        <x:v>Sin puntos</x:v>
      </x:c>
      <x:c r="W26" t="str">
        <x:v>Google Forms</x:v>
      </x:c>
    </x:row>
    <x:row r="27" ht="15" hidden="0" customHeight="1">
      <x:c r="A27" t="str">
        <x:v>Semifinal</x:v>
      </x:c>
      <x:c r="B27" t="str">
        <x:v>SF2</x:v>
      </x:c>
      <x:c r="C27" t="str">
        <x:v>Arthur</x:v>
      </x:c>
      <x:c r="D27" t="str">
        <x:v>Inglaterra</x:v>
      </x:c>
      <x:c r="E27" t="str">
        <x:v>Argentina</x:v>
      </x:c>
      <x:c r="F27" t="n">
        <x:v>2</x:v>
      </x:c>
      <x:c r="G27" t="n">
        <x:v>1</x:v>
      </x:c>
      <x:c r="H27" t="str">
        <x:v>Inglaterra</x:v>
      </x:c>
      <x:c r="I27" t="str">
        <x:v>90 minutos</x:v>
      </x:c>
      <x:c r="J27" t="n">
        <x:v>1</x:v>
      </x:c>
      <x:c r="K27" t="n">
        <x:v>2</x:v>
      </x:c>
      <x:c r="L27" t="str">
        <x:v>Argentina</x:v>
      </x:c>
      <x:c r="M27" t="str">
        <x:v>90 minutos</x:v>
      </x:c>
      <x:c r="N27" t="n">
        <x:f>IF(AND(AND(ISNUMBER($F27),ISNUMBER($G27),$H27=$L27),IF($I27="90 minutos",IF($F27&gt;$G27,"A",IF($G27&gt;$F27,"B","E")),"E")=IF($M27="90 minutos",IF($J27&gt;$K27,"A",IF($K27&gt;$J27,"B","E")),"E")),Reglas!$B$2,0)</x:f>
        <x:v>0</x:v>
      </x:c>
      <x:c r="O27" t="n">
        <x:f>IF(AND(ISNUMBER($F27),ISNUMBER($G27),$H27=$L27),Reglas!$B$3,0)</x:f>
        <x:v>0</x:v>
      </x:c>
      <x:c r="P27" t="n">
        <x:f>IF(AND(AND(ISNUMBER($F27),ISNUMBER($G27),$H27=$L27),$I27=$M27),Reglas!$B$4,0)</x:f>
        <x:v>0</x:v>
      </x:c>
      <x:c r="Q27" t="n">
        <x:f>IF(AND(AND(AND(ISNUMBER($F27),ISNUMBER($G27),$H27=$L27),$I27=$M27,NOT(AND($I27="Penales",$F27&lt;&gt;$G27))),$F27=$J27,$G27=$K27),Reglas!$B$5,0)</x:f>
        <x:v>0</x:v>
      </x:c>
      <x:c r="R27" t="n">
        <x:f>IF(AND(AND(AND(ISNUMBER($F27),ISNUMBER($G27),$H27=$L27),$I27=$M27,NOT(AND($I27="Penales",$F27&lt;&gt;$G27))),$F27-$G27=$J27-$K27),Reglas!$B$6,0)</x:f>
        <x:v>0</x:v>
      </x:c>
      <x:c r="S27" t="n">
        <x:f>IF(AND(AND(AND(ISNUMBER($F27),ISNUMBER($G27),$H27=$L27),$I27=$M27,NOT(AND($I27="Penales",$F27&lt;&gt;$G27))),$F27=$J27),Reglas!$B$7,0)</x:f>
        <x:v>0</x:v>
      </x:c>
      <x:c r="T27" t="n">
        <x:f>IF(AND(AND(AND(ISNUMBER($F27),ISNUMBER($G27),$H27=$L27),$I27=$M27,NOT(AND($I27="Penales",$F27&lt;&gt;$G27))),$G27=$K27),Reglas!$B$8,0)</x:f>
        <x:v>0</x:v>
      </x:c>
      <x:c r="U27" t="n">
        <x:f>SUM(N27:T27)</x:f>
        <x:v>0</x:v>
      </x:c>
      <x:c r="V27" t="str">
        <x:f>IF($W27="Sin respuesta","Sin envio",IF($U27&gt;0,"OK","Sin puntos"))</x:f>
        <x:v>Sin puntos</x:v>
      </x:c>
      <x:c r="W27" t="str">
        <x:v>Google Forms</x:v>
      </x:c>
    </x:row>
    <x:row r="28" ht="15" hidden="0" customHeight="1">
      <x:c r="A28" t="str">
        <x:v>Semifinal</x:v>
      </x:c>
      <x:c r="B28" t="str">
        <x:v>SF1</x:v>
      </x:c>
      <x:c r="C28" t="str">
        <x:v>José Luis</x:v>
      </x:c>
      <x:c r="D28" t="str">
        <x:v>Francia</x:v>
      </x:c>
      <x:c r="E28" t="str">
        <x:v>España</x:v>
      </x:c>
      <x:c r="F28"/>
      <x:c r="G28"/>
      <x:c r="H28" t="str">
        <x:v>Sin envio</x:v>
      </x:c>
      <x:c r="I28" t="str">
        <x:v>Sin envio</x:v>
      </x:c>
      <x:c r="J28" t="n">
        <x:v>0</x:v>
      </x:c>
      <x:c r="K28" t="n">
        <x:v>2</x:v>
      </x:c>
      <x:c r="L28" t="str">
        <x:v>España</x:v>
      </x:c>
      <x:c r="M28" t="str">
        <x:v>90 minutos</x:v>
      </x:c>
      <x:c r="N28" t="n">
        <x:f>IF(AND(AND(ISNUMBER($F28),ISNUMBER($G28),$H28=$L28),IF($I28="90 minutos",IF($F28&gt;$G28,"A",IF($G28&gt;$F28,"B","E")),"E")=IF($M28="90 minutos",IF($J28&gt;$K28,"A",IF($K28&gt;$J28,"B","E")),"E")),Reglas!$B$2,0)</x:f>
        <x:v>0</x:v>
      </x:c>
      <x:c r="O28" t="n">
        <x:f>IF(AND(ISNUMBER($F28),ISNUMBER($G28),$H28=$L28),Reglas!$B$3,0)</x:f>
        <x:v>0</x:v>
      </x:c>
      <x:c r="P28" t="n">
        <x:f>IF(AND(AND(ISNUMBER($F28),ISNUMBER($G28),$H28=$L28),$I28=$M28),Reglas!$B$4,0)</x:f>
        <x:v>0</x:v>
      </x:c>
      <x:c r="Q28" t="n">
        <x:f>IF(AND(AND(AND(ISNUMBER($F28),ISNUMBER($G28),$H28=$L28),$I28=$M28,NOT(AND($I28="Penales",$F28&lt;&gt;$G28))),$F28=$J28,$G28=$K28),Reglas!$B$5,0)</x:f>
        <x:v>0</x:v>
      </x:c>
      <x:c r="R28" t="n">
        <x:f>IF(AND(AND(AND(ISNUMBER($F28),ISNUMBER($G28),$H28=$L28),$I28=$M28,NOT(AND($I28="Penales",$F28&lt;&gt;$G28))),$F28-$G28=$J28-$K28),Reglas!$B$6,0)</x:f>
        <x:v>0</x:v>
      </x:c>
      <x:c r="S28" t="n">
        <x:f>IF(AND(AND(AND(ISNUMBER($F28),ISNUMBER($G28),$H28=$L28),$I28=$M28,NOT(AND($I28="Penales",$F28&lt;&gt;$G28))),$F28=$J28),Reglas!$B$7,0)</x:f>
        <x:v>0</x:v>
      </x:c>
      <x:c r="T28" t="n">
        <x:f>IF(AND(AND(AND(ISNUMBER($F28),ISNUMBER($G28),$H28=$L28),$I28=$M28,NOT(AND($I28="Penales",$F28&lt;&gt;$G28))),$G28=$K28),Reglas!$B$8,0)</x:f>
        <x:v>0</x:v>
      </x:c>
      <x:c r="U28" t="n">
        <x:f>SUM(N28:T28)</x:f>
        <x:v>0</x:v>
      </x:c>
      <x:c r="V28" t="str">
        <x:f>IF($W28="Sin respuesta","Sin envio",IF($U28&gt;0,"OK","Sin puntos"))</x:f>
        <x:v>Sin envio</x:v>
      </x:c>
      <x:c r="W28" t="str">
        <x:v>Sin respuesta</x:v>
      </x:c>
    </x:row>
    <x:row r="29" ht="15" hidden="0" customHeight="1">
      <x:c r="A29" t="str">
        <x:v>Semifinal</x:v>
      </x:c>
      <x:c r="B29" t="str">
        <x:v>SF2</x:v>
      </x:c>
      <x:c r="C29" t="str">
        <x:v>José Luis</x:v>
      </x:c>
      <x:c r="D29" t="str">
        <x:v>Inglaterra</x:v>
      </x:c>
      <x:c r="E29" t="str">
        <x:v>Argentina</x:v>
      </x:c>
      <x:c r="F29"/>
      <x:c r="G29"/>
      <x:c r="H29" t="str">
        <x:v>Sin envio</x:v>
      </x:c>
      <x:c r="I29" t="str">
        <x:v>Sin envio</x:v>
      </x:c>
      <x:c r="J29" t="n">
        <x:v>1</x:v>
      </x:c>
      <x:c r="K29" t="n">
        <x:v>2</x:v>
      </x:c>
      <x:c r="L29" t="str">
        <x:v>Argentina</x:v>
      </x:c>
      <x:c r="M29" t="str">
        <x:v>90 minutos</x:v>
      </x:c>
      <x:c r="N29" t="n">
        <x:f>IF(AND(AND(ISNUMBER($F29),ISNUMBER($G29),$H29=$L29),IF($I29="90 minutos",IF($F29&gt;$G29,"A",IF($G29&gt;$F29,"B","E")),"E")=IF($M29="90 minutos",IF($J29&gt;$K29,"A",IF($K29&gt;$J29,"B","E")),"E")),Reglas!$B$2,0)</x:f>
        <x:v>0</x:v>
      </x:c>
      <x:c r="O29" t="n">
        <x:f>IF(AND(ISNUMBER($F29),ISNUMBER($G29),$H29=$L29),Reglas!$B$3,0)</x:f>
        <x:v>0</x:v>
      </x:c>
      <x:c r="P29" t="n">
        <x:f>IF(AND(AND(ISNUMBER($F29),ISNUMBER($G29),$H29=$L29),$I29=$M29),Reglas!$B$4,0)</x:f>
        <x:v>0</x:v>
      </x:c>
      <x:c r="Q29" t="n">
        <x:f>IF(AND(AND(AND(ISNUMBER($F29),ISNUMBER($G29),$H29=$L29),$I29=$M29,NOT(AND($I29="Penales",$F29&lt;&gt;$G29))),$F29=$J29,$G29=$K29),Reglas!$B$5,0)</x:f>
        <x:v>0</x:v>
      </x:c>
      <x:c r="R29" t="n">
        <x:f>IF(AND(AND(AND(ISNUMBER($F29),ISNUMBER($G29),$H29=$L29),$I29=$M29,NOT(AND($I29="Penales",$F29&lt;&gt;$G29))),$F29-$G29=$J29-$K29),Reglas!$B$6,0)</x:f>
        <x:v>0</x:v>
      </x:c>
      <x:c r="S29" t="n">
        <x:f>IF(AND(AND(AND(ISNUMBER($F29),ISNUMBER($G29),$H29=$L29),$I29=$M29,NOT(AND($I29="Penales",$F29&lt;&gt;$G29))),$F29=$J29),Reglas!$B$7,0)</x:f>
        <x:v>0</x:v>
      </x:c>
      <x:c r="T29" t="n">
        <x:f>IF(AND(AND(AND(ISNUMBER($F29),ISNUMBER($G29),$H29=$L29),$I29=$M29,NOT(AND($I29="Penales",$F29&lt;&gt;$G29))),$G29=$K29),Reglas!$B$8,0)</x:f>
        <x:v>0</x:v>
      </x:c>
      <x:c r="U29" t="n">
        <x:f>SUM(N29:T29)</x:f>
        <x:v>0</x:v>
      </x:c>
      <x:c r="V29" t="str">
        <x:f>IF($W29="Sin respuesta","Sin envio",IF($U29&gt;0,"OK","Sin puntos"))</x:f>
        <x:v>Sin envio</x:v>
      </x:c>
      <x:c r="W29" t="str">
        <x:v>Sin respuesta</x:v>
      </x:c>
    </x:row>
    <x:row r="30" ht="15" hidden="0" customHeight="1">
      <x:c r="A30" t="str">
        <x:v>Semifinal</x:v>
      </x:c>
      <x:c r="B30" t="str">
        <x:v>SF1</x:v>
      </x:c>
      <x:c r="C30" t="str">
        <x:v>Marcelo</x:v>
      </x:c>
      <x:c r="D30" t="str">
        <x:v>Francia</x:v>
      </x:c>
      <x:c r="E30" t="str">
        <x:v>España</x:v>
      </x:c>
      <x:c r="F30"/>
      <x:c r="G30"/>
      <x:c r="H30" t="str">
        <x:v>Sin envio</x:v>
      </x:c>
      <x:c r="I30" t="str">
        <x:v>Sin envio</x:v>
      </x:c>
      <x:c r="J30" t="n">
        <x:v>0</x:v>
      </x:c>
      <x:c r="K30" t="n">
        <x:v>2</x:v>
      </x:c>
      <x:c r="L30" t="str">
        <x:v>España</x:v>
      </x:c>
      <x:c r="M30" t="str">
        <x:v>90 minutos</x:v>
      </x:c>
      <x:c r="N30" t="n">
        <x:f>IF(AND(AND(ISNUMBER($F30),ISNUMBER($G30),$H30=$L30),IF($I30="90 minutos",IF($F30&gt;$G30,"A",IF($G30&gt;$F30,"B","E")),"E")=IF($M30="90 minutos",IF($J30&gt;$K30,"A",IF($K30&gt;$J30,"B","E")),"E")),Reglas!$B$2,0)</x:f>
        <x:v>0</x:v>
      </x:c>
      <x:c r="O30" t="n">
        <x:f>IF(AND(ISNUMBER($F30),ISNUMBER($G30),$H30=$L30),Reglas!$B$3,0)</x:f>
        <x:v>0</x:v>
      </x:c>
      <x:c r="P30" t="n">
        <x:f>IF(AND(AND(ISNUMBER($F30),ISNUMBER($G30),$H30=$L30),$I30=$M30),Reglas!$B$4,0)</x:f>
        <x:v>0</x:v>
      </x:c>
      <x:c r="Q30" t="n">
        <x:f>IF(AND(AND(AND(ISNUMBER($F30),ISNUMBER($G30),$H30=$L30),$I30=$M30,NOT(AND($I30="Penales",$F30&lt;&gt;$G30))),$F30=$J30,$G30=$K30),Reglas!$B$5,0)</x:f>
        <x:v>0</x:v>
      </x:c>
      <x:c r="R30" t="n">
        <x:f>IF(AND(AND(AND(ISNUMBER($F30),ISNUMBER($G30),$H30=$L30),$I30=$M30,NOT(AND($I30="Penales",$F30&lt;&gt;$G30))),$F30-$G30=$J30-$K30),Reglas!$B$6,0)</x:f>
        <x:v>0</x:v>
      </x:c>
      <x:c r="S30" t="n">
        <x:f>IF(AND(AND(AND(ISNUMBER($F30),ISNUMBER($G30),$H30=$L30),$I30=$M30,NOT(AND($I30="Penales",$F30&lt;&gt;$G30))),$F30=$J30),Reglas!$B$7,0)</x:f>
        <x:v>0</x:v>
      </x:c>
      <x:c r="T30" t="n">
        <x:f>IF(AND(AND(AND(ISNUMBER($F30),ISNUMBER($G30),$H30=$L30),$I30=$M30,NOT(AND($I30="Penales",$F30&lt;&gt;$G30))),$G30=$K30),Reglas!$B$8,0)</x:f>
        <x:v>0</x:v>
      </x:c>
      <x:c r="U30" t="n">
        <x:f>SUM(N30:T30)</x:f>
        <x:v>0</x:v>
      </x:c>
      <x:c r="V30" t="str">
        <x:f>IF($W30="Sin respuesta","Sin envio",IF($U30&gt;0,"OK","Sin puntos"))</x:f>
        <x:v>Sin envio</x:v>
      </x:c>
      <x:c r="W30" t="str">
        <x:v>Sin respuesta</x:v>
      </x:c>
    </x:row>
    <x:row r="31" ht="15" hidden="0" customHeight="1">
      <x:c r="A31" t="str">
        <x:v>Semifinal</x:v>
      </x:c>
      <x:c r="B31" t="str">
        <x:v>SF2</x:v>
      </x:c>
      <x:c r="C31" t="str">
        <x:v>Marcelo</x:v>
      </x:c>
      <x:c r="D31" t="str">
        <x:v>Inglaterra</x:v>
      </x:c>
      <x:c r="E31" t="str">
        <x:v>Argentina</x:v>
      </x:c>
      <x:c r="F31"/>
      <x:c r="G31"/>
      <x:c r="H31" t="str">
        <x:v>Sin envio</x:v>
      </x:c>
      <x:c r="I31" t="str">
        <x:v>Sin envio</x:v>
      </x:c>
      <x:c r="J31" t="n">
        <x:v>1</x:v>
      </x:c>
      <x:c r="K31" t="n">
        <x:v>2</x:v>
      </x:c>
      <x:c r="L31" t="str">
        <x:v>Argentina</x:v>
      </x:c>
      <x:c r="M31" t="str">
        <x:v>90 minutos</x:v>
      </x:c>
      <x:c r="N31" t="n">
        <x:f>IF(AND(AND(ISNUMBER($F31),ISNUMBER($G31),$H31=$L31),IF($I31="90 minutos",IF($F31&gt;$G31,"A",IF($G31&gt;$F31,"B","E")),"E")=IF($M31="90 minutos",IF($J31&gt;$K31,"A",IF($K31&gt;$J31,"B","E")),"E")),Reglas!$B$2,0)</x:f>
        <x:v>0</x:v>
      </x:c>
      <x:c r="O31" t="n">
        <x:f>IF(AND(ISNUMBER($F31),ISNUMBER($G31),$H31=$L31),Reglas!$B$3,0)</x:f>
        <x:v>0</x:v>
      </x:c>
      <x:c r="P31" t="n">
        <x:f>IF(AND(AND(ISNUMBER($F31),ISNUMBER($G31),$H31=$L31),$I31=$M31),Reglas!$B$4,0)</x:f>
        <x:v>0</x:v>
      </x:c>
      <x:c r="Q31" t="n">
        <x:f>IF(AND(AND(AND(ISNUMBER($F31),ISNUMBER($G31),$H31=$L31),$I31=$M31,NOT(AND($I31="Penales",$F31&lt;&gt;$G31))),$F31=$J31,$G31=$K31),Reglas!$B$5,0)</x:f>
        <x:v>0</x:v>
      </x:c>
      <x:c r="R31" t="n">
        <x:f>IF(AND(AND(AND(ISNUMBER($F31),ISNUMBER($G31),$H31=$L31),$I31=$M31,NOT(AND($I31="Penales",$F31&lt;&gt;$G31))),$F31-$G31=$J31-$K31),Reglas!$B$6,0)</x:f>
        <x:v>0</x:v>
      </x:c>
      <x:c r="S31" t="n">
        <x:f>IF(AND(AND(AND(ISNUMBER($F31),ISNUMBER($G31),$H31=$L31),$I31=$M31,NOT(AND($I31="Penales",$F31&lt;&gt;$G31))),$F31=$J31),Reglas!$B$7,0)</x:f>
        <x:v>0</x:v>
      </x:c>
      <x:c r="T31" t="n">
        <x:f>IF(AND(AND(AND(ISNUMBER($F31),ISNUMBER($G31),$H31=$L31),$I31=$M31,NOT(AND($I31="Penales",$F31&lt;&gt;$G31))),$G31=$K31),Reglas!$B$8,0)</x:f>
        <x:v>0</x:v>
      </x:c>
      <x:c r="U31" t="n">
        <x:f>SUM(N31:T31)</x:f>
        <x:v>0</x:v>
      </x:c>
      <x:c r="V31" t="str">
        <x:f>IF($W31="Sin respuesta","Sin envio",IF($U31&gt;0,"OK","Sin puntos"))</x:f>
        <x:v>Sin envio</x:v>
      </x:c>
      <x:c r="W31" t="str">
        <x:v>Sin respuesta</x:v>
      </x:c>
    </x:row>
    <x:row r="32" ht="15" hidden="0" customHeight="1">
      <x:c r="A32" t="str">
        <x:v>Semifinal</x:v>
      </x:c>
      <x:c r="B32" t="str">
        <x:v>SF1</x:v>
      </x:c>
      <x:c r="C32" t="str">
        <x:v>Anny</x:v>
      </x:c>
      <x:c r="D32" t="str">
        <x:v>Francia</x:v>
      </x:c>
      <x:c r="E32" t="str">
        <x:v>España</x:v>
      </x:c>
      <x:c r="F32" t="n">
        <x:v>3</x:v>
      </x:c>
      <x:c r="G32" t="n">
        <x:v>2</x:v>
      </x:c>
      <x:c r="H32" t="str">
        <x:v>Francia</x:v>
      </x:c>
      <x:c r="I32" t="str">
        <x:v>90 minutos</x:v>
      </x:c>
      <x:c r="J32" t="n">
        <x:v>0</x:v>
      </x:c>
      <x:c r="K32" t="n">
        <x:v>2</x:v>
      </x:c>
      <x:c r="L32" t="str">
        <x:v>España</x:v>
      </x:c>
      <x:c r="M32" t="str">
        <x:v>90 minutos</x:v>
      </x:c>
      <x:c r="N32" t="n">
        <x:f>IF(AND(AND(ISNUMBER($F32),ISNUMBER($G32),$H32=$L32),IF($I32="90 minutos",IF($F32&gt;$G32,"A",IF($G32&gt;$F32,"B","E")),"E")=IF($M32="90 minutos",IF($J32&gt;$K32,"A",IF($K32&gt;$J32,"B","E")),"E")),Reglas!$B$2,0)</x:f>
        <x:v>0</x:v>
      </x:c>
      <x:c r="O32" t="n">
        <x:f>IF(AND(ISNUMBER($F32),ISNUMBER($G32),$H32=$L32),Reglas!$B$3,0)</x:f>
        <x:v>0</x:v>
      </x:c>
      <x:c r="P32" t="n">
        <x:f>IF(AND(AND(ISNUMBER($F32),ISNUMBER($G32),$H32=$L32),$I32=$M32),Reglas!$B$4,0)</x:f>
        <x:v>0</x:v>
      </x:c>
      <x:c r="Q32" t="n">
        <x:f>IF(AND(AND(AND(ISNUMBER($F32),ISNUMBER($G32),$H32=$L32),$I32=$M32,NOT(AND($I32="Penales",$F32&lt;&gt;$G32))),$F32=$J32,$G32=$K32),Reglas!$B$5,0)</x:f>
        <x:v>0</x:v>
      </x:c>
      <x:c r="R32" t="n">
        <x:f>IF(AND(AND(AND(ISNUMBER($F32),ISNUMBER($G32),$H32=$L32),$I32=$M32,NOT(AND($I32="Penales",$F32&lt;&gt;$G32))),$F32-$G32=$J32-$K32),Reglas!$B$6,0)</x:f>
        <x:v>0</x:v>
      </x:c>
      <x:c r="S32" t="n">
        <x:f>IF(AND(AND(AND(ISNUMBER($F32),ISNUMBER($G32),$H32=$L32),$I32=$M32,NOT(AND($I32="Penales",$F32&lt;&gt;$G32))),$F32=$J32),Reglas!$B$7,0)</x:f>
        <x:v>0</x:v>
      </x:c>
      <x:c r="T32" t="n">
        <x:f>IF(AND(AND(AND(ISNUMBER($F32),ISNUMBER($G32),$H32=$L32),$I32=$M32,NOT(AND($I32="Penales",$F32&lt;&gt;$G32))),$G32=$K32),Reglas!$B$8,0)</x:f>
        <x:v>0</x:v>
      </x:c>
      <x:c r="U32" t="n">
        <x:f>SUM(N32:T32)</x:f>
        <x:v>0</x:v>
      </x:c>
      <x:c r="V32" t="str">
        <x:f>IF($W32="Sin respuesta","Sin envio",IF($U32&gt;0,"OK","Sin puntos"))</x:f>
        <x:v>Sin puntos</x:v>
      </x:c>
      <x:c r="W32" t="str">
        <x:v>Google Forms</x:v>
      </x:c>
    </x:row>
    <x:row r="33" ht="15" hidden="0" customHeight="1">
      <x:c r="A33" t="str">
        <x:v>Semifinal</x:v>
      </x:c>
      <x:c r="B33" t="str">
        <x:v>SF2</x:v>
      </x:c>
      <x:c r="C33" t="str">
        <x:v>Anny</x:v>
      </x:c>
      <x:c r="D33" t="str">
        <x:v>Inglaterra</x:v>
      </x:c>
      <x:c r="E33" t="str">
        <x:v>Argentina</x:v>
      </x:c>
      <x:c r="F33" t="n">
        <x:v>2</x:v>
      </x:c>
      <x:c r="G33" t="n">
        <x:v>2</x:v>
      </x:c>
      <x:c r="H33" t="str">
        <x:v>Argentina</x:v>
      </x:c>
      <x:c r="I33" t="str">
        <x:v>Penales</x:v>
      </x:c>
      <x:c r="J33" t="n">
        <x:v>1</x:v>
      </x:c>
      <x:c r="K33" t="n">
        <x:v>2</x:v>
      </x:c>
      <x:c r="L33" t="str">
        <x:v>Argentina</x:v>
      </x:c>
      <x:c r="M33" t="str">
        <x:v>90 minutos</x:v>
      </x:c>
      <x:c r="N33" t="n">
        <x:f>IF(AND(AND(ISNUMBER($F33),ISNUMBER($G33),$H33=$L33),IF($I33="90 minutos",IF($F33&gt;$G33,"A",IF($G33&gt;$F33,"B","E")),"E")=IF($M33="90 minutos",IF($J33&gt;$K33,"A",IF($K33&gt;$J33,"B","E")),"E")),Reglas!$B$2,0)</x:f>
        <x:v>0</x:v>
      </x:c>
      <x:c r="O33" t="n">
        <x:f>IF(AND(ISNUMBER($F33),ISNUMBER($G33),$H33=$L33),Reglas!$B$3,0)</x:f>
        <x:v>3</x:v>
      </x:c>
      <x:c r="P33" t="n">
        <x:f>IF(AND(AND(ISNUMBER($F33),ISNUMBER($G33),$H33=$L33),$I33=$M33),Reglas!$B$4,0)</x:f>
        <x:v>0</x:v>
      </x:c>
      <x:c r="Q33" t="n">
        <x:f>IF(AND(AND(AND(ISNUMBER($F33),ISNUMBER($G33),$H33=$L33),$I33=$M33,NOT(AND($I33="Penales",$F33&lt;&gt;$G33))),$F33=$J33,$G33=$K33),Reglas!$B$5,0)</x:f>
        <x:v>0</x:v>
      </x:c>
      <x:c r="R33" t="n">
        <x:f>IF(AND(AND(AND(ISNUMBER($F33),ISNUMBER($G33),$H33=$L33),$I33=$M33,NOT(AND($I33="Penales",$F33&lt;&gt;$G33))),$F33-$G33=$J33-$K33),Reglas!$B$6,0)</x:f>
        <x:v>0</x:v>
      </x:c>
      <x:c r="S33" t="n">
        <x:f>IF(AND(AND(AND(ISNUMBER($F33),ISNUMBER($G33),$H33=$L33),$I33=$M33,NOT(AND($I33="Penales",$F33&lt;&gt;$G33))),$F33=$J33),Reglas!$B$7,0)</x:f>
        <x:v>0</x:v>
      </x:c>
      <x:c r="T33" t="n">
        <x:f>IF(AND(AND(AND(ISNUMBER($F33),ISNUMBER($G33),$H33=$L33),$I33=$M33,NOT(AND($I33="Penales",$F33&lt;&gt;$G33))),$G33=$K33),Reglas!$B$8,0)</x:f>
        <x:v>0</x:v>
      </x:c>
      <x:c r="U33" t="n">
        <x:f>SUM(N33:T33)</x:f>
        <x:v>3</x:v>
      </x:c>
      <x:c r="V33" t="str">
        <x:f>IF($W33="Sin respuesta","Sin envio",IF($U33&gt;0,"OK","Sin puntos"))</x:f>
        <x:v>OK</x:v>
      </x:c>
      <x:c r="W33" t="str">
        <x:v>Google Forms</x:v>
      </x:c>
    </x:row>
    <x:row r="34" ht="15" hidden="0" customHeight="1">
      <x:c r="A34" t="str">
        <x:v>Semifinal</x:v>
      </x:c>
      <x:c r="B34" t="str">
        <x:v>SF1</x:v>
      </x:c>
      <x:c r="C34" t="str">
        <x:v>Moisés</x:v>
      </x:c>
      <x:c r="D34" t="str">
        <x:v>Francia</x:v>
      </x:c>
      <x:c r="E34" t="str">
        <x:v>España</x:v>
      </x:c>
      <x:c r="F34" t="n">
        <x:v>2</x:v>
      </x:c>
      <x:c r="G34" t="n">
        <x:v>1</x:v>
      </x:c>
      <x:c r="H34" t="str">
        <x:v>Francia</x:v>
      </x:c>
      <x:c r="I34" t="str">
        <x:v>Penales</x:v>
      </x:c>
      <x:c r="J34" t="n">
        <x:v>0</x:v>
      </x:c>
      <x:c r="K34" t="n">
        <x:v>2</x:v>
      </x:c>
      <x:c r="L34" t="str">
        <x:v>España</x:v>
      </x:c>
      <x:c r="M34" t="str">
        <x:v>90 minutos</x:v>
      </x:c>
      <x:c r="N34" t="n">
        <x:f>IF(AND(AND(ISNUMBER($F34),ISNUMBER($G34),$H34=$L34),IF($I34="90 minutos",IF($F34&gt;$G34,"A",IF($G34&gt;$F34,"B","E")),"E")=IF($M34="90 minutos",IF($J34&gt;$K34,"A",IF($K34&gt;$J34,"B","E")),"E")),Reglas!$B$2,0)</x:f>
        <x:v>0</x:v>
      </x:c>
      <x:c r="O34" t="n">
        <x:f>IF(AND(ISNUMBER($F34),ISNUMBER($G34),$H34=$L34),Reglas!$B$3,0)</x:f>
        <x:v>0</x:v>
      </x:c>
      <x:c r="P34" t="n">
        <x:f>IF(AND(AND(ISNUMBER($F34),ISNUMBER($G34),$H34=$L34),$I34=$M34),Reglas!$B$4,0)</x:f>
        <x:v>0</x:v>
      </x:c>
      <x:c r="Q34" t="n">
        <x:f>IF(AND(AND(AND(ISNUMBER($F34),ISNUMBER($G34),$H34=$L34),$I34=$M34,NOT(AND($I34="Penales",$F34&lt;&gt;$G34))),$F34=$J34,$G34=$K34),Reglas!$B$5,0)</x:f>
        <x:v>0</x:v>
      </x:c>
      <x:c r="R34" t="n">
        <x:f>IF(AND(AND(AND(ISNUMBER($F34),ISNUMBER($G34),$H34=$L34),$I34=$M34,NOT(AND($I34="Penales",$F34&lt;&gt;$G34))),$F34-$G34=$J34-$K34),Reglas!$B$6,0)</x:f>
        <x:v>0</x:v>
      </x:c>
      <x:c r="S34" t="n">
        <x:f>IF(AND(AND(AND(ISNUMBER($F34),ISNUMBER($G34),$H34=$L34),$I34=$M34,NOT(AND($I34="Penales",$F34&lt;&gt;$G34))),$F34=$J34),Reglas!$B$7,0)</x:f>
        <x:v>0</x:v>
      </x:c>
      <x:c r="T34" t="n">
        <x:f>IF(AND(AND(AND(ISNUMBER($F34),ISNUMBER($G34),$H34=$L34),$I34=$M34,NOT(AND($I34="Penales",$F34&lt;&gt;$G34))),$G34=$K34),Reglas!$B$8,0)</x:f>
        <x:v>0</x:v>
      </x:c>
      <x:c r="U34" t="n">
        <x:f>SUM(N34:T34)</x:f>
        <x:v>0</x:v>
      </x:c>
      <x:c r="V34" t="str">
        <x:f>IF($W34="Sin respuesta","Sin envio",IF($U34&gt;0,"OK","Sin puntos"))</x:f>
        <x:v>Sin puntos</x:v>
      </x:c>
      <x:c r="W34" t="str">
        <x:v>Google Forms</x:v>
      </x:c>
    </x:row>
    <x:row r="35" ht="15" hidden="0" customHeight="1">
      <x:c r="A35" t="str">
        <x:v>Semifinal</x:v>
      </x:c>
      <x:c r="B35" t="str">
        <x:v>SF2</x:v>
      </x:c>
      <x:c r="C35" t="str">
        <x:v>Moisés</x:v>
      </x:c>
      <x:c r="D35" t="str">
        <x:v>Inglaterra</x:v>
      </x:c>
      <x:c r="E35" t="str">
        <x:v>Argentina</x:v>
      </x:c>
      <x:c r="F35" t="n">
        <x:v>2</x:v>
      </x:c>
      <x:c r="G35" t="n">
        <x:v>2</x:v>
      </x:c>
      <x:c r="H35" t="str">
        <x:v>Inglaterra</x:v>
      </x:c>
      <x:c r="I35" t="str">
        <x:v>Penales</x:v>
      </x:c>
      <x:c r="J35" t="n">
        <x:v>1</x:v>
      </x:c>
      <x:c r="K35" t="n">
        <x:v>2</x:v>
      </x:c>
      <x:c r="L35" t="str">
        <x:v>Argentina</x:v>
      </x:c>
      <x:c r="M35" t="str">
        <x:v>90 minutos</x:v>
      </x:c>
      <x:c r="N35" t="n">
        <x:f>IF(AND(AND(ISNUMBER($F35),ISNUMBER($G35),$H35=$L35),IF($I35="90 minutos",IF($F35&gt;$G35,"A",IF($G35&gt;$F35,"B","E")),"E")=IF($M35="90 minutos",IF($J35&gt;$K35,"A",IF($K35&gt;$J35,"B","E")),"E")),Reglas!$B$2,0)</x:f>
        <x:v>0</x:v>
      </x:c>
      <x:c r="O35" t="n">
        <x:f>IF(AND(ISNUMBER($F35),ISNUMBER($G35),$H35=$L35),Reglas!$B$3,0)</x:f>
        <x:v>0</x:v>
      </x:c>
      <x:c r="P35" t="n">
        <x:f>IF(AND(AND(ISNUMBER($F35),ISNUMBER($G35),$H35=$L35),$I35=$M35),Reglas!$B$4,0)</x:f>
        <x:v>0</x:v>
      </x:c>
      <x:c r="Q35" t="n">
        <x:f>IF(AND(AND(AND(ISNUMBER($F35),ISNUMBER($G35),$H35=$L35),$I35=$M35,NOT(AND($I35="Penales",$F35&lt;&gt;$G35))),$F35=$J35,$G35=$K35),Reglas!$B$5,0)</x:f>
        <x:v>0</x:v>
      </x:c>
      <x:c r="R35" t="n">
        <x:f>IF(AND(AND(AND(ISNUMBER($F35),ISNUMBER($G35),$H35=$L35),$I35=$M35,NOT(AND($I35="Penales",$F35&lt;&gt;$G35))),$F35-$G35=$J35-$K35),Reglas!$B$6,0)</x:f>
        <x:v>0</x:v>
      </x:c>
      <x:c r="S35" t="n">
        <x:f>IF(AND(AND(AND(ISNUMBER($F35),ISNUMBER($G35),$H35=$L35),$I35=$M35,NOT(AND($I35="Penales",$F35&lt;&gt;$G35))),$F35=$J35),Reglas!$B$7,0)</x:f>
        <x:v>0</x:v>
      </x:c>
      <x:c r="T35" t="n">
        <x:f>IF(AND(AND(AND(ISNUMBER($F35),ISNUMBER($G35),$H35=$L35),$I35=$M35,NOT(AND($I35="Penales",$F35&lt;&gt;$G35))),$G35=$K35),Reglas!$B$8,0)</x:f>
        <x:v>0</x:v>
      </x:c>
      <x:c r="U35" t="n">
        <x:f>SUM(N35:T35)</x:f>
        <x:v>0</x:v>
      </x:c>
      <x:c r="V35" t="str">
        <x:f>IF($W35="Sin respuesta","Sin envio",IF($U35&gt;0,"OK","Sin puntos"))</x:f>
        <x:v>Sin puntos</x:v>
      </x:c>
      <x:c r="W35" t="str">
        <x:v>Google Forms</x:v>
      </x:c>
    </x:row>
    <x:row r="36" ht="15" hidden="0" customHeight="1">
      <x:c r="A36" t="str">
        <x:v>Semifinal</x:v>
      </x:c>
      <x:c r="B36" t="str">
        <x:v>SF1</x:v>
      </x:c>
      <x:c r="C36" t="str">
        <x:v>Alex</x:v>
      </x:c>
      <x:c r="D36" t="str">
        <x:v>Francia</x:v>
      </x:c>
      <x:c r="E36" t="str">
        <x:v>España</x:v>
      </x:c>
      <x:c r="F36" t="n">
        <x:v>3</x:v>
      </x:c>
      <x:c r="G36" t="n">
        <x:v>2</x:v>
      </x:c>
      <x:c r="H36" t="str">
        <x:v>Francia</x:v>
      </x:c>
      <x:c r="I36" t="str">
        <x:v>Suplementario</x:v>
      </x:c>
      <x:c r="J36" t="n">
        <x:v>0</x:v>
      </x:c>
      <x:c r="K36" t="n">
        <x:v>2</x:v>
      </x:c>
      <x:c r="L36" t="str">
        <x:v>España</x:v>
      </x:c>
      <x:c r="M36" t="str">
        <x:v>90 minutos</x:v>
      </x:c>
      <x:c r="N36" t="n">
        <x:f>IF(AND(AND(ISNUMBER($F36),ISNUMBER($G36),$H36=$L36),IF($I36="90 minutos",IF($F36&gt;$G36,"A",IF($G36&gt;$F36,"B","E")),"E")=IF($M36="90 minutos",IF($J36&gt;$K36,"A",IF($K36&gt;$J36,"B","E")),"E")),Reglas!$B$2,0)</x:f>
        <x:v>0</x:v>
      </x:c>
      <x:c r="O36" t="n">
        <x:f>IF(AND(ISNUMBER($F36),ISNUMBER($G36),$H36=$L36),Reglas!$B$3,0)</x:f>
        <x:v>0</x:v>
      </x:c>
      <x:c r="P36" t="n">
        <x:f>IF(AND(AND(ISNUMBER($F36),ISNUMBER($G36),$H36=$L36),$I36=$M36),Reglas!$B$4,0)</x:f>
        <x:v>0</x:v>
      </x:c>
      <x:c r="Q36" t="n">
        <x:f>IF(AND(AND(AND(ISNUMBER($F36),ISNUMBER($G36),$H36=$L36),$I36=$M36,NOT(AND($I36="Penales",$F36&lt;&gt;$G36))),$F36=$J36,$G36=$K36),Reglas!$B$5,0)</x:f>
        <x:v>0</x:v>
      </x:c>
      <x:c r="R36" t="n">
        <x:f>IF(AND(AND(AND(ISNUMBER($F36),ISNUMBER($G36),$H36=$L36),$I36=$M36,NOT(AND($I36="Penales",$F36&lt;&gt;$G36))),$F36-$G36=$J36-$K36),Reglas!$B$6,0)</x:f>
        <x:v>0</x:v>
      </x:c>
      <x:c r="S36" t="n">
        <x:f>IF(AND(AND(AND(ISNUMBER($F36),ISNUMBER($G36),$H36=$L36),$I36=$M36,NOT(AND($I36="Penales",$F36&lt;&gt;$G36))),$F36=$J36),Reglas!$B$7,0)</x:f>
        <x:v>0</x:v>
      </x:c>
      <x:c r="T36" t="n">
        <x:f>IF(AND(AND(AND(ISNUMBER($F36),ISNUMBER($G36),$H36=$L36),$I36=$M36,NOT(AND($I36="Penales",$F36&lt;&gt;$G36))),$G36=$K36),Reglas!$B$8,0)</x:f>
        <x:v>0</x:v>
      </x:c>
      <x:c r="U36" t="n">
        <x:f>SUM(N36:T36)</x:f>
        <x:v>0</x:v>
      </x:c>
      <x:c r="V36" t="str">
        <x:f>IF($W36="Sin respuesta","Sin envio",IF($U36&gt;0,"OK","Sin puntos"))</x:f>
        <x:v>Sin puntos</x:v>
      </x:c>
      <x:c r="W36" t="str">
        <x:v>Google Forms</x:v>
      </x:c>
    </x:row>
    <x:row r="37" ht="15" hidden="0" customHeight="1">
      <x:c r="A37" t="str">
        <x:v>Semifinal</x:v>
      </x:c>
      <x:c r="B37" t="str">
        <x:v>SF2</x:v>
      </x:c>
      <x:c r="C37" t="str">
        <x:v>Alex</x:v>
      </x:c>
      <x:c r="D37" t="str">
        <x:v>Inglaterra</x:v>
      </x:c>
      <x:c r="E37" t="str">
        <x:v>Argentina</x:v>
      </x:c>
      <x:c r="F37" t="n">
        <x:v>2</x:v>
      </x:c>
      <x:c r="G37" t="n">
        <x:v>3</x:v>
      </x:c>
      <x:c r="H37" t="str">
        <x:v>Argentina</x:v>
      </x:c>
      <x:c r="I37" t="str">
        <x:v>Suplementario</x:v>
      </x:c>
      <x:c r="J37" t="n">
        <x:v>1</x:v>
      </x:c>
      <x:c r="K37" t="n">
        <x:v>2</x:v>
      </x:c>
      <x:c r="L37" t="str">
        <x:v>Argentina</x:v>
      </x:c>
      <x:c r="M37" t="str">
        <x:v>90 minutos</x:v>
      </x:c>
      <x:c r="N37" t="n">
        <x:f>IF(AND(AND(ISNUMBER($F37),ISNUMBER($G37),$H37=$L37),IF($I37="90 minutos",IF($F37&gt;$G37,"A",IF($G37&gt;$F37,"B","E")),"E")=IF($M37="90 minutos",IF($J37&gt;$K37,"A",IF($K37&gt;$J37,"B","E")),"E")),Reglas!$B$2,0)</x:f>
        <x:v>0</x:v>
      </x:c>
      <x:c r="O37" t="n">
        <x:f>IF(AND(ISNUMBER($F37),ISNUMBER($G37),$H37=$L37),Reglas!$B$3,0)</x:f>
        <x:v>3</x:v>
      </x:c>
      <x:c r="P37" t="n">
        <x:f>IF(AND(AND(ISNUMBER($F37),ISNUMBER($G37),$H37=$L37),$I37=$M37),Reglas!$B$4,0)</x:f>
        <x:v>0</x:v>
      </x:c>
      <x:c r="Q37" t="n">
        <x:f>IF(AND(AND(AND(ISNUMBER($F37),ISNUMBER($G37),$H37=$L37),$I37=$M37,NOT(AND($I37="Penales",$F37&lt;&gt;$G37))),$F37=$J37,$G37=$K37),Reglas!$B$5,0)</x:f>
        <x:v>0</x:v>
      </x:c>
      <x:c r="R37" t="n">
        <x:f>IF(AND(AND(AND(ISNUMBER($F37),ISNUMBER($G37),$H37=$L37),$I37=$M37,NOT(AND($I37="Penales",$F37&lt;&gt;$G37))),$F37-$G37=$J37-$K37),Reglas!$B$6,0)</x:f>
        <x:v>0</x:v>
      </x:c>
      <x:c r="S37" t="n">
        <x:f>IF(AND(AND(AND(ISNUMBER($F37),ISNUMBER($G37),$H37=$L37),$I37=$M37,NOT(AND($I37="Penales",$F37&lt;&gt;$G37))),$F37=$J37),Reglas!$B$7,0)</x:f>
        <x:v>0</x:v>
      </x:c>
      <x:c r="T37" t="n">
        <x:f>IF(AND(AND(AND(ISNUMBER($F37),ISNUMBER($G37),$H37=$L37),$I37=$M37,NOT(AND($I37="Penales",$F37&lt;&gt;$G37))),$G37=$K37),Reglas!$B$8,0)</x:f>
        <x:v>0</x:v>
      </x:c>
      <x:c r="U37" t="n">
        <x:f>SUM(N37:T37)</x:f>
        <x:v>3</x:v>
      </x:c>
      <x:c r="V37" t="str">
        <x:f>IF($W37="Sin respuesta","Sin envio",IF($U37&gt;0,"OK","Sin puntos"))</x:f>
        <x:v>OK</x:v>
      </x:c>
      <x:c r="W37" t="str">
        <x:v>Google Forms</x:v>
      </x:c>
    </x:row>
    <x:row r="38" ht="15" hidden="0" customHeight="1">
      <x:c r="A38" t="str">
        <x:v>Semifinal</x:v>
      </x:c>
      <x:c r="B38" t="str">
        <x:v>SF1</x:v>
      </x:c>
      <x:c r="C38" t="str">
        <x:v>Omar</x:v>
      </x:c>
      <x:c r="D38" t="str">
        <x:v>Francia</x:v>
      </x:c>
      <x:c r="E38" t="str">
        <x:v>España</x:v>
      </x:c>
      <x:c r="F38"/>
      <x:c r="G38"/>
      <x:c r="H38" t="str">
        <x:v>Sin envio</x:v>
      </x:c>
      <x:c r="I38" t="str">
        <x:v>Sin envio</x:v>
      </x:c>
      <x:c r="J38" t="n">
        <x:v>0</x:v>
      </x:c>
      <x:c r="K38" t="n">
        <x:v>2</x:v>
      </x:c>
      <x:c r="L38" t="str">
        <x:v>España</x:v>
      </x:c>
      <x:c r="M38" t="str">
        <x:v>90 minutos</x:v>
      </x:c>
      <x:c r="N38" t="n">
        <x:f>IF(AND(AND(ISNUMBER($F38),ISNUMBER($G38),$H38=$L38),IF($I38="90 minutos",IF($F38&gt;$G38,"A",IF($G38&gt;$F38,"B","E")),"E")=IF($M38="90 minutos",IF($J38&gt;$K38,"A",IF($K38&gt;$J38,"B","E")),"E")),Reglas!$B$2,0)</x:f>
        <x:v>0</x:v>
      </x:c>
      <x:c r="O38" t="n">
        <x:f>IF(AND(ISNUMBER($F38),ISNUMBER($G38),$H38=$L38),Reglas!$B$3,0)</x:f>
        <x:v>0</x:v>
      </x:c>
      <x:c r="P38" t="n">
        <x:f>IF(AND(AND(ISNUMBER($F38),ISNUMBER($G38),$H38=$L38),$I38=$M38),Reglas!$B$4,0)</x:f>
        <x:v>0</x:v>
      </x:c>
      <x:c r="Q38" t="n">
        <x:f>IF(AND(AND(AND(ISNUMBER($F38),ISNUMBER($G38),$H38=$L38),$I38=$M38,NOT(AND($I38="Penales",$F38&lt;&gt;$G38))),$F38=$J38,$G38=$K38),Reglas!$B$5,0)</x:f>
        <x:v>0</x:v>
      </x:c>
      <x:c r="R38" t="n">
        <x:f>IF(AND(AND(AND(ISNUMBER($F38),ISNUMBER($G38),$H38=$L38),$I38=$M38,NOT(AND($I38="Penales",$F38&lt;&gt;$G38))),$F38-$G38=$J38-$K38),Reglas!$B$6,0)</x:f>
        <x:v>0</x:v>
      </x:c>
      <x:c r="S38" t="n">
        <x:f>IF(AND(AND(AND(ISNUMBER($F38),ISNUMBER($G38),$H38=$L38),$I38=$M38,NOT(AND($I38="Penales",$F38&lt;&gt;$G38))),$F38=$J38),Reglas!$B$7,0)</x:f>
        <x:v>0</x:v>
      </x:c>
      <x:c r="T38" t="n">
        <x:f>IF(AND(AND(AND(ISNUMBER($F38),ISNUMBER($G38),$H38=$L38),$I38=$M38,NOT(AND($I38="Penales",$F38&lt;&gt;$G38))),$G38=$K38),Reglas!$B$8,0)</x:f>
        <x:v>0</x:v>
      </x:c>
      <x:c r="U38" t="n">
        <x:f>SUM(N38:T38)</x:f>
        <x:v>0</x:v>
      </x:c>
      <x:c r="V38" t="str">
        <x:f>IF($W38="Sin respuesta","Sin envio",IF($U38&gt;0,"OK","Sin puntos"))</x:f>
        <x:v>Sin envio</x:v>
      </x:c>
      <x:c r="W38" t="str">
        <x:v>Sin respuesta</x:v>
      </x:c>
    </x:row>
    <x:row r="39" ht="15" hidden="0" customHeight="1">
      <x:c r="A39" t="str">
        <x:v>Semifinal</x:v>
      </x:c>
      <x:c r="B39" t="str">
        <x:v>SF2</x:v>
      </x:c>
      <x:c r="C39" t="str">
        <x:v>Omar</x:v>
      </x:c>
      <x:c r="D39" t="str">
        <x:v>Inglaterra</x:v>
      </x:c>
      <x:c r="E39" t="str">
        <x:v>Argentina</x:v>
      </x:c>
      <x:c r="F39"/>
      <x:c r="G39"/>
      <x:c r="H39" t="str">
        <x:v>Sin envio</x:v>
      </x:c>
      <x:c r="I39" t="str">
        <x:v>Sin envio</x:v>
      </x:c>
      <x:c r="J39" t="n">
        <x:v>1</x:v>
      </x:c>
      <x:c r="K39" t="n">
        <x:v>2</x:v>
      </x:c>
      <x:c r="L39" t="str">
        <x:v>Argentina</x:v>
      </x:c>
      <x:c r="M39" t="str">
        <x:v>90 minutos</x:v>
      </x:c>
      <x:c r="N39" t="n">
        <x:f>IF(AND(AND(ISNUMBER($F39),ISNUMBER($G39),$H39=$L39),IF($I39="90 minutos",IF($F39&gt;$G39,"A",IF($G39&gt;$F39,"B","E")),"E")=IF($M39="90 minutos",IF($J39&gt;$K39,"A",IF($K39&gt;$J39,"B","E")),"E")),Reglas!$B$2,0)</x:f>
        <x:v>0</x:v>
      </x:c>
      <x:c r="O39" t="n">
        <x:f>IF(AND(ISNUMBER($F39),ISNUMBER($G39),$H39=$L39),Reglas!$B$3,0)</x:f>
        <x:v>0</x:v>
      </x:c>
      <x:c r="P39" t="n">
        <x:f>IF(AND(AND(ISNUMBER($F39),ISNUMBER($G39),$H39=$L39),$I39=$M39),Reglas!$B$4,0)</x:f>
        <x:v>0</x:v>
      </x:c>
      <x:c r="Q39" t="n">
        <x:f>IF(AND(AND(AND(ISNUMBER($F39),ISNUMBER($G39),$H39=$L39),$I39=$M39,NOT(AND($I39="Penales",$F39&lt;&gt;$G39))),$F39=$J39,$G39=$K39),Reglas!$B$5,0)</x:f>
        <x:v>0</x:v>
      </x:c>
      <x:c r="R39" t="n">
        <x:f>IF(AND(AND(AND(ISNUMBER($F39),ISNUMBER($G39),$H39=$L39),$I39=$M39,NOT(AND($I39="Penales",$F39&lt;&gt;$G39))),$F39-$G39=$J39-$K39),Reglas!$B$6,0)</x:f>
        <x:v>0</x:v>
      </x:c>
      <x:c r="S39" t="n">
        <x:f>IF(AND(AND(AND(ISNUMBER($F39),ISNUMBER($G39),$H39=$L39),$I39=$M39,NOT(AND($I39="Penales",$F39&lt;&gt;$G39))),$F39=$J39),Reglas!$B$7,0)</x:f>
        <x:v>0</x:v>
      </x:c>
      <x:c r="T39" t="n">
        <x:f>IF(AND(AND(AND(ISNUMBER($F39),ISNUMBER($G39),$H39=$L39),$I39=$M39,NOT(AND($I39="Penales",$F39&lt;&gt;$G39))),$G39=$K39),Reglas!$B$8,0)</x:f>
        <x:v>0</x:v>
      </x:c>
      <x:c r="U39" t="n">
        <x:f>SUM(N39:T39)</x:f>
        <x:v>0</x:v>
      </x:c>
      <x:c r="V39" t="str">
        <x:f>IF($W39="Sin respuesta","Sin envio",IF($U39&gt;0,"OK","Sin puntos"))</x:f>
        <x:v>Sin envio</x:v>
      </x:c>
      <x:c r="W39" t="str">
        <x:v>Sin respuesta</x:v>
      </x:c>
    </x:row>
    <x:row r="40" ht="15" hidden="0" customHeight="1">
      <x:c r="A40" t="str">
        <x:v>Semifinal</x:v>
      </x:c>
      <x:c r="B40" t="str">
        <x:v>SF1</x:v>
      </x:c>
      <x:c r="C40" t="str">
        <x:v>Fernando</x:v>
      </x:c>
      <x:c r="D40" t="str">
        <x:v>Francia</x:v>
      </x:c>
      <x:c r="E40" t="str">
        <x:v>España</x:v>
      </x:c>
      <x:c r="F40" t="n">
        <x:v>2</x:v>
      </x:c>
      <x:c r="G40" t="n">
        <x:v>1</x:v>
      </x:c>
      <x:c r="H40" t="str">
        <x:v>Francia</x:v>
      </x:c>
      <x:c r="I40" t="str">
        <x:v>90 minutos</x:v>
      </x:c>
      <x:c r="J40" t="n">
        <x:v>0</x:v>
      </x:c>
      <x:c r="K40" t="n">
        <x:v>2</x:v>
      </x:c>
      <x:c r="L40" t="str">
        <x:v>España</x:v>
      </x:c>
      <x:c r="M40" t="str">
        <x:v>90 minutos</x:v>
      </x:c>
      <x:c r="N40" t="n">
        <x:f>IF(AND(AND(ISNUMBER($F40),ISNUMBER($G40),$H40=$L40),IF($I40="90 minutos",IF($F40&gt;$G40,"A",IF($G40&gt;$F40,"B","E")),"E")=IF($M40="90 minutos",IF($J40&gt;$K40,"A",IF($K40&gt;$J40,"B","E")),"E")),Reglas!$B$2,0)</x:f>
        <x:v>0</x:v>
      </x:c>
      <x:c r="O40" t="n">
        <x:f>IF(AND(ISNUMBER($F40),ISNUMBER($G40),$H40=$L40),Reglas!$B$3,0)</x:f>
        <x:v>0</x:v>
      </x:c>
      <x:c r="P40" t="n">
        <x:f>IF(AND(AND(ISNUMBER($F40),ISNUMBER($G40),$H40=$L40),$I40=$M40),Reglas!$B$4,0)</x:f>
        <x:v>0</x:v>
      </x:c>
      <x:c r="Q40" t="n">
        <x:f>IF(AND(AND(AND(ISNUMBER($F40),ISNUMBER($G40),$H40=$L40),$I40=$M40,NOT(AND($I40="Penales",$F40&lt;&gt;$G40))),$F40=$J40,$G40=$K40),Reglas!$B$5,0)</x:f>
        <x:v>0</x:v>
      </x:c>
      <x:c r="R40" t="n">
        <x:f>IF(AND(AND(AND(ISNUMBER($F40),ISNUMBER($G40),$H40=$L40),$I40=$M40,NOT(AND($I40="Penales",$F40&lt;&gt;$G40))),$F40-$G40=$J40-$K40),Reglas!$B$6,0)</x:f>
        <x:v>0</x:v>
      </x:c>
      <x:c r="S40" t="n">
        <x:f>IF(AND(AND(AND(ISNUMBER($F40),ISNUMBER($G40),$H40=$L40),$I40=$M40,NOT(AND($I40="Penales",$F40&lt;&gt;$G40))),$F40=$J40),Reglas!$B$7,0)</x:f>
        <x:v>0</x:v>
      </x:c>
      <x:c r="T40" t="n">
        <x:f>IF(AND(AND(AND(ISNUMBER($F40),ISNUMBER($G40),$H40=$L40),$I40=$M40,NOT(AND($I40="Penales",$F40&lt;&gt;$G40))),$G40=$K40),Reglas!$B$8,0)</x:f>
        <x:v>0</x:v>
      </x:c>
      <x:c r="U40" t="n">
        <x:f>SUM(N40:T40)</x:f>
        <x:v>0</x:v>
      </x:c>
      <x:c r="V40" t="str">
        <x:f>IF($W40="Sin respuesta","Sin envio",IF($U40&gt;0,"OK","Sin puntos"))</x:f>
        <x:v>Sin puntos</x:v>
      </x:c>
      <x:c r="W40" t="str">
        <x:v>Google Forms</x:v>
      </x:c>
    </x:row>
    <x:row r="41" ht="15" hidden="0" customHeight="1">
      <x:c r="A41" t="str">
        <x:v>Semifinal</x:v>
      </x:c>
      <x:c r="B41" t="str">
        <x:v>SF2</x:v>
      </x:c>
      <x:c r="C41" t="str">
        <x:v>Fernando</x:v>
      </x:c>
      <x:c r="D41" t="str">
        <x:v>Inglaterra</x:v>
      </x:c>
      <x:c r="E41" t="str">
        <x:v>Argentina</x:v>
      </x:c>
      <x:c r="F41" t="n">
        <x:v>2</x:v>
      </x:c>
      <x:c r="G41" t="n">
        <x:v>3</x:v>
      </x:c>
      <x:c r="H41" t="str">
        <x:v>Argentina</x:v>
      </x:c>
      <x:c r="I41" t="str">
        <x:v>Suplementario</x:v>
      </x:c>
      <x:c r="J41" t="n">
        <x:v>1</x:v>
      </x:c>
      <x:c r="K41" t="n">
        <x:v>2</x:v>
      </x:c>
      <x:c r="L41" t="str">
        <x:v>Argentina</x:v>
      </x:c>
      <x:c r="M41" t="str">
        <x:v>90 minutos</x:v>
      </x:c>
      <x:c r="N41" t="n">
        <x:f>IF(AND(AND(ISNUMBER($F41),ISNUMBER($G41),$H41=$L41),IF($I41="90 minutos",IF($F41&gt;$G41,"A",IF($G41&gt;$F41,"B","E")),"E")=IF($M41="90 minutos",IF($J41&gt;$K41,"A",IF($K41&gt;$J41,"B","E")),"E")),Reglas!$B$2,0)</x:f>
        <x:v>0</x:v>
      </x:c>
      <x:c r="O41" t="n">
        <x:f>IF(AND(ISNUMBER($F41),ISNUMBER($G41),$H41=$L41),Reglas!$B$3,0)</x:f>
        <x:v>3</x:v>
      </x:c>
      <x:c r="P41" t="n">
        <x:f>IF(AND(AND(ISNUMBER($F41),ISNUMBER($G41),$H41=$L41),$I41=$M41),Reglas!$B$4,0)</x:f>
        <x:v>0</x:v>
      </x:c>
      <x:c r="Q41" t="n">
        <x:f>IF(AND(AND(AND(ISNUMBER($F41),ISNUMBER($G41),$H41=$L41),$I41=$M41,NOT(AND($I41="Penales",$F41&lt;&gt;$G41))),$F41=$J41,$G41=$K41),Reglas!$B$5,0)</x:f>
        <x:v>0</x:v>
      </x:c>
      <x:c r="R41" t="n">
        <x:f>IF(AND(AND(AND(ISNUMBER($F41),ISNUMBER($G41),$H41=$L41),$I41=$M41,NOT(AND($I41="Penales",$F41&lt;&gt;$G41))),$F41-$G41=$J41-$K41),Reglas!$B$6,0)</x:f>
        <x:v>0</x:v>
      </x:c>
      <x:c r="S41" t="n">
        <x:f>IF(AND(AND(AND(ISNUMBER($F41),ISNUMBER($G41),$H41=$L41),$I41=$M41,NOT(AND($I41="Penales",$F41&lt;&gt;$G41))),$F41=$J41),Reglas!$B$7,0)</x:f>
        <x:v>0</x:v>
      </x:c>
      <x:c r="T41" t="n">
        <x:f>IF(AND(AND(AND(ISNUMBER($F41),ISNUMBER($G41),$H41=$L41),$I41=$M41,NOT(AND($I41="Penales",$F41&lt;&gt;$G41))),$G41=$K41),Reglas!$B$8,0)</x:f>
        <x:v>0</x:v>
      </x:c>
      <x:c r="U41" t="n">
        <x:f>SUM(N41:T41)</x:f>
        <x:v>3</x:v>
      </x:c>
      <x:c r="V41" t="str">
        <x:f>IF($W41="Sin respuesta","Sin envio",IF($U41&gt;0,"OK","Sin puntos"))</x:f>
        <x:v>OK</x:v>
      </x:c>
      <x:c r="W41" t="str">
        <x:v>Google Forms</x:v>
      </x:c>
    </x:row>
    <x:row r="42" ht="15" hidden="0" customHeight="1">
      <x:c r="A42" t="str">
        <x:v>Semifinal</x:v>
      </x:c>
      <x:c r="B42" t="str">
        <x:v>SF1</x:v>
      </x:c>
      <x:c r="C42" t="str">
        <x:v>Diana</x:v>
      </x:c>
      <x:c r="D42" t="str">
        <x:v>Francia</x:v>
      </x:c>
      <x:c r="E42" t="str">
        <x:v>España</x:v>
      </x:c>
      <x:c r="F42"/>
      <x:c r="G42"/>
      <x:c r="H42" t="str">
        <x:v>Sin envio</x:v>
      </x:c>
      <x:c r="I42" t="str">
        <x:v>Sin envio</x:v>
      </x:c>
      <x:c r="J42" t="n">
        <x:v>0</x:v>
      </x:c>
      <x:c r="K42" t="n">
        <x:v>2</x:v>
      </x:c>
      <x:c r="L42" t="str">
        <x:v>España</x:v>
      </x:c>
      <x:c r="M42" t="str">
        <x:v>90 minutos</x:v>
      </x:c>
      <x:c r="N42" t="n">
        <x:f>IF(AND(AND(ISNUMBER($F42),ISNUMBER($G42),$H42=$L42),IF($I42="90 minutos",IF($F42&gt;$G42,"A",IF($G42&gt;$F42,"B","E")),"E")=IF($M42="90 minutos",IF($J42&gt;$K42,"A",IF($K42&gt;$J42,"B","E")),"E")),Reglas!$B$2,0)</x:f>
        <x:v>0</x:v>
      </x:c>
      <x:c r="O42" t="n">
        <x:f>IF(AND(ISNUMBER($F42),ISNUMBER($G42),$H42=$L42),Reglas!$B$3,0)</x:f>
        <x:v>0</x:v>
      </x:c>
      <x:c r="P42" t="n">
        <x:f>IF(AND(AND(ISNUMBER($F42),ISNUMBER($G42),$H42=$L42),$I42=$M42),Reglas!$B$4,0)</x:f>
        <x:v>0</x:v>
      </x:c>
      <x:c r="Q42" t="n">
        <x:f>IF(AND(AND(AND(ISNUMBER($F42),ISNUMBER($G42),$H42=$L42),$I42=$M42,NOT(AND($I42="Penales",$F42&lt;&gt;$G42))),$F42=$J42,$G42=$K42),Reglas!$B$5,0)</x:f>
        <x:v>0</x:v>
      </x:c>
      <x:c r="R42" t="n">
        <x:f>IF(AND(AND(AND(ISNUMBER($F42),ISNUMBER($G42),$H42=$L42),$I42=$M42,NOT(AND($I42="Penales",$F42&lt;&gt;$G42))),$F42-$G42=$J42-$K42),Reglas!$B$6,0)</x:f>
        <x:v>0</x:v>
      </x:c>
      <x:c r="S42" t="n">
        <x:f>IF(AND(AND(AND(ISNUMBER($F42),ISNUMBER($G42),$H42=$L42),$I42=$M42,NOT(AND($I42="Penales",$F42&lt;&gt;$G42))),$F42=$J42),Reglas!$B$7,0)</x:f>
        <x:v>0</x:v>
      </x:c>
      <x:c r="T42" t="n">
        <x:f>IF(AND(AND(AND(ISNUMBER($F42),ISNUMBER($G42),$H42=$L42),$I42=$M42,NOT(AND($I42="Penales",$F42&lt;&gt;$G42))),$G42=$K42),Reglas!$B$8,0)</x:f>
        <x:v>0</x:v>
      </x:c>
      <x:c r="U42" t="n">
        <x:f>SUM(N42:T42)</x:f>
        <x:v>0</x:v>
      </x:c>
      <x:c r="V42" t="str">
        <x:f>IF($W42="Sin respuesta","Sin envio",IF($U42&gt;0,"OK","Sin puntos"))</x:f>
        <x:v>Sin envio</x:v>
      </x:c>
      <x:c r="W42" t="str">
        <x:v>Sin respuesta</x:v>
      </x:c>
    </x:row>
    <x:row r="43" ht="15" hidden="0" customHeight="1">
      <x:c r="A43" t="str">
        <x:v>Semifinal</x:v>
      </x:c>
      <x:c r="B43" t="str">
        <x:v>SF2</x:v>
      </x:c>
      <x:c r="C43" t="str">
        <x:v>Diana</x:v>
      </x:c>
      <x:c r="D43" t="str">
        <x:v>Inglaterra</x:v>
      </x:c>
      <x:c r="E43" t="str">
        <x:v>Argentina</x:v>
      </x:c>
      <x:c r="F43"/>
      <x:c r="G43"/>
      <x:c r="H43" t="str">
        <x:v>Sin envio</x:v>
      </x:c>
      <x:c r="I43" t="str">
        <x:v>Sin envio</x:v>
      </x:c>
      <x:c r="J43" t="n">
        <x:v>1</x:v>
      </x:c>
      <x:c r="K43" t="n">
        <x:v>2</x:v>
      </x:c>
      <x:c r="L43" t="str">
        <x:v>Argentina</x:v>
      </x:c>
      <x:c r="M43" t="str">
        <x:v>90 minutos</x:v>
      </x:c>
      <x:c r="N43" t="n">
        <x:f>IF(AND(AND(ISNUMBER($F43),ISNUMBER($G43),$H43=$L43),IF($I43="90 minutos",IF($F43&gt;$G43,"A",IF($G43&gt;$F43,"B","E")),"E")=IF($M43="90 minutos",IF($J43&gt;$K43,"A",IF($K43&gt;$J43,"B","E")),"E")),Reglas!$B$2,0)</x:f>
        <x:v>0</x:v>
      </x:c>
      <x:c r="O43" t="n">
        <x:f>IF(AND(ISNUMBER($F43),ISNUMBER($G43),$H43=$L43),Reglas!$B$3,0)</x:f>
        <x:v>0</x:v>
      </x:c>
      <x:c r="P43" t="n">
        <x:f>IF(AND(AND(ISNUMBER($F43),ISNUMBER($G43),$H43=$L43),$I43=$M43),Reglas!$B$4,0)</x:f>
        <x:v>0</x:v>
      </x:c>
      <x:c r="Q43" t="n">
        <x:f>IF(AND(AND(AND(ISNUMBER($F43),ISNUMBER($G43),$H43=$L43),$I43=$M43,NOT(AND($I43="Penales",$F43&lt;&gt;$G43))),$F43=$J43,$G43=$K43),Reglas!$B$5,0)</x:f>
        <x:v>0</x:v>
      </x:c>
      <x:c r="R43" t="n">
        <x:f>IF(AND(AND(AND(ISNUMBER($F43),ISNUMBER($G43),$H43=$L43),$I43=$M43,NOT(AND($I43="Penales",$F43&lt;&gt;$G43))),$F43-$G43=$J43-$K43),Reglas!$B$6,0)</x:f>
        <x:v>0</x:v>
      </x:c>
      <x:c r="S43" t="n">
        <x:f>IF(AND(AND(AND(ISNUMBER($F43),ISNUMBER($G43),$H43=$L43),$I43=$M43,NOT(AND($I43="Penales",$F43&lt;&gt;$G43))),$F43=$J43),Reglas!$B$7,0)</x:f>
        <x:v>0</x:v>
      </x:c>
      <x:c r="T43" t="n">
        <x:f>IF(AND(AND(AND(ISNUMBER($F43),ISNUMBER($G43),$H43=$L43),$I43=$M43,NOT(AND($I43="Penales",$F43&lt;&gt;$G43))),$G43=$K43),Reglas!$B$8,0)</x:f>
        <x:v>0</x:v>
      </x:c>
      <x:c r="U43" t="n">
        <x:f>SUM(N43:T43)</x:f>
        <x:v>0</x:v>
      </x:c>
      <x:c r="V43" t="str">
        <x:f>IF($W43="Sin respuesta","Sin envio",IF($U43&gt;0,"OK","Sin puntos"))</x:f>
        <x:v>Sin envio</x:v>
      </x:c>
      <x:c r="W43" t="str">
        <x:v>Sin respuesta</x:v>
      </x:c>
    </x:row>
    <x:row r="44" ht="15" hidden="0" customHeight="1">
      <x:c r="A44" t="str">
        <x:v>Semifinal</x:v>
      </x:c>
      <x:c r="B44" t="str">
        <x:v>SF1</x:v>
      </x:c>
      <x:c r="C44" t="str">
        <x:v>Óscar</x:v>
      </x:c>
      <x:c r="D44" t="str">
        <x:v>Francia</x:v>
      </x:c>
      <x:c r="E44" t="str">
        <x:v>España</x:v>
      </x:c>
      <x:c r="F44" t="n">
        <x:v>2</x:v>
      </x:c>
      <x:c r="G44" t="n">
        <x:v>1</x:v>
      </x:c>
      <x:c r="H44" t="str">
        <x:v>Francia</x:v>
      </x:c>
      <x:c r="I44" t="str">
        <x:v>Suplementario</x:v>
      </x:c>
      <x:c r="J44" t="n">
        <x:v>0</x:v>
      </x:c>
      <x:c r="K44" t="n">
        <x:v>2</x:v>
      </x:c>
      <x:c r="L44" t="str">
        <x:v>España</x:v>
      </x:c>
      <x:c r="M44" t="str">
        <x:v>90 minutos</x:v>
      </x:c>
      <x:c r="N44" t="n">
        <x:f>IF(AND(AND(ISNUMBER($F44),ISNUMBER($G44),$H44=$L44),IF($I44="90 minutos",IF($F44&gt;$G44,"A",IF($G44&gt;$F44,"B","E")),"E")=IF($M44="90 minutos",IF($J44&gt;$K44,"A",IF($K44&gt;$J44,"B","E")),"E")),Reglas!$B$2,0)</x:f>
        <x:v>0</x:v>
      </x:c>
      <x:c r="O44" t="n">
        <x:f>IF(AND(ISNUMBER($F44),ISNUMBER($G44),$H44=$L44),Reglas!$B$3,0)</x:f>
        <x:v>0</x:v>
      </x:c>
      <x:c r="P44" t="n">
        <x:f>IF(AND(AND(ISNUMBER($F44),ISNUMBER($G44),$H44=$L44),$I44=$M44),Reglas!$B$4,0)</x:f>
        <x:v>0</x:v>
      </x:c>
      <x:c r="Q44" t="n">
        <x:f>IF(AND(AND(AND(ISNUMBER($F44),ISNUMBER($G44),$H44=$L44),$I44=$M44,NOT(AND($I44="Penales",$F44&lt;&gt;$G44))),$F44=$J44,$G44=$K44),Reglas!$B$5,0)</x:f>
        <x:v>0</x:v>
      </x:c>
      <x:c r="R44" t="n">
        <x:f>IF(AND(AND(AND(ISNUMBER($F44),ISNUMBER($G44),$H44=$L44),$I44=$M44,NOT(AND($I44="Penales",$F44&lt;&gt;$G44))),$F44-$G44=$J44-$K44),Reglas!$B$6,0)</x:f>
        <x:v>0</x:v>
      </x:c>
      <x:c r="S44" t="n">
        <x:f>IF(AND(AND(AND(ISNUMBER($F44),ISNUMBER($G44),$H44=$L44),$I44=$M44,NOT(AND($I44="Penales",$F44&lt;&gt;$G44))),$F44=$J44),Reglas!$B$7,0)</x:f>
        <x:v>0</x:v>
      </x:c>
      <x:c r="T44" t="n">
        <x:f>IF(AND(AND(AND(ISNUMBER($F44),ISNUMBER($G44),$H44=$L44),$I44=$M44,NOT(AND($I44="Penales",$F44&lt;&gt;$G44))),$G44=$K44),Reglas!$B$8,0)</x:f>
        <x:v>0</x:v>
      </x:c>
      <x:c r="U44" t="n">
        <x:f>SUM(N44:T44)</x:f>
        <x:v>0</x:v>
      </x:c>
      <x:c r="V44" t="str">
        <x:f>IF($W44="Sin respuesta","Sin envio",IF($U44&gt;0,"OK","Sin puntos"))</x:f>
        <x:v>Sin puntos</x:v>
      </x:c>
      <x:c r="W44" t="str">
        <x:v>Google Forms</x:v>
      </x:c>
    </x:row>
    <x:row r="45" ht="15" hidden="0" customHeight="1">
      <x:c r="A45" t="str">
        <x:v>Semifinal</x:v>
      </x:c>
      <x:c r="B45" t="str">
        <x:v>SF2</x:v>
      </x:c>
      <x:c r="C45" t="str">
        <x:v>Óscar</x:v>
      </x:c>
      <x:c r="D45" t="str">
        <x:v>Inglaterra</x:v>
      </x:c>
      <x:c r="E45" t="str">
        <x:v>Argentina</x:v>
      </x:c>
      <x:c r="F45" t="n">
        <x:v>2</x:v>
      </x:c>
      <x:c r="G45" t="n">
        <x:v>2</x:v>
      </x:c>
      <x:c r="H45" t="str">
        <x:v>Argentina</x:v>
      </x:c>
      <x:c r="I45" t="str">
        <x:v>Penales</x:v>
      </x:c>
      <x:c r="J45" t="n">
        <x:v>1</x:v>
      </x:c>
      <x:c r="K45" t="n">
        <x:v>2</x:v>
      </x:c>
      <x:c r="L45" t="str">
        <x:v>Argentina</x:v>
      </x:c>
      <x:c r="M45" t="str">
        <x:v>90 minutos</x:v>
      </x:c>
      <x:c r="N45" t="n">
        <x:f>IF(AND(AND(ISNUMBER($F45),ISNUMBER($G45),$H45=$L45),IF($I45="90 minutos",IF($F45&gt;$G45,"A",IF($G45&gt;$F45,"B","E")),"E")=IF($M45="90 minutos",IF($J45&gt;$K45,"A",IF($K45&gt;$J45,"B","E")),"E")),Reglas!$B$2,0)</x:f>
        <x:v>0</x:v>
      </x:c>
      <x:c r="O45" t="n">
        <x:f>IF(AND(ISNUMBER($F45),ISNUMBER($G45),$H45=$L45),Reglas!$B$3,0)</x:f>
        <x:v>3</x:v>
      </x:c>
      <x:c r="P45" t="n">
        <x:f>IF(AND(AND(ISNUMBER($F45),ISNUMBER($G45),$H45=$L45),$I45=$M45),Reglas!$B$4,0)</x:f>
        <x:v>0</x:v>
      </x:c>
      <x:c r="Q45" t="n">
        <x:f>IF(AND(AND(AND(ISNUMBER($F45),ISNUMBER($G45),$H45=$L45),$I45=$M45,NOT(AND($I45="Penales",$F45&lt;&gt;$G45))),$F45=$J45,$G45=$K45),Reglas!$B$5,0)</x:f>
        <x:v>0</x:v>
      </x:c>
      <x:c r="R45" t="n">
        <x:f>IF(AND(AND(AND(ISNUMBER($F45),ISNUMBER($G45),$H45=$L45),$I45=$M45,NOT(AND($I45="Penales",$F45&lt;&gt;$G45))),$F45-$G45=$J45-$K45),Reglas!$B$6,0)</x:f>
        <x:v>0</x:v>
      </x:c>
      <x:c r="S45" t="n">
        <x:f>IF(AND(AND(AND(ISNUMBER($F45),ISNUMBER($G45),$H45=$L45),$I45=$M45,NOT(AND($I45="Penales",$F45&lt;&gt;$G45))),$F45=$J45),Reglas!$B$7,0)</x:f>
        <x:v>0</x:v>
      </x:c>
      <x:c r="T45" t="n">
        <x:f>IF(AND(AND(AND(ISNUMBER($F45),ISNUMBER($G45),$H45=$L45),$I45=$M45,NOT(AND($I45="Penales",$F45&lt;&gt;$G45))),$G45=$K45),Reglas!$B$8,0)</x:f>
        <x:v>0</x:v>
      </x:c>
      <x:c r="U45" t="n">
        <x:f>SUM(N45:T45)</x:f>
        <x:v>3</x:v>
      </x:c>
      <x:c r="V45" t="str">
        <x:f>IF($W45="Sin respuesta","Sin envio",IF($U45&gt;0,"OK","Sin puntos"))</x:f>
        <x:v>OK</x:v>
      </x:c>
      <x:c r="W45" t="str">
        <x:v>Google Forms</x:v>
      </x:c>
    </x:row>
  </x:sheetData>
  <x:pageMargins left="0.7" right="0.7" top="0.75" bottom="0.75" header="0.3" footer="0.3"/>
  <x:tableParts count="1">
    <x:tablePart xmlns:r="http://schemas.openxmlformats.org/officeDocument/2006/relationships" r:id="R058d0f8f1dee45c0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8.630000114440918" hidden="0" customWidth="1"/>
    <x:col min="3" max="3" width="12.25" hidden="0" customWidth="1"/>
    <x:col min="4" max="4" width="9.880000114440918" hidden="0" customWidth="1"/>
    <x:col min="5" max="5" width="9.75" hidden="0" customWidth="1"/>
    <x:col min="6" max="6" width="10.880000114440918" hidden="0" customWidth="1"/>
    <x:col min="7" max="7" width="10.75" hidden="0" customWidth="1"/>
    <x:col min="8" max="8" width="18.75" hidden="0" customWidth="1"/>
    <x:col min="9" max="9" width="12.880000114440918" hidden="0" customWidth="1"/>
    <x:col min="10" max="10" width="9.380000114440918" hidden="0" customWidth="1"/>
    <x:col min="11" max="11" width="9.380000114440918" hidden="0" customWidth="1"/>
    <x:col min="12" max="12" width="16.25" hidden="0" customWidth="1"/>
    <x:col min="13" max="13" width="11.5" hidden="0" customWidth="1"/>
    <x:col min="14" max="14" width="7.75" hidden="0" customWidth="1"/>
    <x:col min="15" max="15" width="9.880000114440918" hidden="0" customWidth="1"/>
    <x:col min="16" max="16" width="8.25" hidden="0" customWidth="1"/>
    <x:col min="17" max="17" width="13.25" hidden="0" customWidth="1"/>
    <x:col min="18" max="18" width="8" hidden="0" customWidth="1"/>
    <x:col min="19" max="19" width="10" hidden="0" customWidth="1"/>
    <x:col min="20" max="20" width="9.880000114440918" hidden="0" customWidth="1"/>
    <x:col min="21" max="21" width="6.75" hidden="0" customWidth="1"/>
    <x:col min="22" max="22" width="8.380000114440918" hidden="0" customWidth="1"/>
    <x:col min="23" max="23" width="10.880000114440918" hidden="0" customWidth="1"/>
  </x:cols>
  <x:sheetData>
    <x:row r="1" ht="15" hidden="0" customHeight="1">
      <x:c r="A1" s="3" t="str">
        <x:v>Fase</x:v>
      </x:c>
      <x:c r="B1" s="3" t="str">
        <x:v>Partido</x:v>
      </x:c>
      <x:c r="C1" s="3" t="str">
        <x:v>Participante</x:v>
      </x:c>
      <x:c r="D1" s="3" t="str">
        <x:v>Equipo A</x:v>
      </x:c>
      <x:c r="E1" s="3" t="str">
        <x:v>Equipo B</x:v>
      </x:c>
      <x:c r="F1" s="3" t="str">
        <x:v>Apuesta A</x:v>
      </x:c>
      <x:c r="G1" s="3" t="str">
        <x:v>Apuesta B</x:v>
      </x:c>
      <x:c r="H1" s="3" t="str">
        <x:v>Clasificado apostado</x:v>
      </x:c>
      <x:c r="I1" s="3" t="str">
        <x:v>Via apostada</x:v>
      </x:c>
      <x:c r="J1" s="3" t="str">
        <x:v>Oficial A</x:v>
      </x:c>
      <x:c r="K1" s="3" t="str">
        <x:v>Oficial B</x:v>
      </x:c>
      <x:c r="L1" s="3" t="str">
        <x:v>Clasificado oficial</x:v>
      </x:c>
      <x:c r="M1" s="3" t="str">
        <x:v>Via oficial</x:v>
      </x:c>
      <x:c r="N1" s="3" t="str">
        <x:v>Pts 90</x:v>
      </x:c>
      <x:c r="O1" s="3" t="str">
        <x:v>Pts Clasif</x:v>
      </x:c>
      <x:c r="P1" s="3" t="str">
        <x:v>Pts Via</x:v>
      </x:c>
      <x:c r="Q1" s="3" t="str">
        <x:v>Pts Marcador</x:v>
      </x:c>
      <x:c r="R1" s="3" t="str">
        <x:v>Pts Dif</x:v>
      </x:c>
      <x:c r="S1" s="3" t="str">
        <x:v>Pts Gol A</x:v>
      </x:c>
      <x:c r="T1" s="3" t="str">
        <x:v>Pts Gol B</x:v>
      </x:c>
      <x:c r="U1" s="3" t="str">
        <x:v>Total</x:v>
      </x:c>
      <x:c r="V1" s="3" t="str">
        <x:v>Nota</x:v>
      </x:c>
      <x:c r="W1" s="3" t="str">
        <x:v>Fuente</x:v>
      </x:c>
    </x:row>
    <x:row r="2" ht="15" hidden="0" customHeight="1">
      <x:c r="A2" t="str">
        <x:v>Tercer puesto</x:v>
      </x:c>
      <x:c r="B2" t="str">
        <x:v>TP</x:v>
      </x:c>
      <x:c r="C2" t="str">
        <x:v>Freddy</x:v>
      </x:c>
      <x:c r="D2" t="str">
        <x:v>Inglaterra</x:v>
      </x:c>
      <x:c r="E2" t="str">
        <x:v>Francia</x:v>
      </x:c>
      <x:c r="F2" t="n">
        <x:v>1</x:v>
      </x:c>
      <x:c r="G2" t="n">
        <x:v>2</x:v>
      </x:c>
      <x:c r="H2" t="str">
        <x:v>Francia</x:v>
      </x:c>
      <x:c r="I2" t="str">
        <x:v>90 minutos</x:v>
      </x:c>
      <x:c r="J2" t="n">
        <x:v>6</x:v>
      </x:c>
      <x:c r="K2" t="n">
        <x:v>4</x:v>
      </x:c>
      <x:c r="L2" t="str">
        <x:v>Inglaterra</x:v>
      </x:c>
      <x:c r="M2" t="str">
        <x:v>90 minutos</x:v>
      </x:c>
      <x:c r="N2" t="n">
        <x:f>IF(AND(AND(ISNUMBER($F2),ISNUMBER($G2),$H2=$L2),IF($I2="90 minutos",IF($F2&gt;$G2,"A",IF($G2&gt;$F2,"B","E")),"E")=IF($M2="90 minutos",IF($J2&gt;$K2,"A",IF($K2&gt;$J2,"B","E")),"E")),Reglas!$B$2,0)</x:f>
        <x:v>0</x:v>
      </x:c>
      <x:c r="O2" t="n">
        <x:f>IF(AND(ISNUMBER($F2),ISNUMBER($G2),$H2=$L2),Reglas!$B$3,0)</x:f>
        <x:v>0</x:v>
      </x:c>
      <x:c r="P2" t="n">
        <x:f>IF(AND(AND(ISNUMBER($F2),ISNUMBER($G2),$H2=$L2),$I2=$M2),Reglas!$B$4,0)</x:f>
        <x:v>0</x:v>
      </x:c>
      <x:c r="Q2" t="n">
        <x:f>IF(AND(AND(AND(ISNUMBER($F2),ISNUMBER($G2),$H2=$L2),$I2=$M2,NOT(AND($I2="Penales",$F2&lt;&gt;$G2))),$F2=$J2,$G2=$K2),Reglas!$B$5,0)</x:f>
        <x:v>0</x:v>
      </x:c>
      <x:c r="R2" t="n">
        <x:f>IF(AND(AND(AND(ISNUMBER($F2),ISNUMBER($G2),$H2=$L2),$I2=$M2,NOT(AND($I2="Penales",$F2&lt;&gt;$G2))),$F2-$G2=$J2-$K2),Reglas!$B$6,0)</x:f>
        <x:v>0</x:v>
      </x:c>
      <x:c r="S2" t="n">
        <x:f>IF(AND(AND(AND(ISNUMBER($F2),ISNUMBER($G2),$H2=$L2),$I2=$M2,NOT(AND($I2="Penales",$F2&lt;&gt;$G2))),$F2=$J2),Reglas!$B$7,0)</x:f>
        <x:v>0</x:v>
      </x:c>
      <x:c r="T2" t="n">
        <x:f>IF(AND(AND(AND(ISNUMBER($F2),ISNUMBER($G2),$H2=$L2),$I2=$M2,NOT(AND($I2="Penales",$F2&lt;&gt;$G2))),$G2=$K2),Reglas!$B$8,0)</x:f>
        <x:v>0</x:v>
      </x:c>
      <x:c r="U2" t="n">
        <x:f>SUM(N2:T2)</x:f>
        <x:v>0</x:v>
      </x:c>
      <x:c r="V2" t="str">
        <x:f>IF($W2="Sin respuesta","Sin envio",IF($U2&gt;0,"OK","Sin puntos"))</x:f>
        <x:v>Sin puntos</x:v>
      </x:c>
      <x:c r="W2" t="str">
        <x:v>Google Forms</x:v>
      </x:c>
    </x:row>
    <x:row r="3" ht="15" hidden="0" customHeight="1">
      <x:c r="A3" t="str">
        <x:v>Final</x:v>
      </x:c>
      <x:c r="B3" t="str">
        <x:v>F</x:v>
      </x:c>
      <x:c r="C3" t="str">
        <x:v>Freddy</x:v>
      </x:c>
      <x:c r="D3" t="str">
        <x:v>España</x:v>
      </x:c>
      <x:c r="E3" t="str">
        <x:v>Argentina</x:v>
      </x:c>
      <x:c r="F3" t="n">
        <x:v>2</x:v>
      </x:c>
      <x:c r="G3" t="n">
        <x:v>3</x:v>
      </x:c>
      <x:c r="H3" t="str">
        <x:v>Argentina</x:v>
      </x:c>
      <x:c r="I3" t="str">
        <x:v>90 minutos</x:v>
      </x:c>
      <x:c r="J3" t="n">
        <x:v>1</x:v>
      </x:c>
      <x:c r="K3" t="n">
        <x:v>0</x:v>
      </x:c>
      <x:c r="L3" t="str">
        <x:v>España</x:v>
      </x:c>
      <x:c r="M3" t="str">
        <x:v>Suplementario</x:v>
      </x:c>
      <x:c r="N3" t="n">
        <x:f>IF(AND(AND(ISNUMBER($F3),ISNUMBER($G3),$H3=$L3),IF($I3="90 minutos",IF($F3&gt;$G3,"A",IF($G3&gt;$F3,"B","E")),"E")=IF($M3="90 minutos",IF($J3&gt;$K3,"A",IF($K3&gt;$J3,"B","E")),"E")),Reglas!$B$2,0)</x:f>
        <x:v>0</x:v>
      </x:c>
      <x:c r="O3" t="n">
        <x:f>IF(AND(ISNUMBER($F3),ISNUMBER($G3),$H3=$L3),Reglas!$B$3,0)</x:f>
        <x:v>0</x:v>
      </x:c>
      <x:c r="P3" t="n">
        <x:f>IF(AND(AND(ISNUMBER($F3),ISNUMBER($G3),$H3=$L3),$I3=$M3),Reglas!$B$4,0)</x:f>
        <x:v>0</x:v>
      </x:c>
      <x:c r="Q3" t="n">
        <x:f>IF(AND(AND(AND(ISNUMBER($F3),ISNUMBER($G3),$H3=$L3),$I3=$M3,NOT(AND($I3="Penales",$F3&lt;&gt;$G3))),$F3=$J3,$G3=$K3),Reglas!$B$5,0)</x:f>
        <x:v>0</x:v>
      </x:c>
      <x:c r="R3" t="n">
        <x:f>IF(AND(AND(AND(ISNUMBER($F3),ISNUMBER($G3),$H3=$L3),$I3=$M3,NOT(AND($I3="Penales",$F3&lt;&gt;$G3))),$F3-$G3=$J3-$K3),Reglas!$B$6,0)</x:f>
        <x:v>0</x:v>
      </x:c>
      <x:c r="S3" t="n">
        <x:f>IF(AND(AND(AND(ISNUMBER($F3),ISNUMBER($G3),$H3=$L3),$I3=$M3,NOT(AND($I3="Penales",$F3&lt;&gt;$G3))),$F3=$J3),Reglas!$B$7,0)</x:f>
        <x:v>0</x:v>
      </x:c>
      <x:c r="T3" t="n">
        <x:f>IF(AND(AND(AND(ISNUMBER($F3),ISNUMBER($G3),$H3=$L3),$I3=$M3,NOT(AND($I3="Penales",$F3&lt;&gt;$G3))),$G3=$K3),Reglas!$B$8,0)</x:f>
        <x:v>0</x:v>
      </x:c>
      <x:c r="U3" t="n">
        <x:f>SUM(N3:T3)</x:f>
        <x:v>0</x:v>
      </x:c>
      <x:c r="V3" t="str">
        <x:f>IF($W3="Sin respuesta","Sin envio",IF($U3&gt;0,"OK","Sin puntos"))</x:f>
        <x:v>Sin puntos</x:v>
      </x:c>
      <x:c r="W3" t="str">
        <x:v>Google Forms</x:v>
      </x:c>
    </x:row>
    <x:row r="4" ht="15" hidden="0" customHeight="1">
      <x:c r="A4" t="str">
        <x:v>Tercer puesto</x:v>
      </x:c>
      <x:c r="B4" t="str">
        <x:v>TP</x:v>
      </x:c>
      <x:c r="C4" t="str">
        <x:v>Gabriela</x:v>
      </x:c>
      <x:c r="D4" t="str">
        <x:v>Inglaterra</x:v>
      </x:c>
      <x:c r="E4" t="str">
        <x:v>Francia</x:v>
      </x:c>
      <x:c r="F4" t="n">
        <x:v>2</x:v>
      </x:c>
      <x:c r="G4" t="n">
        <x:v>1</x:v>
      </x:c>
      <x:c r="H4" t="str">
        <x:v>Inglaterra</x:v>
      </x:c>
      <x:c r="I4" t="str">
        <x:v>90 minutos</x:v>
      </x:c>
      <x:c r="J4" t="n">
        <x:v>6</x:v>
      </x:c>
      <x:c r="K4" t="n">
        <x:v>4</x:v>
      </x:c>
      <x:c r="L4" t="str">
        <x:v>Inglaterra</x:v>
      </x:c>
      <x:c r="M4" t="str">
        <x:v>90 minutos</x:v>
      </x:c>
      <x:c r="N4" t="n">
        <x:f>IF(AND(AND(ISNUMBER($F4),ISNUMBER($G4),$H4=$L4),IF($I4="90 minutos",IF($F4&gt;$G4,"A",IF($G4&gt;$F4,"B","E")),"E")=IF($M4="90 minutos",IF($J4&gt;$K4,"A",IF($K4&gt;$J4,"B","E")),"E")),Reglas!$B$2,0)</x:f>
        <x:v>5</x:v>
      </x:c>
      <x:c r="O4" t="n">
        <x:f>IF(AND(ISNUMBER($F4),ISNUMBER($G4),$H4=$L4),Reglas!$B$3,0)</x:f>
        <x:v>3</x:v>
      </x:c>
      <x:c r="P4" t="n">
        <x:f>IF(AND(AND(ISNUMBER($F4),ISNUMBER($G4),$H4=$L4),$I4=$M4),Reglas!$B$4,0)</x:f>
        <x:v>2</x:v>
      </x:c>
      <x:c r="Q4" t="n">
        <x:f>IF(AND(AND(AND(ISNUMBER($F4),ISNUMBER($G4),$H4=$L4),$I4=$M4,NOT(AND($I4="Penales",$F4&lt;&gt;$G4))),$F4=$J4,$G4=$K4),Reglas!$B$5,0)</x:f>
        <x:v>0</x:v>
      </x:c>
      <x:c r="R4" t="n">
        <x:f>IF(AND(AND(AND(ISNUMBER($F4),ISNUMBER($G4),$H4=$L4),$I4=$M4,NOT(AND($I4="Penales",$F4&lt;&gt;$G4))),$F4-$G4=$J4-$K4),Reglas!$B$6,0)</x:f>
        <x:v>0</x:v>
      </x:c>
      <x:c r="S4" t="n">
        <x:f>IF(AND(AND(AND(ISNUMBER($F4),ISNUMBER($G4),$H4=$L4),$I4=$M4,NOT(AND($I4="Penales",$F4&lt;&gt;$G4))),$F4=$J4),Reglas!$B$7,0)</x:f>
        <x:v>0</x:v>
      </x:c>
      <x:c r="T4" t="n">
        <x:f>IF(AND(AND(AND(ISNUMBER($F4),ISNUMBER($G4),$H4=$L4),$I4=$M4,NOT(AND($I4="Penales",$F4&lt;&gt;$G4))),$G4=$K4),Reglas!$B$8,0)</x:f>
        <x:v>0</x:v>
      </x:c>
      <x:c r="U4" t="n">
        <x:f>SUM(N4:T4)</x:f>
        <x:v>10</x:v>
      </x:c>
      <x:c r="V4" t="str">
        <x:f>IF($W4="Sin respuesta","Sin envio",IF($U4&gt;0,"OK","Sin puntos"))</x:f>
        <x:v>OK</x:v>
      </x:c>
      <x:c r="W4" t="str">
        <x:v>Google Forms</x:v>
      </x:c>
    </x:row>
    <x:row r="5" ht="15" hidden="0" customHeight="1">
      <x:c r="A5" t="str">
        <x:v>Final</x:v>
      </x:c>
      <x:c r="B5" t="str">
        <x:v>F</x:v>
      </x:c>
      <x:c r="C5" t="str">
        <x:v>Gabriela</x:v>
      </x:c>
      <x:c r="D5" t="str">
        <x:v>España</x:v>
      </x:c>
      <x:c r="E5" t="str">
        <x:v>Argentina</x:v>
      </x:c>
      <x:c r="F5" t="n">
        <x:v>3</x:v>
      </x:c>
      <x:c r="G5" t="n">
        <x:v>1</x:v>
      </x:c>
      <x:c r="H5" t="str">
        <x:v>España</x:v>
      </x:c>
      <x:c r="I5" t="str">
        <x:v>Suplementario</x:v>
      </x:c>
      <x:c r="J5" t="n">
        <x:v>1</x:v>
      </x:c>
      <x:c r="K5" t="n">
        <x:v>0</x:v>
      </x:c>
      <x:c r="L5" t="str">
        <x:v>España</x:v>
      </x:c>
      <x:c r="M5" t="str">
        <x:v>Suplementario</x:v>
      </x:c>
      <x:c r="N5" t="n">
        <x:f>IF(AND(AND(ISNUMBER($F5),ISNUMBER($G5),$H5=$L5),IF($I5="90 minutos",IF($F5&gt;$G5,"A",IF($G5&gt;$F5,"B","E")),"E")=IF($M5="90 minutos",IF($J5&gt;$K5,"A",IF($K5&gt;$J5,"B","E")),"E")),Reglas!$B$2,0)</x:f>
        <x:v>5</x:v>
      </x:c>
      <x:c r="O5" t="n">
        <x:f>IF(AND(ISNUMBER($F5),ISNUMBER($G5),$H5=$L5),Reglas!$B$3,0)</x:f>
        <x:v>3</x:v>
      </x:c>
      <x:c r="P5" t="n">
        <x:f>IF(AND(AND(ISNUMBER($F5),ISNUMBER($G5),$H5=$L5),$I5=$M5),Reglas!$B$4,0)</x:f>
        <x:v>2</x:v>
      </x:c>
      <x:c r="Q5" t="n">
        <x:f>IF(AND(AND(AND(ISNUMBER($F5),ISNUMBER($G5),$H5=$L5),$I5=$M5,NOT(AND($I5="Penales",$F5&lt;&gt;$G5))),$F5=$J5,$G5=$K5),Reglas!$B$5,0)</x:f>
        <x:v>0</x:v>
      </x:c>
      <x:c r="R5" t="n">
        <x:f>IF(AND(AND(AND(ISNUMBER($F5),ISNUMBER($G5),$H5=$L5),$I5=$M5,NOT(AND($I5="Penales",$F5&lt;&gt;$G5))),$F5-$G5=$J5-$K5),Reglas!$B$6,0)</x:f>
        <x:v>0</x:v>
      </x:c>
      <x:c r="S5" t="n">
        <x:f>IF(AND(AND(AND(ISNUMBER($F5),ISNUMBER($G5),$H5=$L5),$I5=$M5,NOT(AND($I5="Penales",$F5&lt;&gt;$G5))),$F5=$J5),Reglas!$B$7,0)</x:f>
        <x:v>0</x:v>
      </x:c>
      <x:c r="T5" t="n">
        <x:f>IF(AND(AND(AND(ISNUMBER($F5),ISNUMBER($G5),$H5=$L5),$I5=$M5,NOT(AND($I5="Penales",$F5&lt;&gt;$G5))),$G5=$K5),Reglas!$B$8,0)</x:f>
        <x:v>0</x:v>
      </x:c>
      <x:c r="U5" t="n">
        <x:f>SUM(N5:T5)</x:f>
        <x:v>10</x:v>
      </x:c>
      <x:c r="V5" t="str">
        <x:f>IF($W5="Sin respuesta","Sin envio",IF($U5&gt;0,"OK","Sin puntos"))</x:f>
        <x:v>OK</x:v>
      </x:c>
      <x:c r="W5" t="str">
        <x:v>Google Forms</x:v>
      </x:c>
    </x:row>
    <x:row r="6" ht="15" hidden="0" customHeight="1">
      <x:c r="A6" t="str">
        <x:v>Tercer puesto</x:v>
      </x:c>
      <x:c r="B6" t="str">
        <x:v>TP</x:v>
      </x:c>
      <x:c r="C6" t="str">
        <x:v>Jean</x:v>
      </x:c>
      <x:c r="D6" t="str">
        <x:v>Inglaterra</x:v>
      </x:c>
      <x:c r="E6" t="str">
        <x:v>Francia</x:v>
      </x:c>
      <x:c r="F6" t="n">
        <x:v>1</x:v>
      </x:c>
      <x:c r="G6" t="n">
        <x:v>2</x:v>
      </x:c>
      <x:c r="H6" t="str">
        <x:v>Francia</x:v>
      </x:c>
      <x:c r="I6" t="str">
        <x:v>90 minutos</x:v>
      </x:c>
      <x:c r="J6" t="n">
        <x:v>6</x:v>
      </x:c>
      <x:c r="K6" t="n">
        <x:v>4</x:v>
      </x:c>
      <x:c r="L6" t="str">
        <x:v>Inglaterra</x:v>
      </x:c>
      <x:c r="M6" t="str">
        <x:v>90 minutos</x:v>
      </x:c>
      <x:c r="N6" t="n">
        <x:f>IF(AND(AND(ISNUMBER($F6),ISNUMBER($G6),$H6=$L6),IF($I6="90 minutos",IF($F6&gt;$G6,"A",IF($G6&gt;$F6,"B","E")),"E")=IF($M6="90 minutos",IF($J6&gt;$K6,"A",IF($K6&gt;$J6,"B","E")),"E")),Reglas!$B$2,0)</x:f>
        <x:v>0</x:v>
      </x:c>
      <x:c r="O6" t="n">
        <x:f>IF(AND(ISNUMBER($F6),ISNUMBER($G6),$H6=$L6),Reglas!$B$3,0)</x:f>
        <x:v>0</x:v>
      </x:c>
      <x:c r="P6" t="n">
        <x:f>IF(AND(AND(ISNUMBER($F6),ISNUMBER($G6),$H6=$L6),$I6=$M6),Reglas!$B$4,0)</x:f>
        <x:v>0</x:v>
      </x:c>
      <x:c r="Q6" t="n">
        <x:f>IF(AND(AND(AND(ISNUMBER($F6),ISNUMBER($G6),$H6=$L6),$I6=$M6,NOT(AND($I6="Penales",$F6&lt;&gt;$G6))),$F6=$J6,$G6=$K6),Reglas!$B$5,0)</x:f>
        <x:v>0</x:v>
      </x:c>
      <x:c r="R6" t="n">
        <x:f>IF(AND(AND(AND(ISNUMBER($F6),ISNUMBER($G6),$H6=$L6),$I6=$M6,NOT(AND($I6="Penales",$F6&lt;&gt;$G6))),$F6-$G6=$J6-$K6),Reglas!$B$6,0)</x:f>
        <x:v>0</x:v>
      </x:c>
      <x:c r="S6" t="n">
        <x:f>IF(AND(AND(AND(ISNUMBER($F6),ISNUMBER($G6),$H6=$L6),$I6=$M6,NOT(AND($I6="Penales",$F6&lt;&gt;$G6))),$F6=$J6),Reglas!$B$7,0)</x:f>
        <x:v>0</x:v>
      </x:c>
      <x:c r="T6" t="n">
        <x:f>IF(AND(AND(AND(ISNUMBER($F6),ISNUMBER($G6),$H6=$L6),$I6=$M6,NOT(AND($I6="Penales",$F6&lt;&gt;$G6))),$G6=$K6),Reglas!$B$8,0)</x:f>
        <x:v>0</x:v>
      </x:c>
      <x:c r="U6" t="n">
        <x:f>SUM(N6:T6)</x:f>
        <x:v>0</x:v>
      </x:c>
      <x:c r="V6" t="str">
        <x:f>IF($W6="Sin respuesta","Sin envio",IF($U6&gt;0,"OK","Sin puntos"))</x:f>
        <x:v>Sin puntos</x:v>
      </x:c>
      <x:c r="W6" t="str">
        <x:v>Google Forms</x:v>
      </x:c>
    </x:row>
    <x:row r="7" ht="15" hidden="0" customHeight="1">
      <x:c r="A7" t="str">
        <x:v>Final</x:v>
      </x:c>
      <x:c r="B7" t="str">
        <x:v>F</x:v>
      </x:c>
      <x:c r="C7" t="str">
        <x:v>Jean</x:v>
      </x:c>
      <x:c r="D7" t="str">
        <x:v>España</x:v>
      </x:c>
      <x:c r="E7" t="str">
        <x:v>Argentina</x:v>
      </x:c>
      <x:c r="F7" t="n">
        <x:v>1</x:v>
      </x:c>
      <x:c r="G7" t="n">
        <x:v>2</x:v>
      </x:c>
      <x:c r="H7" t="str">
        <x:v>Argentina</x:v>
      </x:c>
      <x:c r="I7" t="str">
        <x:v>90 minutos</x:v>
      </x:c>
      <x:c r="J7" t="n">
        <x:v>1</x:v>
      </x:c>
      <x:c r="K7" t="n">
        <x:v>0</x:v>
      </x:c>
      <x:c r="L7" t="str">
        <x:v>España</x:v>
      </x:c>
      <x:c r="M7" t="str">
        <x:v>Suplementario</x:v>
      </x:c>
      <x:c r="N7" t="n">
        <x:f>IF(AND(AND(ISNUMBER($F7),ISNUMBER($G7),$H7=$L7),IF($I7="90 minutos",IF($F7&gt;$G7,"A",IF($G7&gt;$F7,"B","E")),"E")=IF($M7="90 minutos",IF($J7&gt;$K7,"A",IF($K7&gt;$J7,"B","E")),"E")),Reglas!$B$2,0)</x:f>
        <x:v>0</x:v>
      </x:c>
      <x:c r="O7" t="n">
        <x:f>IF(AND(ISNUMBER($F7),ISNUMBER($G7),$H7=$L7),Reglas!$B$3,0)</x:f>
        <x:v>0</x:v>
      </x:c>
      <x:c r="P7" t="n">
        <x:f>IF(AND(AND(ISNUMBER($F7),ISNUMBER($G7),$H7=$L7),$I7=$M7),Reglas!$B$4,0)</x:f>
        <x:v>0</x:v>
      </x:c>
      <x:c r="Q7" t="n">
        <x:f>IF(AND(AND(AND(ISNUMBER($F7),ISNUMBER($G7),$H7=$L7),$I7=$M7,NOT(AND($I7="Penales",$F7&lt;&gt;$G7))),$F7=$J7,$G7=$K7),Reglas!$B$5,0)</x:f>
        <x:v>0</x:v>
      </x:c>
      <x:c r="R7" t="n">
        <x:f>IF(AND(AND(AND(ISNUMBER($F7),ISNUMBER($G7),$H7=$L7),$I7=$M7,NOT(AND($I7="Penales",$F7&lt;&gt;$G7))),$F7-$G7=$J7-$K7),Reglas!$B$6,0)</x:f>
        <x:v>0</x:v>
      </x:c>
      <x:c r="S7" t="n">
        <x:f>IF(AND(AND(AND(ISNUMBER($F7),ISNUMBER($G7),$H7=$L7),$I7=$M7,NOT(AND($I7="Penales",$F7&lt;&gt;$G7))),$F7=$J7),Reglas!$B$7,0)</x:f>
        <x:v>0</x:v>
      </x:c>
      <x:c r="T7" t="n">
        <x:f>IF(AND(AND(AND(ISNUMBER($F7),ISNUMBER($G7),$H7=$L7),$I7=$M7,NOT(AND($I7="Penales",$F7&lt;&gt;$G7))),$G7=$K7),Reglas!$B$8,0)</x:f>
        <x:v>0</x:v>
      </x:c>
      <x:c r="U7" t="n">
        <x:f>SUM(N7:T7)</x:f>
        <x:v>0</x:v>
      </x:c>
      <x:c r="V7" t="str">
        <x:f>IF($W7="Sin respuesta","Sin envio",IF($U7&gt;0,"OK","Sin puntos"))</x:f>
        <x:v>Sin puntos</x:v>
      </x:c>
      <x:c r="W7" t="str">
        <x:v>Google Forms</x:v>
      </x:c>
    </x:row>
    <x:row r="8" ht="15" hidden="0" customHeight="1">
      <x:c r="A8" t="str">
        <x:v>Tercer puesto</x:v>
      </x:c>
      <x:c r="B8" t="str">
        <x:v>TP</x:v>
      </x:c>
      <x:c r="C8" t="str">
        <x:v>Juan</x:v>
      </x:c>
      <x:c r="D8" t="str">
        <x:v>Inglaterra</x:v>
      </x:c>
      <x:c r="E8" t="str">
        <x:v>Francia</x:v>
      </x:c>
      <x:c r="F8" t="n">
        <x:v>2</x:v>
      </x:c>
      <x:c r="G8" t="n">
        <x:v>3</x:v>
      </x:c>
      <x:c r="H8" t="str">
        <x:v>Francia</x:v>
      </x:c>
      <x:c r="I8" t="str">
        <x:v>90 minutos</x:v>
      </x:c>
      <x:c r="J8" t="n">
        <x:v>6</x:v>
      </x:c>
      <x:c r="K8" t="n">
        <x:v>4</x:v>
      </x:c>
      <x:c r="L8" t="str">
        <x:v>Inglaterra</x:v>
      </x:c>
      <x:c r="M8" t="str">
        <x:v>90 minutos</x:v>
      </x:c>
      <x:c r="N8" t="n">
        <x:f>IF(AND(AND(ISNUMBER($F8),ISNUMBER($G8),$H8=$L8),IF($I8="90 minutos",IF($F8&gt;$G8,"A",IF($G8&gt;$F8,"B","E")),"E")=IF($M8="90 minutos",IF($J8&gt;$K8,"A",IF($K8&gt;$J8,"B","E")),"E")),Reglas!$B$2,0)</x:f>
        <x:v>0</x:v>
      </x:c>
      <x:c r="O8" t="n">
        <x:f>IF(AND(ISNUMBER($F8),ISNUMBER($G8),$H8=$L8),Reglas!$B$3,0)</x:f>
        <x:v>0</x:v>
      </x:c>
      <x:c r="P8" t="n">
        <x:f>IF(AND(AND(ISNUMBER($F8),ISNUMBER($G8),$H8=$L8),$I8=$M8),Reglas!$B$4,0)</x:f>
        <x:v>0</x:v>
      </x:c>
      <x:c r="Q8" t="n">
        <x:f>IF(AND(AND(AND(ISNUMBER($F8),ISNUMBER($G8),$H8=$L8),$I8=$M8,NOT(AND($I8="Penales",$F8&lt;&gt;$G8))),$F8=$J8,$G8=$K8),Reglas!$B$5,0)</x:f>
        <x:v>0</x:v>
      </x:c>
      <x:c r="R8" t="n">
        <x:f>IF(AND(AND(AND(ISNUMBER($F8),ISNUMBER($G8),$H8=$L8),$I8=$M8,NOT(AND($I8="Penales",$F8&lt;&gt;$G8))),$F8-$G8=$J8-$K8),Reglas!$B$6,0)</x:f>
        <x:v>0</x:v>
      </x:c>
      <x:c r="S8" t="n">
        <x:f>IF(AND(AND(AND(ISNUMBER($F8),ISNUMBER($G8),$H8=$L8),$I8=$M8,NOT(AND($I8="Penales",$F8&lt;&gt;$G8))),$F8=$J8),Reglas!$B$7,0)</x:f>
        <x:v>0</x:v>
      </x:c>
      <x:c r="T8" t="n">
        <x:f>IF(AND(AND(AND(ISNUMBER($F8),ISNUMBER($G8),$H8=$L8),$I8=$M8,NOT(AND($I8="Penales",$F8&lt;&gt;$G8))),$G8=$K8),Reglas!$B$8,0)</x:f>
        <x:v>0</x:v>
      </x:c>
      <x:c r="U8" t="n">
        <x:f>SUM(N8:T8)</x:f>
        <x:v>0</x:v>
      </x:c>
      <x:c r="V8" t="str">
        <x:f>IF($W8="Sin respuesta","Sin envio",IF($U8&gt;0,"OK","Sin puntos"))</x:f>
        <x:v>Sin puntos</x:v>
      </x:c>
      <x:c r="W8" t="str">
        <x:v>Google Forms</x:v>
      </x:c>
    </x:row>
    <x:row r="9" ht="15" hidden="0" customHeight="1">
      <x:c r="A9" t="str">
        <x:v>Final</x:v>
      </x:c>
      <x:c r="B9" t="str">
        <x:v>F</x:v>
      </x:c>
      <x:c r="C9" t="str">
        <x:v>Juan</x:v>
      </x:c>
      <x:c r="D9" t="str">
        <x:v>España</x:v>
      </x:c>
      <x:c r="E9" t="str">
        <x:v>Argentina</x:v>
      </x:c>
      <x:c r="F9" t="n">
        <x:v>1</x:v>
      </x:c>
      <x:c r="G9" t="n">
        <x:v>2</x:v>
      </x:c>
      <x:c r="H9" t="str">
        <x:v>Argentina</x:v>
      </x:c>
      <x:c r="I9" t="str">
        <x:v>90 minutos</x:v>
      </x:c>
      <x:c r="J9" t="n">
        <x:v>1</x:v>
      </x:c>
      <x:c r="K9" t="n">
        <x:v>0</x:v>
      </x:c>
      <x:c r="L9" t="str">
        <x:v>España</x:v>
      </x:c>
      <x:c r="M9" t="str">
        <x:v>Suplementario</x:v>
      </x:c>
      <x:c r="N9" t="n">
        <x:f>IF(AND(AND(ISNUMBER($F9),ISNUMBER($G9),$H9=$L9),IF($I9="90 minutos",IF($F9&gt;$G9,"A",IF($G9&gt;$F9,"B","E")),"E")=IF($M9="90 minutos",IF($J9&gt;$K9,"A",IF($K9&gt;$J9,"B","E")),"E")),Reglas!$B$2,0)</x:f>
        <x:v>0</x:v>
      </x:c>
      <x:c r="O9" t="n">
        <x:f>IF(AND(ISNUMBER($F9),ISNUMBER($G9),$H9=$L9),Reglas!$B$3,0)</x:f>
        <x:v>0</x:v>
      </x:c>
      <x:c r="P9" t="n">
        <x:f>IF(AND(AND(ISNUMBER($F9),ISNUMBER($G9),$H9=$L9),$I9=$M9),Reglas!$B$4,0)</x:f>
        <x:v>0</x:v>
      </x:c>
      <x:c r="Q9" t="n">
        <x:f>IF(AND(AND(AND(ISNUMBER($F9),ISNUMBER($G9),$H9=$L9),$I9=$M9,NOT(AND($I9="Penales",$F9&lt;&gt;$G9))),$F9=$J9,$G9=$K9),Reglas!$B$5,0)</x:f>
        <x:v>0</x:v>
      </x:c>
      <x:c r="R9" t="n">
        <x:f>IF(AND(AND(AND(ISNUMBER($F9),ISNUMBER($G9),$H9=$L9),$I9=$M9,NOT(AND($I9="Penales",$F9&lt;&gt;$G9))),$F9-$G9=$J9-$K9),Reglas!$B$6,0)</x:f>
        <x:v>0</x:v>
      </x:c>
      <x:c r="S9" t="n">
        <x:f>IF(AND(AND(AND(ISNUMBER($F9),ISNUMBER($G9),$H9=$L9),$I9=$M9,NOT(AND($I9="Penales",$F9&lt;&gt;$G9))),$F9=$J9),Reglas!$B$7,0)</x:f>
        <x:v>0</x:v>
      </x:c>
      <x:c r="T9" t="n">
        <x:f>IF(AND(AND(AND(ISNUMBER($F9),ISNUMBER($G9),$H9=$L9),$I9=$M9,NOT(AND($I9="Penales",$F9&lt;&gt;$G9))),$G9=$K9),Reglas!$B$8,0)</x:f>
        <x:v>0</x:v>
      </x:c>
      <x:c r="U9" t="n">
        <x:f>SUM(N9:T9)</x:f>
        <x:v>0</x:v>
      </x:c>
      <x:c r="V9" t="str">
        <x:f>IF($W9="Sin respuesta","Sin envio",IF($U9&gt;0,"OK","Sin puntos"))</x:f>
        <x:v>Sin puntos</x:v>
      </x:c>
      <x:c r="W9" t="str">
        <x:v>Google Forms</x:v>
      </x:c>
    </x:row>
    <x:row r="10" ht="15" hidden="0" customHeight="1">
      <x:c r="A10" t="str">
        <x:v>Tercer puesto</x:v>
      </x:c>
      <x:c r="B10" t="str">
        <x:v>TP</x:v>
      </x:c>
      <x:c r="C10" t="str">
        <x:v>Jesús</x:v>
      </x:c>
      <x:c r="D10" t="str">
        <x:v>Inglaterra</x:v>
      </x:c>
      <x:c r="E10" t="str">
        <x:v>Francia</x:v>
      </x:c>
      <x:c r="F10" t="n">
        <x:v>2</x:v>
      </x:c>
      <x:c r="G10" t="n">
        <x:v>1</x:v>
      </x:c>
      <x:c r="H10" t="str">
        <x:v>Francia</x:v>
      </x:c>
      <x:c r="I10" t="str">
        <x:v>90 minutos</x:v>
      </x:c>
      <x:c r="J10" t="n">
        <x:v>6</x:v>
      </x:c>
      <x:c r="K10" t="n">
        <x:v>4</x:v>
      </x:c>
      <x:c r="L10" t="str">
        <x:v>Inglaterra</x:v>
      </x:c>
      <x:c r="M10" t="str">
        <x:v>90 minutos</x:v>
      </x:c>
      <x:c r="N10" t="n">
        <x:f>IF(AND(AND(ISNUMBER($F10),ISNUMBER($G10),$H10=$L10),IF($I10="90 minutos",IF($F10&gt;$G10,"A",IF($G10&gt;$F10,"B","E")),"E")=IF($M10="90 minutos",IF($J10&gt;$K10,"A",IF($K10&gt;$J10,"B","E")),"E")),Reglas!$B$2,0)</x:f>
        <x:v>0</x:v>
      </x:c>
      <x:c r="O10" t="n">
        <x:f>IF(AND(ISNUMBER($F10),ISNUMBER($G10),$H10=$L10),Reglas!$B$3,0)</x:f>
        <x:v>0</x:v>
      </x:c>
      <x:c r="P10" t="n">
        <x:f>IF(AND(AND(ISNUMBER($F10),ISNUMBER($G10),$H10=$L10),$I10=$M10),Reglas!$B$4,0)</x:f>
        <x:v>0</x:v>
      </x:c>
      <x:c r="Q10" t="n">
        <x:f>IF(AND(AND(AND(ISNUMBER($F10),ISNUMBER($G10),$H10=$L10),$I10=$M10,NOT(AND($I10="Penales",$F10&lt;&gt;$G10))),$F10=$J10,$G10=$K10),Reglas!$B$5,0)</x:f>
        <x:v>0</x:v>
      </x:c>
      <x:c r="R10" t="n">
        <x:f>IF(AND(AND(AND(ISNUMBER($F10),ISNUMBER($G10),$H10=$L10),$I10=$M10,NOT(AND($I10="Penales",$F10&lt;&gt;$G10))),$F10-$G10=$J10-$K10),Reglas!$B$6,0)</x:f>
        <x:v>0</x:v>
      </x:c>
      <x:c r="S10" t="n">
        <x:f>IF(AND(AND(AND(ISNUMBER($F10),ISNUMBER($G10),$H10=$L10),$I10=$M10,NOT(AND($I10="Penales",$F10&lt;&gt;$G10))),$F10=$J10),Reglas!$B$7,0)</x:f>
        <x:v>0</x:v>
      </x:c>
      <x:c r="T10" t="n">
        <x:f>IF(AND(AND(AND(ISNUMBER($F10),ISNUMBER($G10),$H10=$L10),$I10=$M10,NOT(AND($I10="Penales",$F10&lt;&gt;$G10))),$G10=$K10),Reglas!$B$8,0)</x:f>
        <x:v>0</x:v>
      </x:c>
      <x:c r="U10" t="n">
        <x:f>SUM(N10:T10)</x:f>
        <x:v>0</x:v>
      </x:c>
      <x:c r="V10" t="str">
        <x:f>IF($W10="Sin respuesta","Sin envio",IF($U10&gt;0,"OK","Sin puntos"))</x:f>
        <x:v>Sin puntos</x:v>
      </x:c>
      <x:c r="W10" t="str">
        <x:v>Google Forms</x:v>
      </x:c>
    </x:row>
    <x:row r="11" ht="15" hidden="0" customHeight="1">
      <x:c r="A11" t="str">
        <x:v>Final</x:v>
      </x:c>
      <x:c r="B11" t="str">
        <x:v>F</x:v>
      </x:c>
      <x:c r="C11" t="str">
        <x:v>Jesús</x:v>
      </x:c>
      <x:c r="D11" t="str">
        <x:v>España</x:v>
      </x:c>
      <x:c r="E11" t="str">
        <x:v>Argentina</x:v>
      </x:c>
      <x:c r="F11" t="n">
        <x:v>2</x:v>
      </x:c>
      <x:c r="G11" t="n">
        <x:v>1</x:v>
      </x:c>
      <x:c r="H11" t="str">
        <x:v>España</x:v>
      </x:c>
      <x:c r="I11" t="str">
        <x:v>90 minutos</x:v>
      </x:c>
      <x:c r="J11" t="n">
        <x:v>1</x:v>
      </x:c>
      <x:c r="K11" t="n">
        <x:v>0</x:v>
      </x:c>
      <x:c r="L11" t="str">
        <x:v>España</x:v>
      </x:c>
      <x:c r="M11" t="str">
        <x:v>Suplementario</x:v>
      </x:c>
      <x:c r="N11" t="n">
        <x:f>IF(AND(AND(ISNUMBER($F11),ISNUMBER($G11),$H11=$L11),IF($I11="90 minutos",IF($F11&gt;$G11,"A",IF($G11&gt;$F11,"B","E")),"E")=IF($M11="90 minutos",IF($J11&gt;$K11,"A",IF($K11&gt;$J11,"B","E")),"E")),Reglas!$B$2,0)</x:f>
        <x:v>0</x:v>
      </x:c>
      <x:c r="O11" t="n">
        <x:f>IF(AND(ISNUMBER($F11),ISNUMBER($G11),$H11=$L11),Reglas!$B$3,0)</x:f>
        <x:v>3</x:v>
      </x:c>
      <x:c r="P11" t="n">
        <x:f>IF(AND(AND(ISNUMBER($F11),ISNUMBER($G11),$H11=$L11),$I11=$M11),Reglas!$B$4,0)</x:f>
        <x:v>0</x:v>
      </x:c>
      <x:c r="Q11" t="n">
        <x:f>IF(AND(AND(AND(ISNUMBER($F11),ISNUMBER($G11),$H11=$L11),$I11=$M11,NOT(AND($I11="Penales",$F11&lt;&gt;$G11))),$F11=$J11,$G11=$K11),Reglas!$B$5,0)</x:f>
        <x:v>0</x:v>
      </x:c>
      <x:c r="R11" t="n">
        <x:f>IF(AND(AND(AND(ISNUMBER($F11),ISNUMBER($G11),$H11=$L11),$I11=$M11,NOT(AND($I11="Penales",$F11&lt;&gt;$G11))),$F11-$G11=$J11-$K11),Reglas!$B$6,0)</x:f>
        <x:v>0</x:v>
      </x:c>
      <x:c r="S11" t="n">
        <x:f>IF(AND(AND(AND(ISNUMBER($F11),ISNUMBER($G11),$H11=$L11),$I11=$M11,NOT(AND($I11="Penales",$F11&lt;&gt;$G11))),$F11=$J11),Reglas!$B$7,0)</x:f>
        <x:v>0</x:v>
      </x:c>
      <x:c r="T11" t="n">
        <x:f>IF(AND(AND(AND(ISNUMBER($F11),ISNUMBER($G11),$H11=$L11),$I11=$M11,NOT(AND($I11="Penales",$F11&lt;&gt;$G11))),$G11=$K11),Reglas!$B$8,0)</x:f>
        <x:v>0</x:v>
      </x:c>
      <x:c r="U11" t="n">
        <x:f>SUM(N11:T11)</x:f>
        <x:v>3</x:v>
      </x:c>
      <x:c r="V11" t="str">
        <x:f>IF($W11="Sin respuesta","Sin envio",IF($U11&gt;0,"OK","Sin puntos"))</x:f>
        <x:v>OK</x:v>
      </x:c>
      <x:c r="W11" t="str">
        <x:v>Google Forms</x:v>
      </x:c>
    </x:row>
    <x:row r="12" ht="15" hidden="0" customHeight="1">
      <x:c r="A12" t="str">
        <x:v>Tercer puesto</x:v>
      </x:c>
      <x:c r="B12" t="str">
        <x:v>TP</x:v>
      </x:c>
      <x:c r="C12" t="str">
        <x:v>Diego</x:v>
      </x:c>
      <x:c r="D12" t="str">
        <x:v>Inglaterra</x:v>
      </x:c>
      <x:c r="E12" t="str">
        <x:v>Francia</x:v>
      </x:c>
      <x:c r="F12" t="n">
        <x:v>1</x:v>
      </x:c>
      <x:c r="G12" t="n">
        <x:v>3</x:v>
      </x:c>
      <x:c r="H12" t="str">
        <x:v>Francia</x:v>
      </x:c>
      <x:c r="I12" t="str">
        <x:v>90 minutos</x:v>
      </x:c>
      <x:c r="J12" t="n">
        <x:v>6</x:v>
      </x:c>
      <x:c r="K12" t="n">
        <x:v>4</x:v>
      </x:c>
      <x:c r="L12" t="str">
        <x:v>Inglaterra</x:v>
      </x:c>
      <x:c r="M12" t="str">
        <x:v>90 minutos</x:v>
      </x:c>
      <x:c r="N12" t="n">
        <x:f>IF(AND(AND(ISNUMBER($F12),ISNUMBER($G12),$H12=$L12),IF($I12="90 minutos",IF($F12&gt;$G12,"A",IF($G12&gt;$F12,"B","E")),"E")=IF($M12="90 minutos",IF($J12&gt;$K12,"A",IF($K12&gt;$J12,"B","E")),"E")),Reglas!$B$2,0)</x:f>
        <x:v>0</x:v>
      </x:c>
      <x:c r="O12" t="n">
        <x:f>IF(AND(ISNUMBER($F12),ISNUMBER($G12),$H12=$L12),Reglas!$B$3,0)</x:f>
        <x:v>0</x:v>
      </x:c>
      <x:c r="P12" t="n">
        <x:f>IF(AND(AND(ISNUMBER($F12),ISNUMBER($G12),$H12=$L12),$I12=$M12),Reglas!$B$4,0)</x:f>
        <x:v>0</x:v>
      </x:c>
      <x:c r="Q12" t="n">
        <x:f>IF(AND(AND(AND(ISNUMBER($F12),ISNUMBER($G12),$H12=$L12),$I12=$M12,NOT(AND($I12="Penales",$F12&lt;&gt;$G12))),$F12=$J12,$G12=$K12),Reglas!$B$5,0)</x:f>
        <x:v>0</x:v>
      </x:c>
      <x:c r="R12" t="n">
        <x:f>IF(AND(AND(AND(ISNUMBER($F12),ISNUMBER($G12),$H12=$L12),$I12=$M12,NOT(AND($I12="Penales",$F12&lt;&gt;$G12))),$F12-$G12=$J12-$K12),Reglas!$B$6,0)</x:f>
        <x:v>0</x:v>
      </x:c>
      <x:c r="S12" t="n">
        <x:f>IF(AND(AND(AND(ISNUMBER($F12),ISNUMBER($G12),$H12=$L12),$I12=$M12,NOT(AND($I12="Penales",$F12&lt;&gt;$G12))),$F12=$J12),Reglas!$B$7,0)</x:f>
        <x:v>0</x:v>
      </x:c>
      <x:c r="T12" t="n">
        <x:f>IF(AND(AND(AND(ISNUMBER($F12),ISNUMBER($G12),$H12=$L12),$I12=$M12,NOT(AND($I12="Penales",$F12&lt;&gt;$G12))),$G12=$K12),Reglas!$B$8,0)</x:f>
        <x:v>0</x:v>
      </x:c>
      <x:c r="U12" t="n">
        <x:f>SUM(N12:T12)</x:f>
        <x:v>0</x:v>
      </x:c>
      <x:c r="V12" t="str">
        <x:f>IF($W12="Sin respuesta","Sin envio",IF($U12&gt;0,"OK","Sin puntos"))</x:f>
        <x:v>Sin puntos</x:v>
      </x:c>
      <x:c r="W12" t="str">
        <x:v>Google Forms</x:v>
      </x:c>
    </x:row>
    <x:row r="13" ht="15" hidden="0" customHeight="1">
      <x:c r="A13" t="str">
        <x:v>Final</x:v>
      </x:c>
      <x:c r="B13" t="str">
        <x:v>F</x:v>
      </x:c>
      <x:c r="C13" t="str">
        <x:v>Diego</x:v>
      </x:c>
      <x:c r="D13" t="str">
        <x:v>España</x:v>
      </x:c>
      <x:c r="E13" t="str">
        <x:v>Argentina</x:v>
      </x:c>
      <x:c r="F13" t="n">
        <x:v>1</x:v>
      </x:c>
      <x:c r="G13" t="n">
        <x:v>2</x:v>
      </x:c>
      <x:c r="H13" t="str">
        <x:v>Argentina</x:v>
      </x:c>
      <x:c r="I13" t="str">
        <x:v>90 minutos</x:v>
      </x:c>
      <x:c r="J13" t="n">
        <x:v>1</x:v>
      </x:c>
      <x:c r="K13" t="n">
        <x:v>0</x:v>
      </x:c>
      <x:c r="L13" t="str">
        <x:v>España</x:v>
      </x:c>
      <x:c r="M13" t="str">
        <x:v>Suplementario</x:v>
      </x:c>
      <x:c r="N13" t="n">
        <x:f>IF(AND(AND(ISNUMBER($F13),ISNUMBER($G13),$H13=$L13),IF($I13="90 minutos",IF($F13&gt;$G13,"A",IF($G13&gt;$F13,"B","E")),"E")=IF($M13="90 minutos",IF($J13&gt;$K13,"A",IF($K13&gt;$J13,"B","E")),"E")),Reglas!$B$2,0)</x:f>
        <x:v>0</x:v>
      </x:c>
      <x:c r="O13" t="n">
        <x:f>IF(AND(ISNUMBER($F13),ISNUMBER($G13),$H13=$L13),Reglas!$B$3,0)</x:f>
        <x:v>0</x:v>
      </x:c>
      <x:c r="P13" t="n">
        <x:f>IF(AND(AND(ISNUMBER($F13),ISNUMBER($G13),$H13=$L13),$I13=$M13),Reglas!$B$4,0)</x:f>
        <x:v>0</x:v>
      </x:c>
      <x:c r="Q13" t="n">
        <x:f>IF(AND(AND(AND(ISNUMBER($F13),ISNUMBER($G13),$H13=$L13),$I13=$M13,NOT(AND($I13="Penales",$F13&lt;&gt;$G13))),$F13=$J13,$G13=$K13),Reglas!$B$5,0)</x:f>
        <x:v>0</x:v>
      </x:c>
      <x:c r="R13" t="n">
        <x:f>IF(AND(AND(AND(ISNUMBER($F13),ISNUMBER($G13),$H13=$L13),$I13=$M13,NOT(AND($I13="Penales",$F13&lt;&gt;$G13))),$F13-$G13=$J13-$K13),Reglas!$B$6,0)</x:f>
        <x:v>0</x:v>
      </x:c>
      <x:c r="S13" t="n">
        <x:f>IF(AND(AND(AND(ISNUMBER($F13),ISNUMBER($G13),$H13=$L13),$I13=$M13,NOT(AND($I13="Penales",$F13&lt;&gt;$G13))),$F13=$J13),Reglas!$B$7,0)</x:f>
        <x:v>0</x:v>
      </x:c>
      <x:c r="T13" t="n">
        <x:f>IF(AND(AND(AND(ISNUMBER($F13),ISNUMBER($G13),$H13=$L13),$I13=$M13,NOT(AND($I13="Penales",$F13&lt;&gt;$G13))),$G13=$K13),Reglas!$B$8,0)</x:f>
        <x:v>0</x:v>
      </x:c>
      <x:c r="U13" t="n">
        <x:f>SUM(N13:T13)</x:f>
        <x:v>0</x:v>
      </x:c>
      <x:c r="V13" t="str">
        <x:f>IF($W13="Sin respuesta","Sin envio",IF($U13&gt;0,"OK","Sin puntos"))</x:f>
        <x:v>Sin puntos</x:v>
      </x:c>
      <x:c r="W13" t="str">
        <x:v>Google Forms</x:v>
      </x:c>
    </x:row>
    <x:row r="14" ht="15" hidden="0" customHeight="1">
      <x:c r="A14" t="str">
        <x:v>Tercer puesto</x:v>
      </x:c>
      <x:c r="B14" t="str">
        <x:v>TP</x:v>
      </x:c>
      <x:c r="C14" t="str">
        <x:v>Aldo</x:v>
      </x:c>
      <x:c r="D14" t="str">
        <x:v>Inglaterra</x:v>
      </x:c>
      <x:c r="E14" t="str">
        <x:v>Francia</x:v>
      </x:c>
      <x:c r="F14" t="n">
        <x:v>2</x:v>
      </x:c>
      <x:c r="G14" t="n">
        <x:v>1</x:v>
      </x:c>
      <x:c r="H14" t="str">
        <x:v>Inglaterra</x:v>
      </x:c>
      <x:c r="I14" t="str">
        <x:v>Suplementario</x:v>
      </x:c>
      <x:c r="J14" t="n">
        <x:v>6</x:v>
      </x:c>
      <x:c r="K14" t="n">
        <x:v>4</x:v>
      </x:c>
      <x:c r="L14" t="str">
        <x:v>Inglaterra</x:v>
      </x:c>
      <x:c r="M14" t="str">
        <x:v>90 minutos</x:v>
      </x:c>
      <x:c r="N14" t="n">
        <x:f>IF(AND(AND(ISNUMBER($F14),ISNUMBER($G14),$H14=$L14),IF($I14="90 minutos",IF($F14&gt;$G14,"A",IF($G14&gt;$F14,"B","E")),"E")=IF($M14="90 minutos",IF($J14&gt;$K14,"A",IF($K14&gt;$J14,"B","E")),"E")),Reglas!$B$2,0)</x:f>
        <x:v>0</x:v>
      </x:c>
      <x:c r="O14" t="n">
        <x:f>IF(AND(ISNUMBER($F14),ISNUMBER($G14),$H14=$L14),Reglas!$B$3,0)</x:f>
        <x:v>3</x:v>
      </x:c>
      <x:c r="P14" t="n">
        <x:f>IF(AND(AND(ISNUMBER($F14),ISNUMBER($G14),$H14=$L14),$I14=$M14),Reglas!$B$4,0)</x:f>
        <x:v>0</x:v>
      </x:c>
      <x:c r="Q14" t="n">
        <x:f>IF(AND(AND(AND(ISNUMBER($F14),ISNUMBER($G14),$H14=$L14),$I14=$M14,NOT(AND($I14="Penales",$F14&lt;&gt;$G14))),$F14=$J14,$G14=$K14),Reglas!$B$5,0)</x:f>
        <x:v>0</x:v>
      </x:c>
      <x:c r="R14" t="n">
        <x:f>IF(AND(AND(AND(ISNUMBER($F14),ISNUMBER($G14),$H14=$L14),$I14=$M14,NOT(AND($I14="Penales",$F14&lt;&gt;$G14))),$F14-$G14=$J14-$K14),Reglas!$B$6,0)</x:f>
        <x:v>0</x:v>
      </x:c>
      <x:c r="S14" t="n">
        <x:f>IF(AND(AND(AND(ISNUMBER($F14),ISNUMBER($G14),$H14=$L14),$I14=$M14,NOT(AND($I14="Penales",$F14&lt;&gt;$G14))),$F14=$J14),Reglas!$B$7,0)</x:f>
        <x:v>0</x:v>
      </x:c>
      <x:c r="T14" t="n">
        <x:f>IF(AND(AND(AND(ISNUMBER($F14),ISNUMBER($G14),$H14=$L14),$I14=$M14,NOT(AND($I14="Penales",$F14&lt;&gt;$G14))),$G14=$K14),Reglas!$B$8,0)</x:f>
        <x:v>0</x:v>
      </x:c>
      <x:c r="U14" t="n">
        <x:f>SUM(N14:T14)</x:f>
        <x:v>3</x:v>
      </x:c>
      <x:c r="V14" t="str">
        <x:f>IF($W14="Sin respuesta","Sin envio",IF($U14&gt;0,"OK","Sin puntos"))</x:f>
        <x:v>OK</x:v>
      </x:c>
      <x:c r="W14" t="str">
        <x:v>Google Forms</x:v>
      </x:c>
    </x:row>
    <x:row r="15" ht="15" hidden="0" customHeight="1">
      <x:c r="A15" t="str">
        <x:v>Final</x:v>
      </x:c>
      <x:c r="B15" t="str">
        <x:v>F</x:v>
      </x:c>
      <x:c r="C15" t="str">
        <x:v>Aldo</x:v>
      </x:c>
      <x:c r="D15" t="str">
        <x:v>España</x:v>
      </x:c>
      <x:c r="E15" t="str">
        <x:v>Argentina</x:v>
      </x:c>
      <x:c r="F15" t="n">
        <x:v>2</x:v>
      </x:c>
      <x:c r="G15" t="n">
        <x:v>1</x:v>
      </x:c>
      <x:c r="H15" t="str">
        <x:v>España</x:v>
      </x:c>
      <x:c r="I15" t="str">
        <x:v>Suplementario</x:v>
      </x:c>
      <x:c r="J15" t="n">
        <x:v>1</x:v>
      </x:c>
      <x:c r="K15" t="n">
        <x:v>0</x:v>
      </x:c>
      <x:c r="L15" t="str">
        <x:v>España</x:v>
      </x:c>
      <x:c r="M15" t="str">
        <x:v>Suplementario</x:v>
      </x:c>
      <x:c r="N15" t="n">
        <x:f>IF(AND(AND(ISNUMBER($F15),ISNUMBER($G15),$H15=$L15),IF($I15="90 minutos",IF($F15&gt;$G15,"A",IF($G15&gt;$F15,"B","E")),"E")=IF($M15="90 minutos",IF($J15&gt;$K15,"A",IF($K15&gt;$J15,"B","E")),"E")),Reglas!$B$2,0)</x:f>
        <x:v>5</x:v>
      </x:c>
      <x:c r="O15" t="n">
        <x:f>IF(AND(ISNUMBER($F15),ISNUMBER($G15),$H15=$L15),Reglas!$B$3,0)</x:f>
        <x:v>3</x:v>
      </x:c>
      <x:c r="P15" t="n">
        <x:f>IF(AND(AND(ISNUMBER($F15),ISNUMBER($G15),$H15=$L15),$I15=$M15),Reglas!$B$4,0)</x:f>
        <x:v>2</x:v>
      </x:c>
      <x:c r="Q15" t="n">
        <x:f>IF(AND(AND(AND(ISNUMBER($F15),ISNUMBER($G15),$H15=$L15),$I15=$M15,NOT(AND($I15="Penales",$F15&lt;&gt;$G15))),$F15=$J15,$G15=$K15),Reglas!$B$5,0)</x:f>
        <x:v>0</x:v>
      </x:c>
      <x:c r="R15" t="n">
        <x:f>IF(AND(AND(AND(ISNUMBER($F15),ISNUMBER($G15),$H15=$L15),$I15=$M15,NOT(AND($I15="Penales",$F15&lt;&gt;$G15))),$F15-$G15=$J15-$K15),Reglas!$B$6,0)</x:f>
        <x:v>2</x:v>
      </x:c>
      <x:c r="S15" t="n">
        <x:f>IF(AND(AND(AND(ISNUMBER($F15),ISNUMBER($G15),$H15=$L15),$I15=$M15,NOT(AND($I15="Penales",$F15&lt;&gt;$G15))),$F15=$J15),Reglas!$B$7,0)</x:f>
        <x:v>0</x:v>
      </x:c>
      <x:c r="T15" t="n">
        <x:f>IF(AND(AND(AND(ISNUMBER($F15),ISNUMBER($G15),$H15=$L15),$I15=$M15,NOT(AND($I15="Penales",$F15&lt;&gt;$G15))),$G15=$K15),Reglas!$B$8,0)</x:f>
        <x:v>0</x:v>
      </x:c>
      <x:c r="U15" t="n">
        <x:f>SUM(N15:T15)</x:f>
        <x:v>12</x:v>
      </x:c>
      <x:c r="V15" t="str">
        <x:f>IF($W15="Sin respuesta","Sin envio",IF($U15&gt;0,"OK","Sin puntos"))</x:f>
        <x:v>OK</x:v>
      </x:c>
      <x:c r="W15" t="str">
        <x:v>Google Forms</x:v>
      </x:c>
    </x:row>
    <x:row r="16" ht="15" hidden="0" customHeight="1">
      <x:c r="A16" t="str">
        <x:v>Tercer puesto</x:v>
      </x:c>
      <x:c r="B16" t="str">
        <x:v>TP</x:v>
      </x:c>
      <x:c r="C16" t="str">
        <x:v>Javier</x:v>
      </x:c>
      <x:c r="D16" t="str">
        <x:v>Inglaterra</x:v>
      </x:c>
      <x:c r="E16" t="str">
        <x:v>Francia</x:v>
      </x:c>
      <x:c r="F16"/>
      <x:c r="G16"/>
      <x:c r="H16" t="str">
        <x:v>Sin envio</x:v>
      </x:c>
      <x:c r="I16" t="str">
        <x:v>Sin envio</x:v>
      </x:c>
      <x:c r="J16" t="n">
        <x:v>6</x:v>
      </x:c>
      <x:c r="K16" t="n">
        <x:v>4</x:v>
      </x:c>
      <x:c r="L16" t="str">
        <x:v>Inglaterra</x:v>
      </x:c>
      <x:c r="M16" t="str">
        <x:v>90 minutos</x:v>
      </x:c>
      <x:c r="N16" t="n">
        <x:f>IF(AND(AND(ISNUMBER($F16),ISNUMBER($G16),$H16=$L16),IF($I16="90 minutos",IF($F16&gt;$G16,"A",IF($G16&gt;$F16,"B","E")),"E")=IF($M16="90 minutos",IF($J16&gt;$K16,"A",IF($K16&gt;$J16,"B","E")),"E")),Reglas!$B$2,0)</x:f>
        <x:v>0</x:v>
      </x:c>
      <x:c r="O16" t="n">
        <x:f>IF(AND(ISNUMBER($F16),ISNUMBER($G16),$H16=$L16),Reglas!$B$3,0)</x:f>
        <x:v>0</x:v>
      </x:c>
      <x:c r="P16" t="n">
        <x:f>IF(AND(AND(ISNUMBER($F16),ISNUMBER($G16),$H16=$L16),$I16=$M16),Reglas!$B$4,0)</x:f>
        <x:v>0</x:v>
      </x:c>
      <x:c r="Q16" t="n">
        <x:f>IF(AND(AND(AND(ISNUMBER($F16),ISNUMBER($G16),$H16=$L16),$I16=$M16,NOT(AND($I16="Penales",$F16&lt;&gt;$G16))),$F16=$J16,$G16=$K16),Reglas!$B$5,0)</x:f>
        <x:v>0</x:v>
      </x:c>
      <x:c r="R16" t="n">
        <x:f>IF(AND(AND(AND(ISNUMBER($F16),ISNUMBER($G16),$H16=$L16),$I16=$M16,NOT(AND($I16="Penales",$F16&lt;&gt;$G16))),$F16-$G16=$J16-$K16),Reglas!$B$6,0)</x:f>
        <x:v>0</x:v>
      </x:c>
      <x:c r="S16" t="n">
        <x:f>IF(AND(AND(AND(ISNUMBER($F16),ISNUMBER($G16),$H16=$L16),$I16=$M16,NOT(AND($I16="Penales",$F16&lt;&gt;$G16))),$F16=$J16),Reglas!$B$7,0)</x:f>
        <x:v>0</x:v>
      </x:c>
      <x:c r="T16" t="n">
        <x:f>IF(AND(AND(AND(ISNUMBER($F16),ISNUMBER($G16),$H16=$L16),$I16=$M16,NOT(AND($I16="Penales",$F16&lt;&gt;$G16))),$G16=$K16),Reglas!$B$8,0)</x:f>
        <x:v>0</x:v>
      </x:c>
      <x:c r="U16" t="n">
        <x:f>SUM(N16:T16)</x:f>
        <x:v>0</x:v>
      </x:c>
      <x:c r="V16" t="str">
        <x:f>IF($W16="Sin respuesta","Sin envio",IF($U16&gt;0,"OK","Sin puntos"))</x:f>
        <x:v>Sin envio</x:v>
      </x:c>
      <x:c r="W16" t="str">
        <x:v>Sin respuesta</x:v>
      </x:c>
    </x:row>
    <x:row r="17" ht="15" hidden="0" customHeight="1">
      <x:c r="A17" t="str">
        <x:v>Final</x:v>
      </x:c>
      <x:c r="B17" t="str">
        <x:v>F</x:v>
      </x:c>
      <x:c r="C17" t="str">
        <x:v>Javier</x:v>
      </x:c>
      <x:c r="D17" t="str">
        <x:v>España</x:v>
      </x:c>
      <x:c r="E17" t="str">
        <x:v>Argentina</x:v>
      </x:c>
      <x:c r="F17"/>
      <x:c r="G17"/>
      <x:c r="H17" t="str">
        <x:v>Sin envio</x:v>
      </x:c>
      <x:c r="I17" t="str">
        <x:v>Sin envio</x:v>
      </x:c>
      <x:c r="J17" t="n">
        <x:v>1</x:v>
      </x:c>
      <x:c r="K17" t="n">
        <x:v>0</x:v>
      </x:c>
      <x:c r="L17" t="str">
        <x:v>España</x:v>
      </x:c>
      <x:c r="M17" t="str">
        <x:v>Suplementario</x:v>
      </x:c>
      <x:c r="N17" t="n">
        <x:f>IF(AND(AND(ISNUMBER($F17),ISNUMBER($G17),$H17=$L17),IF($I17="90 minutos",IF($F17&gt;$G17,"A",IF($G17&gt;$F17,"B","E")),"E")=IF($M17="90 minutos",IF($J17&gt;$K17,"A",IF($K17&gt;$J17,"B","E")),"E")),Reglas!$B$2,0)</x:f>
        <x:v>0</x:v>
      </x:c>
      <x:c r="O17" t="n">
        <x:f>IF(AND(ISNUMBER($F17),ISNUMBER($G17),$H17=$L17),Reglas!$B$3,0)</x:f>
        <x:v>0</x:v>
      </x:c>
      <x:c r="P17" t="n">
        <x:f>IF(AND(AND(ISNUMBER($F17),ISNUMBER($G17),$H17=$L17),$I17=$M17),Reglas!$B$4,0)</x:f>
        <x:v>0</x:v>
      </x:c>
      <x:c r="Q17" t="n">
        <x:f>IF(AND(AND(AND(ISNUMBER($F17),ISNUMBER($G17),$H17=$L17),$I17=$M17,NOT(AND($I17="Penales",$F17&lt;&gt;$G17))),$F17=$J17,$G17=$K17),Reglas!$B$5,0)</x:f>
        <x:v>0</x:v>
      </x:c>
      <x:c r="R17" t="n">
        <x:f>IF(AND(AND(AND(ISNUMBER($F17),ISNUMBER($G17),$H17=$L17),$I17=$M17,NOT(AND($I17="Penales",$F17&lt;&gt;$G17))),$F17-$G17=$J17-$K17),Reglas!$B$6,0)</x:f>
        <x:v>0</x:v>
      </x:c>
      <x:c r="S17" t="n">
        <x:f>IF(AND(AND(AND(ISNUMBER($F17),ISNUMBER($G17),$H17=$L17),$I17=$M17,NOT(AND($I17="Penales",$F17&lt;&gt;$G17))),$F17=$J17),Reglas!$B$7,0)</x:f>
        <x:v>0</x:v>
      </x:c>
      <x:c r="T17" t="n">
        <x:f>IF(AND(AND(AND(ISNUMBER($F17),ISNUMBER($G17),$H17=$L17),$I17=$M17,NOT(AND($I17="Penales",$F17&lt;&gt;$G17))),$G17=$K17),Reglas!$B$8,0)</x:f>
        <x:v>0</x:v>
      </x:c>
      <x:c r="U17" t="n">
        <x:f>SUM(N17:T17)</x:f>
        <x:v>0</x:v>
      </x:c>
      <x:c r="V17" t="str">
        <x:f>IF($W17="Sin respuesta","Sin envio",IF($U17&gt;0,"OK","Sin puntos"))</x:f>
        <x:v>Sin envio</x:v>
      </x:c>
      <x:c r="W17" t="str">
        <x:v>Sin respuesta</x:v>
      </x:c>
    </x:row>
    <x:row r="18" ht="15" hidden="0" customHeight="1">
      <x:c r="A18" t="str">
        <x:v>Tercer puesto</x:v>
      </x:c>
      <x:c r="B18" t="str">
        <x:v>TP</x:v>
      </x:c>
      <x:c r="C18" t="str">
        <x:v>Gino</x:v>
      </x:c>
      <x:c r="D18" t="str">
        <x:v>Inglaterra</x:v>
      </x:c>
      <x:c r="E18" t="str">
        <x:v>Francia</x:v>
      </x:c>
      <x:c r="F18" t="n">
        <x:v>1</x:v>
      </x:c>
      <x:c r="G18" t="n">
        <x:v>3</x:v>
      </x:c>
      <x:c r="H18" t="str">
        <x:v>Francia</x:v>
      </x:c>
      <x:c r="I18" t="str">
        <x:v>90 minutos</x:v>
      </x:c>
      <x:c r="J18" t="n">
        <x:v>6</x:v>
      </x:c>
      <x:c r="K18" t="n">
        <x:v>4</x:v>
      </x:c>
      <x:c r="L18" t="str">
        <x:v>Inglaterra</x:v>
      </x:c>
      <x:c r="M18" t="str">
        <x:v>90 minutos</x:v>
      </x:c>
      <x:c r="N18" t="n">
        <x:f>IF(AND(AND(ISNUMBER($F18),ISNUMBER($G18),$H18=$L18),IF($I18="90 minutos",IF($F18&gt;$G18,"A",IF($G18&gt;$F18,"B","E")),"E")=IF($M18="90 minutos",IF($J18&gt;$K18,"A",IF($K18&gt;$J18,"B","E")),"E")),Reglas!$B$2,0)</x:f>
        <x:v>0</x:v>
      </x:c>
      <x:c r="O18" t="n">
        <x:f>IF(AND(ISNUMBER($F18),ISNUMBER($G18),$H18=$L18),Reglas!$B$3,0)</x:f>
        <x:v>0</x:v>
      </x:c>
      <x:c r="P18" t="n">
        <x:f>IF(AND(AND(ISNUMBER($F18),ISNUMBER($G18),$H18=$L18),$I18=$M18),Reglas!$B$4,0)</x:f>
        <x:v>0</x:v>
      </x:c>
      <x:c r="Q18" t="n">
        <x:f>IF(AND(AND(AND(ISNUMBER($F18),ISNUMBER($G18),$H18=$L18),$I18=$M18,NOT(AND($I18="Penales",$F18&lt;&gt;$G18))),$F18=$J18,$G18=$K18),Reglas!$B$5,0)</x:f>
        <x:v>0</x:v>
      </x:c>
      <x:c r="R18" t="n">
        <x:f>IF(AND(AND(AND(ISNUMBER($F18),ISNUMBER($G18),$H18=$L18),$I18=$M18,NOT(AND($I18="Penales",$F18&lt;&gt;$G18))),$F18-$G18=$J18-$K18),Reglas!$B$6,0)</x:f>
        <x:v>0</x:v>
      </x:c>
      <x:c r="S18" t="n">
        <x:f>IF(AND(AND(AND(ISNUMBER($F18),ISNUMBER($G18),$H18=$L18),$I18=$M18,NOT(AND($I18="Penales",$F18&lt;&gt;$G18))),$F18=$J18),Reglas!$B$7,0)</x:f>
        <x:v>0</x:v>
      </x:c>
      <x:c r="T18" t="n">
        <x:f>IF(AND(AND(AND(ISNUMBER($F18),ISNUMBER($G18),$H18=$L18),$I18=$M18,NOT(AND($I18="Penales",$F18&lt;&gt;$G18))),$G18=$K18),Reglas!$B$8,0)</x:f>
        <x:v>0</x:v>
      </x:c>
      <x:c r="U18" t="n">
        <x:f>SUM(N18:T18)</x:f>
        <x:v>0</x:v>
      </x:c>
      <x:c r="V18" t="str">
        <x:f>IF($W18="Sin respuesta","Sin envio",IF($U18&gt;0,"OK","Sin puntos"))</x:f>
        <x:v>Sin puntos</x:v>
      </x:c>
      <x:c r="W18" t="str">
        <x:v>Google Forms</x:v>
      </x:c>
    </x:row>
    <x:row r="19" ht="15" hidden="0" customHeight="1">
      <x:c r="A19" t="str">
        <x:v>Final</x:v>
      </x:c>
      <x:c r="B19" t="str">
        <x:v>F</x:v>
      </x:c>
      <x:c r="C19" t="str">
        <x:v>Gino</x:v>
      </x:c>
      <x:c r="D19" t="str">
        <x:v>España</x:v>
      </x:c>
      <x:c r="E19" t="str">
        <x:v>Argentina</x:v>
      </x:c>
      <x:c r="F19" t="n">
        <x:v>1</x:v>
      </x:c>
      <x:c r="G19" t="n">
        <x:v>2</x:v>
      </x:c>
      <x:c r="H19" t="str">
        <x:v>Argentina</x:v>
      </x:c>
      <x:c r="I19" t="str">
        <x:v>90 minutos</x:v>
      </x:c>
      <x:c r="J19" t="n">
        <x:v>1</x:v>
      </x:c>
      <x:c r="K19" t="n">
        <x:v>0</x:v>
      </x:c>
      <x:c r="L19" t="str">
        <x:v>España</x:v>
      </x:c>
      <x:c r="M19" t="str">
        <x:v>Suplementario</x:v>
      </x:c>
      <x:c r="N19" t="n">
        <x:f>IF(AND(AND(ISNUMBER($F19),ISNUMBER($G19),$H19=$L19),IF($I19="90 minutos",IF($F19&gt;$G19,"A",IF($G19&gt;$F19,"B","E")),"E")=IF($M19="90 minutos",IF($J19&gt;$K19,"A",IF($K19&gt;$J19,"B","E")),"E")),Reglas!$B$2,0)</x:f>
        <x:v>0</x:v>
      </x:c>
      <x:c r="O19" t="n">
        <x:f>IF(AND(ISNUMBER($F19),ISNUMBER($G19),$H19=$L19),Reglas!$B$3,0)</x:f>
        <x:v>0</x:v>
      </x:c>
      <x:c r="P19" t="n">
        <x:f>IF(AND(AND(ISNUMBER($F19),ISNUMBER($G19),$H19=$L19),$I19=$M19),Reglas!$B$4,0)</x:f>
        <x:v>0</x:v>
      </x:c>
      <x:c r="Q19" t="n">
        <x:f>IF(AND(AND(AND(ISNUMBER($F19),ISNUMBER($G19),$H19=$L19),$I19=$M19,NOT(AND($I19="Penales",$F19&lt;&gt;$G19))),$F19=$J19,$G19=$K19),Reglas!$B$5,0)</x:f>
        <x:v>0</x:v>
      </x:c>
      <x:c r="R19" t="n">
        <x:f>IF(AND(AND(AND(ISNUMBER($F19),ISNUMBER($G19),$H19=$L19),$I19=$M19,NOT(AND($I19="Penales",$F19&lt;&gt;$G19))),$F19-$G19=$J19-$K19),Reglas!$B$6,0)</x:f>
        <x:v>0</x:v>
      </x:c>
      <x:c r="S19" t="n">
        <x:f>IF(AND(AND(AND(ISNUMBER($F19),ISNUMBER($G19),$H19=$L19),$I19=$M19,NOT(AND($I19="Penales",$F19&lt;&gt;$G19))),$F19=$J19),Reglas!$B$7,0)</x:f>
        <x:v>0</x:v>
      </x:c>
      <x:c r="T19" t="n">
        <x:f>IF(AND(AND(AND(ISNUMBER($F19),ISNUMBER($G19),$H19=$L19),$I19=$M19,NOT(AND($I19="Penales",$F19&lt;&gt;$G19))),$G19=$K19),Reglas!$B$8,0)</x:f>
        <x:v>0</x:v>
      </x:c>
      <x:c r="U19" t="n">
        <x:f>SUM(N19:T19)</x:f>
        <x:v>0</x:v>
      </x:c>
      <x:c r="V19" t="str">
        <x:f>IF($W19="Sin respuesta","Sin envio",IF($U19&gt;0,"OK","Sin puntos"))</x:f>
        <x:v>Sin puntos</x:v>
      </x:c>
      <x:c r="W19" t="str">
        <x:v>Google Forms</x:v>
      </x:c>
    </x:row>
    <x:row r="20" ht="15" hidden="0" customHeight="1">
      <x:c r="A20" t="str">
        <x:v>Tercer puesto</x:v>
      </x:c>
      <x:c r="B20" t="str">
        <x:v>TP</x:v>
      </x:c>
      <x:c r="C20" t="str">
        <x:v>Manuel</x:v>
      </x:c>
      <x:c r="D20" t="str">
        <x:v>Inglaterra</x:v>
      </x:c>
      <x:c r="E20" t="str">
        <x:v>Francia</x:v>
      </x:c>
      <x:c r="F20"/>
      <x:c r="G20"/>
      <x:c r="H20" t="str">
        <x:v>Sin envio</x:v>
      </x:c>
      <x:c r="I20" t="str">
        <x:v>Sin envio</x:v>
      </x:c>
      <x:c r="J20" t="n">
        <x:v>6</x:v>
      </x:c>
      <x:c r="K20" t="n">
        <x:v>4</x:v>
      </x:c>
      <x:c r="L20" t="str">
        <x:v>Inglaterra</x:v>
      </x:c>
      <x:c r="M20" t="str">
        <x:v>90 minutos</x:v>
      </x:c>
      <x:c r="N20" t="n">
        <x:f>IF(AND(AND(ISNUMBER($F20),ISNUMBER($G20),$H20=$L20),IF($I20="90 minutos",IF($F20&gt;$G20,"A",IF($G20&gt;$F20,"B","E")),"E")=IF($M20="90 minutos",IF($J20&gt;$K20,"A",IF($K20&gt;$J20,"B","E")),"E")),Reglas!$B$2,0)</x:f>
        <x:v>0</x:v>
      </x:c>
      <x:c r="O20" t="n">
        <x:f>IF(AND(ISNUMBER($F20),ISNUMBER($G20),$H20=$L20),Reglas!$B$3,0)</x:f>
        <x:v>0</x:v>
      </x:c>
      <x:c r="P20" t="n">
        <x:f>IF(AND(AND(ISNUMBER($F20),ISNUMBER($G20),$H20=$L20),$I20=$M20),Reglas!$B$4,0)</x:f>
        <x:v>0</x:v>
      </x:c>
      <x:c r="Q20" t="n">
        <x:f>IF(AND(AND(AND(ISNUMBER($F20),ISNUMBER($G20),$H20=$L20),$I20=$M20,NOT(AND($I20="Penales",$F20&lt;&gt;$G20))),$F20=$J20,$G20=$K20),Reglas!$B$5,0)</x:f>
        <x:v>0</x:v>
      </x:c>
      <x:c r="R20" t="n">
        <x:f>IF(AND(AND(AND(ISNUMBER($F20),ISNUMBER($G20),$H20=$L20),$I20=$M20,NOT(AND($I20="Penales",$F20&lt;&gt;$G20))),$F20-$G20=$J20-$K20),Reglas!$B$6,0)</x:f>
        <x:v>0</x:v>
      </x:c>
      <x:c r="S20" t="n">
        <x:f>IF(AND(AND(AND(ISNUMBER($F20),ISNUMBER($G20),$H20=$L20),$I20=$M20,NOT(AND($I20="Penales",$F20&lt;&gt;$G20))),$F20=$J20),Reglas!$B$7,0)</x:f>
        <x:v>0</x:v>
      </x:c>
      <x:c r="T20" t="n">
        <x:f>IF(AND(AND(AND(ISNUMBER($F20),ISNUMBER($G20),$H20=$L20),$I20=$M20,NOT(AND($I20="Penales",$F20&lt;&gt;$G20))),$G20=$K20),Reglas!$B$8,0)</x:f>
        <x:v>0</x:v>
      </x:c>
      <x:c r="U20" t="n">
        <x:f>SUM(N20:T20)</x:f>
        <x:v>0</x:v>
      </x:c>
      <x:c r="V20" t="str">
        <x:f>IF($W20="Sin respuesta","Sin envio",IF($U20&gt;0,"OK","Sin puntos"))</x:f>
        <x:v>Sin envio</x:v>
      </x:c>
      <x:c r="W20" t="str">
        <x:v>Sin respuesta</x:v>
      </x:c>
    </x:row>
    <x:row r="21" ht="15" hidden="0" customHeight="1">
      <x:c r="A21" t="str">
        <x:v>Final</x:v>
      </x:c>
      <x:c r="B21" t="str">
        <x:v>F</x:v>
      </x:c>
      <x:c r="C21" t="str">
        <x:v>Manuel</x:v>
      </x:c>
      <x:c r="D21" t="str">
        <x:v>España</x:v>
      </x:c>
      <x:c r="E21" t="str">
        <x:v>Argentina</x:v>
      </x:c>
      <x:c r="F21"/>
      <x:c r="G21"/>
      <x:c r="H21" t="str">
        <x:v>Sin envio</x:v>
      </x:c>
      <x:c r="I21" t="str">
        <x:v>Sin envio</x:v>
      </x:c>
      <x:c r="J21" t="n">
        <x:v>1</x:v>
      </x:c>
      <x:c r="K21" t="n">
        <x:v>0</x:v>
      </x:c>
      <x:c r="L21" t="str">
        <x:v>España</x:v>
      </x:c>
      <x:c r="M21" t="str">
        <x:v>Suplementario</x:v>
      </x:c>
      <x:c r="N21" t="n">
        <x:f>IF(AND(AND(ISNUMBER($F21),ISNUMBER($G21),$H21=$L21),IF($I21="90 minutos",IF($F21&gt;$G21,"A",IF($G21&gt;$F21,"B","E")),"E")=IF($M21="90 minutos",IF($J21&gt;$K21,"A",IF($K21&gt;$J21,"B","E")),"E")),Reglas!$B$2,0)</x:f>
        <x:v>0</x:v>
      </x:c>
      <x:c r="O21" t="n">
        <x:f>IF(AND(ISNUMBER($F21),ISNUMBER($G21),$H21=$L21),Reglas!$B$3,0)</x:f>
        <x:v>0</x:v>
      </x:c>
      <x:c r="P21" t="n">
        <x:f>IF(AND(AND(ISNUMBER($F21),ISNUMBER($G21),$H21=$L21),$I21=$M21),Reglas!$B$4,0)</x:f>
        <x:v>0</x:v>
      </x:c>
      <x:c r="Q21" t="n">
        <x:f>IF(AND(AND(AND(ISNUMBER($F21),ISNUMBER($G21),$H21=$L21),$I21=$M21,NOT(AND($I21="Penales",$F21&lt;&gt;$G21))),$F21=$J21,$G21=$K21),Reglas!$B$5,0)</x:f>
        <x:v>0</x:v>
      </x:c>
      <x:c r="R21" t="n">
        <x:f>IF(AND(AND(AND(ISNUMBER($F21),ISNUMBER($G21),$H21=$L21),$I21=$M21,NOT(AND($I21="Penales",$F21&lt;&gt;$G21))),$F21-$G21=$J21-$K21),Reglas!$B$6,0)</x:f>
        <x:v>0</x:v>
      </x:c>
      <x:c r="S21" t="n">
        <x:f>IF(AND(AND(AND(ISNUMBER($F21),ISNUMBER($G21),$H21=$L21),$I21=$M21,NOT(AND($I21="Penales",$F21&lt;&gt;$G21))),$F21=$J21),Reglas!$B$7,0)</x:f>
        <x:v>0</x:v>
      </x:c>
      <x:c r="T21" t="n">
        <x:f>IF(AND(AND(AND(ISNUMBER($F21),ISNUMBER($G21),$H21=$L21),$I21=$M21,NOT(AND($I21="Penales",$F21&lt;&gt;$G21))),$G21=$K21),Reglas!$B$8,0)</x:f>
        <x:v>0</x:v>
      </x:c>
      <x:c r="U21" t="n">
        <x:f>SUM(N21:T21)</x:f>
        <x:v>0</x:v>
      </x:c>
      <x:c r="V21" t="str">
        <x:f>IF($W21="Sin respuesta","Sin envio",IF($U21&gt;0,"OK","Sin puntos"))</x:f>
        <x:v>Sin envio</x:v>
      </x:c>
      <x:c r="W21" t="str">
        <x:v>Sin respuesta</x:v>
      </x:c>
    </x:row>
    <x:row r="22" ht="15" hidden="0" customHeight="1">
      <x:c r="A22" t="str">
        <x:v>Tercer puesto</x:v>
      </x:c>
      <x:c r="B22" t="str">
        <x:v>TP</x:v>
      </x:c>
      <x:c r="C22" t="str">
        <x:v>Jorge</x:v>
      </x:c>
      <x:c r="D22" t="str">
        <x:v>Inglaterra</x:v>
      </x:c>
      <x:c r="E22" t="str">
        <x:v>Francia</x:v>
      </x:c>
      <x:c r="F22" t="n">
        <x:v>2</x:v>
      </x:c>
      <x:c r="G22" t="n">
        <x:v>4</x:v>
      </x:c>
      <x:c r="H22" t="str">
        <x:v>Francia</x:v>
      </x:c>
      <x:c r="I22" t="str">
        <x:v>90 minutos</x:v>
      </x:c>
      <x:c r="J22" t="n">
        <x:v>6</x:v>
      </x:c>
      <x:c r="K22" t="n">
        <x:v>4</x:v>
      </x:c>
      <x:c r="L22" t="str">
        <x:v>Inglaterra</x:v>
      </x:c>
      <x:c r="M22" t="str">
        <x:v>90 minutos</x:v>
      </x:c>
      <x:c r="N22" t="n">
        <x:f>IF(AND(AND(ISNUMBER($F22),ISNUMBER($G22),$H22=$L22),IF($I22="90 minutos",IF($F22&gt;$G22,"A",IF($G22&gt;$F22,"B","E")),"E")=IF($M22="90 minutos",IF($J22&gt;$K22,"A",IF($K22&gt;$J22,"B","E")),"E")),Reglas!$B$2,0)</x:f>
        <x:v>0</x:v>
      </x:c>
      <x:c r="O22" t="n">
        <x:f>IF(AND(ISNUMBER($F22),ISNUMBER($G22),$H22=$L22),Reglas!$B$3,0)</x:f>
        <x:v>0</x:v>
      </x:c>
      <x:c r="P22" t="n">
        <x:f>IF(AND(AND(ISNUMBER($F22),ISNUMBER($G22),$H22=$L22),$I22=$M22),Reglas!$B$4,0)</x:f>
        <x:v>0</x:v>
      </x:c>
      <x:c r="Q22" t="n">
        <x:f>IF(AND(AND(AND(ISNUMBER($F22),ISNUMBER($G22),$H22=$L22),$I22=$M22,NOT(AND($I22="Penales",$F22&lt;&gt;$G22))),$F22=$J22,$G22=$K22),Reglas!$B$5,0)</x:f>
        <x:v>0</x:v>
      </x:c>
      <x:c r="R22" t="n">
        <x:f>IF(AND(AND(AND(ISNUMBER($F22),ISNUMBER($G22),$H22=$L22),$I22=$M22,NOT(AND($I22="Penales",$F22&lt;&gt;$G22))),$F22-$G22=$J22-$K22),Reglas!$B$6,0)</x:f>
        <x:v>0</x:v>
      </x:c>
      <x:c r="S22" t="n">
        <x:f>IF(AND(AND(AND(ISNUMBER($F22),ISNUMBER($G22),$H22=$L22),$I22=$M22,NOT(AND($I22="Penales",$F22&lt;&gt;$G22))),$F22=$J22),Reglas!$B$7,0)</x:f>
        <x:v>0</x:v>
      </x:c>
      <x:c r="T22" t="n">
        <x:f>IF(AND(AND(AND(ISNUMBER($F22),ISNUMBER($G22),$H22=$L22),$I22=$M22,NOT(AND($I22="Penales",$F22&lt;&gt;$G22))),$G22=$K22),Reglas!$B$8,0)</x:f>
        <x:v>0</x:v>
      </x:c>
      <x:c r="U22" t="n">
        <x:f>SUM(N22:T22)</x:f>
        <x:v>0</x:v>
      </x:c>
      <x:c r="V22" t="str">
        <x:f>IF($W22="Sin respuesta","Sin envio",IF($U22&gt;0,"OK","Sin puntos"))</x:f>
        <x:v>Sin puntos</x:v>
      </x:c>
      <x:c r="W22" t="str">
        <x:v>Google Forms</x:v>
      </x:c>
    </x:row>
    <x:row r="23" ht="15" hidden="0" customHeight="1">
      <x:c r="A23" t="str">
        <x:v>Final</x:v>
      </x:c>
      <x:c r="B23" t="str">
        <x:v>F</x:v>
      </x:c>
      <x:c r="C23" t="str">
        <x:v>Jorge</x:v>
      </x:c>
      <x:c r="D23" t="str">
        <x:v>España</x:v>
      </x:c>
      <x:c r="E23" t="str">
        <x:v>Argentina</x:v>
      </x:c>
      <x:c r="F23" t="n">
        <x:v>3</x:v>
      </x:c>
      <x:c r="G23" t="n">
        <x:v>1</x:v>
      </x:c>
      <x:c r="H23" t="str">
        <x:v>España</x:v>
      </x:c>
      <x:c r="I23" t="str">
        <x:v>90 minutos</x:v>
      </x:c>
      <x:c r="J23" t="n">
        <x:v>1</x:v>
      </x:c>
      <x:c r="K23" t="n">
        <x:v>0</x:v>
      </x:c>
      <x:c r="L23" t="str">
        <x:v>España</x:v>
      </x:c>
      <x:c r="M23" t="str">
        <x:v>Suplementario</x:v>
      </x:c>
      <x:c r="N23" t="n">
        <x:f>IF(AND(AND(ISNUMBER($F23),ISNUMBER($G23),$H23=$L23),IF($I23="90 minutos",IF($F23&gt;$G23,"A",IF($G23&gt;$F23,"B","E")),"E")=IF($M23="90 minutos",IF($J23&gt;$K23,"A",IF($K23&gt;$J23,"B","E")),"E")),Reglas!$B$2,0)</x:f>
        <x:v>0</x:v>
      </x:c>
      <x:c r="O23" t="n">
        <x:f>IF(AND(ISNUMBER($F23),ISNUMBER($G23),$H23=$L23),Reglas!$B$3,0)</x:f>
        <x:v>3</x:v>
      </x:c>
      <x:c r="P23" t="n">
        <x:f>IF(AND(AND(ISNUMBER($F23),ISNUMBER($G23),$H23=$L23),$I23=$M23),Reglas!$B$4,0)</x:f>
        <x:v>0</x:v>
      </x:c>
      <x:c r="Q23" t="n">
        <x:f>IF(AND(AND(AND(ISNUMBER($F23),ISNUMBER($G23),$H23=$L23),$I23=$M23,NOT(AND($I23="Penales",$F23&lt;&gt;$G23))),$F23=$J23,$G23=$K23),Reglas!$B$5,0)</x:f>
        <x:v>0</x:v>
      </x:c>
      <x:c r="R23" t="n">
        <x:f>IF(AND(AND(AND(ISNUMBER($F23),ISNUMBER($G23),$H23=$L23),$I23=$M23,NOT(AND($I23="Penales",$F23&lt;&gt;$G23))),$F23-$G23=$J23-$K23),Reglas!$B$6,0)</x:f>
        <x:v>0</x:v>
      </x:c>
      <x:c r="S23" t="n">
        <x:f>IF(AND(AND(AND(ISNUMBER($F23),ISNUMBER($G23),$H23=$L23),$I23=$M23,NOT(AND($I23="Penales",$F23&lt;&gt;$G23))),$F23=$J23),Reglas!$B$7,0)</x:f>
        <x:v>0</x:v>
      </x:c>
      <x:c r="T23" t="n">
        <x:f>IF(AND(AND(AND(ISNUMBER($F23),ISNUMBER($G23),$H23=$L23),$I23=$M23,NOT(AND($I23="Penales",$F23&lt;&gt;$G23))),$G23=$K23),Reglas!$B$8,0)</x:f>
        <x:v>0</x:v>
      </x:c>
      <x:c r="U23" t="n">
        <x:f>SUM(N23:T23)</x:f>
        <x:v>3</x:v>
      </x:c>
      <x:c r="V23" t="str">
        <x:f>IF($W23="Sin respuesta","Sin envio",IF($U23&gt;0,"OK","Sin puntos"))</x:f>
        <x:v>OK</x:v>
      </x:c>
      <x:c r="W23" t="str">
        <x:v>Google Forms</x:v>
      </x:c>
    </x:row>
    <x:row r="24" ht="15" hidden="0" customHeight="1">
      <x:c r="A24" t="str">
        <x:v>Tercer puesto</x:v>
      </x:c>
      <x:c r="B24" t="str">
        <x:v>TP</x:v>
      </x:c>
      <x:c r="C24" t="str">
        <x:v>Daniel</x:v>
      </x:c>
      <x:c r="D24" t="str">
        <x:v>Inglaterra</x:v>
      </x:c>
      <x:c r="E24" t="str">
        <x:v>Francia</x:v>
      </x:c>
      <x:c r="F24"/>
      <x:c r="G24"/>
      <x:c r="H24" t="str">
        <x:v>Sin envio</x:v>
      </x:c>
      <x:c r="I24" t="str">
        <x:v>Sin envio</x:v>
      </x:c>
      <x:c r="J24" t="n">
        <x:v>6</x:v>
      </x:c>
      <x:c r="K24" t="n">
        <x:v>4</x:v>
      </x:c>
      <x:c r="L24" t="str">
        <x:v>Inglaterra</x:v>
      </x:c>
      <x:c r="M24" t="str">
        <x:v>90 minutos</x:v>
      </x:c>
      <x:c r="N24" t="n">
        <x:f>IF(AND(AND(ISNUMBER($F24),ISNUMBER($G24),$H24=$L24),IF($I24="90 minutos",IF($F24&gt;$G24,"A",IF($G24&gt;$F24,"B","E")),"E")=IF($M24="90 minutos",IF($J24&gt;$K24,"A",IF($K24&gt;$J24,"B","E")),"E")),Reglas!$B$2,0)</x:f>
        <x:v>0</x:v>
      </x:c>
      <x:c r="O24" t="n">
        <x:f>IF(AND(ISNUMBER($F24),ISNUMBER($G24),$H24=$L24),Reglas!$B$3,0)</x:f>
        <x:v>0</x:v>
      </x:c>
      <x:c r="P24" t="n">
        <x:f>IF(AND(AND(ISNUMBER($F24),ISNUMBER($G24),$H24=$L24),$I24=$M24),Reglas!$B$4,0)</x:f>
        <x:v>0</x:v>
      </x:c>
      <x:c r="Q24" t="n">
        <x:f>IF(AND(AND(AND(ISNUMBER($F24),ISNUMBER($G24),$H24=$L24),$I24=$M24,NOT(AND($I24="Penales",$F24&lt;&gt;$G24))),$F24=$J24,$G24=$K24),Reglas!$B$5,0)</x:f>
        <x:v>0</x:v>
      </x:c>
      <x:c r="R24" t="n">
        <x:f>IF(AND(AND(AND(ISNUMBER($F24),ISNUMBER($G24),$H24=$L24),$I24=$M24,NOT(AND($I24="Penales",$F24&lt;&gt;$G24))),$F24-$G24=$J24-$K24),Reglas!$B$6,0)</x:f>
        <x:v>0</x:v>
      </x:c>
      <x:c r="S24" t="n">
        <x:f>IF(AND(AND(AND(ISNUMBER($F24),ISNUMBER($G24),$H24=$L24),$I24=$M24,NOT(AND($I24="Penales",$F24&lt;&gt;$G24))),$F24=$J24),Reglas!$B$7,0)</x:f>
        <x:v>0</x:v>
      </x:c>
      <x:c r="T24" t="n">
        <x:f>IF(AND(AND(AND(ISNUMBER($F24),ISNUMBER($G24),$H24=$L24),$I24=$M24,NOT(AND($I24="Penales",$F24&lt;&gt;$G24))),$G24=$K24),Reglas!$B$8,0)</x:f>
        <x:v>0</x:v>
      </x:c>
      <x:c r="U24" t="n">
        <x:f>SUM(N24:T24)</x:f>
        <x:v>0</x:v>
      </x:c>
      <x:c r="V24" t="str">
        <x:f>IF($W24="Sin respuesta","Sin envio",IF($U24&gt;0,"OK","Sin puntos"))</x:f>
        <x:v>Sin envio</x:v>
      </x:c>
      <x:c r="W24" t="str">
        <x:v>Sin respuesta</x:v>
      </x:c>
    </x:row>
    <x:row r="25" ht="15" hidden="0" customHeight="1">
      <x:c r="A25" t="str">
        <x:v>Final</x:v>
      </x:c>
      <x:c r="B25" t="str">
        <x:v>F</x:v>
      </x:c>
      <x:c r="C25" t="str">
        <x:v>Daniel</x:v>
      </x:c>
      <x:c r="D25" t="str">
        <x:v>España</x:v>
      </x:c>
      <x:c r="E25" t="str">
        <x:v>Argentina</x:v>
      </x:c>
      <x:c r="F25"/>
      <x:c r="G25"/>
      <x:c r="H25" t="str">
        <x:v>Sin envio</x:v>
      </x:c>
      <x:c r="I25" t="str">
        <x:v>Sin envio</x:v>
      </x:c>
      <x:c r="J25" t="n">
        <x:v>1</x:v>
      </x:c>
      <x:c r="K25" t="n">
        <x:v>0</x:v>
      </x:c>
      <x:c r="L25" t="str">
        <x:v>España</x:v>
      </x:c>
      <x:c r="M25" t="str">
        <x:v>Suplementario</x:v>
      </x:c>
      <x:c r="N25" t="n">
        <x:f>IF(AND(AND(ISNUMBER($F25),ISNUMBER($G25),$H25=$L25),IF($I25="90 minutos",IF($F25&gt;$G25,"A",IF($G25&gt;$F25,"B","E")),"E")=IF($M25="90 minutos",IF($J25&gt;$K25,"A",IF($K25&gt;$J25,"B","E")),"E")),Reglas!$B$2,0)</x:f>
        <x:v>0</x:v>
      </x:c>
      <x:c r="O25" t="n">
        <x:f>IF(AND(ISNUMBER($F25),ISNUMBER($G25),$H25=$L25),Reglas!$B$3,0)</x:f>
        <x:v>0</x:v>
      </x:c>
      <x:c r="P25" t="n">
        <x:f>IF(AND(AND(ISNUMBER($F25),ISNUMBER($G25),$H25=$L25),$I25=$M25),Reglas!$B$4,0)</x:f>
        <x:v>0</x:v>
      </x:c>
      <x:c r="Q25" t="n">
        <x:f>IF(AND(AND(AND(ISNUMBER($F25),ISNUMBER($G25),$H25=$L25),$I25=$M25,NOT(AND($I25="Penales",$F25&lt;&gt;$G25))),$F25=$J25,$G25=$K25),Reglas!$B$5,0)</x:f>
        <x:v>0</x:v>
      </x:c>
      <x:c r="R25" t="n">
        <x:f>IF(AND(AND(AND(ISNUMBER($F25),ISNUMBER($G25),$H25=$L25),$I25=$M25,NOT(AND($I25="Penales",$F25&lt;&gt;$G25))),$F25-$G25=$J25-$K25),Reglas!$B$6,0)</x:f>
        <x:v>0</x:v>
      </x:c>
      <x:c r="S25" t="n">
        <x:f>IF(AND(AND(AND(ISNUMBER($F25),ISNUMBER($G25),$H25=$L25),$I25=$M25,NOT(AND($I25="Penales",$F25&lt;&gt;$G25))),$F25=$J25),Reglas!$B$7,0)</x:f>
        <x:v>0</x:v>
      </x:c>
      <x:c r="T25" t="n">
        <x:f>IF(AND(AND(AND(ISNUMBER($F25),ISNUMBER($G25),$H25=$L25),$I25=$M25,NOT(AND($I25="Penales",$F25&lt;&gt;$G25))),$G25=$K25),Reglas!$B$8,0)</x:f>
        <x:v>0</x:v>
      </x:c>
      <x:c r="U25" t="n">
        <x:f>SUM(N25:T25)</x:f>
        <x:v>0</x:v>
      </x:c>
      <x:c r="V25" t="str">
        <x:f>IF($W25="Sin respuesta","Sin envio",IF($U25&gt;0,"OK","Sin puntos"))</x:f>
        <x:v>Sin envio</x:v>
      </x:c>
      <x:c r="W25" t="str">
        <x:v>Sin respuesta</x:v>
      </x:c>
    </x:row>
    <x:row r="26" ht="15" hidden="0" customHeight="1">
      <x:c r="A26" t="str">
        <x:v>Tercer puesto</x:v>
      </x:c>
      <x:c r="B26" t="str">
        <x:v>TP</x:v>
      </x:c>
      <x:c r="C26" t="str">
        <x:v>Arthur</x:v>
      </x:c>
      <x:c r="D26" t="str">
        <x:v>Inglaterra</x:v>
      </x:c>
      <x:c r="E26" t="str">
        <x:v>Francia</x:v>
      </x:c>
      <x:c r="F26" t="n">
        <x:v>1</x:v>
      </x:c>
      <x:c r="G26" t="n">
        <x:v>2</x:v>
      </x:c>
      <x:c r="H26" t="str">
        <x:v>Francia</x:v>
      </x:c>
      <x:c r="I26" t="str">
        <x:v>90 minutos</x:v>
      </x:c>
      <x:c r="J26" t="n">
        <x:v>6</x:v>
      </x:c>
      <x:c r="K26" t="n">
        <x:v>4</x:v>
      </x:c>
      <x:c r="L26" t="str">
        <x:v>Inglaterra</x:v>
      </x:c>
      <x:c r="M26" t="str">
        <x:v>90 minutos</x:v>
      </x:c>
      <x:c r="N26" t="n">
        <x:f>IF(AND(AND(ISNUMBER($F26),ISNUMBER($G26),$H26=$L26),IF($I26="90 minutos",IF($F26&gt;$G26,"A",IF($G26&gt;$F26,"B","E")),"E")=IF($M26="90 minutos",IF($J26&gt;$K26,"A",IF($K26&gt;$J26,"B","E")),"E")),Reglas!$B$2,0)</x:f>
        <x:v>0</x:v>
      </x:c>
      <x:c r="O26" t="n">
        <x:f>IF(AND(ISNUMBER($F26),ISNUMBER($G26),$H26=$L26),Reglas!$B$3,0)</x:f>
        <x:v>0</x:v>
      </x:c>
      <x:c r="P26" t="n">
        <x:f>IF(AND(AND(ISNUMBER($F26),ISNUMBER($G26),$H26=$L26),$I26=$M26),Reglas!$B$4,0)</x:f>
        <x:v>0</x:v>
      </x:c>
      <x:c r="Q26" t="n">
        <x:f>IF(AND(AND(AND(ISNUMBER($F26),ISNUMBER($G26),$H26=$L26),$I26=$M26,NOT(AND($I26="Penales",$F26&lt;&gt;$G26))),$F26=$J26,$G26=$K26),Reglas!$B$5,0)</x:f>
        <x:v>0</x:v>
      </x:c>
      <x:c r="R26" t="n">
        <x:f>IF(AND(AND(AND(ISNUMBER($F26),ISNUMBER($G26),$H26=$L26),$I26=$M26,NOT(AND($I26="Penales",$F26&lt;&gt;$G26))),$F26-$G26=$J26-$K26),Reglas!$B$6,0)</x:f>
        <x:v>0</x:v>
      </x:c>
      <x:c r="S26" t="n">
        <x:f>IF(AND(AND(AND(ISNUMBER($F26),ISNUMBER($G26),$H26=$L26),$I26=$M26,NOT(AND($I26="Penales",$F26&lt;&gt;$G26))),$F26=$J26),Reglas!$B$7,0)</x:f>
        <x:v>0</x:v>
      </x:c>
      <x:c r="T26" t="n">
        <x:f>IF(AND(AND(AND(ISNUMBER($F26),ISNUMBER($G26),$H26=$L26),$I26=$M26,NOT(AND($I26="Penales",$F26&lt;&gt;$G26))),$G26=$K26),Reglas!$B$8,0)</x:f>
        <x:v>0</x:v>
      </x:c>
      <x:c r="U26" t="n">
        <x:f>SUM(N26:T26)</x:f>
        <x:v>0</x:v>
      </x:c>
      <x:c r="V26" t="str">
        <x:f>IF($W26="Sin respuesta","Sin envio",IF($U26&gt;0,"OK","Sin puntos"))</x:f>
        <x:v>Sin puntos</x:v>
      </x:c>
      <x:c r="W26" t="str">
        <x:v>Google Forms</x:v>
      </x:c>
    </x:row>
    <x:row r="27" ht="15" hidden="0" customHeight="1">
      <x:c r="A27" t="str">
        <x:v>Final</x:v>
      </x:c>
      <x:c r="B27" t="str">
        <x:v>F</x:v>
      </x:c>
      <x:c r="C27" t="str">
        <x:v>Arthur</x:v>
      </x:c>
      <x:c r="D27" t="str">
        <x:v>España</x:v>
      </x:c>
      <x:c r="E27" t="str">
        <x:v>Argentina</x:v>
      </x:c>
      <x:c r="F27" t="n">
        <x:v>3</x:v>
      </x:c>
      <x:c r="G27" t="n">
        <x:v>2</x:v>
      </x:c>
      <x:c r="H27" t="str">
        <x:v>España</x:v>
      </x:c>
      <x:c r="I27" t="str">
        <x:v>Suplementario</x:v>
      </x:c>
      <x:c r="J27" t="n">
        <x:v>1</x:v>
      </x:c>
      <x:c r="K27" t="n">
        <x:v>0</x:v>
      </x:c>
      <x:c r="L27" t="str">
        <x:v>España</x:v>
      </x:c>
      <x:c r="M27" t="str">
        <x:v>Suplementario</x:v>
      </x:c>
      <x:c r="N27" t="n">
        <x:f>IF(AND(AND(ISNUMBER($F27),ISNUMBER($G27),$H27=$L27),IF($I27="90 minutos",IF($F27&gt;$G27,"A",IF($G27&gt;$F27,"B","E")),"E")=IF($M27="90 minutos",IF($J27&gt;$K27,"A",IF($K27&gt;$J27,"B","E")),"E")),Reglas!$B$2,0)</x:f>
        <x:v>5</x:v>
      </x:c>
      <x:c r="O27" t="n">
        <x:f>IF(AND(ISNUMBER($F27),ISNUMBER($G27),$H27=$L27),Reglas!$B$3,0)</x:f>
        <x:v>3</x:v>
      </x:c>
      <x:c r="P27" t="n">
        <x:f>IF(AND(AND(ISNUMBER($F27),ISNUMBER($G27),$H27=$L27),$I27=$M27),Reglas!$B$4,0)</x:f>
        <x:v>2</x:v>
      </x:c>
      <x:c r="Q27" t="n">
        <x:f>IF(AND(AND(AND(ISNUMBER($F27),ISNUMBER($G27),$H27=$L27),$I27=$M27,NOT(AND($I27="Penales",$F27&lt;&gt;$G27))),$F27=$J27,$G27=$K27),Reglas!$B$5,0)</x:f>
        <x:v>0</x:v>
      </x:c>
      <x:c r="R27" t="n">
        <x:f>IF(AND(AND(AND(ISNUMBER($F27),ISNUMBER($G27),$H27=$L27),$I27=$M27,NOT(AND($I27="Penales",$F27&lt;&gt;$G27))),$F27-$G27=$J27-$K27),Reglas!$B$6,0)</x:f>
        <x:v>2</x:v>
      </x:c>
      <x:c r="S27" t="n">
        <x:f>IF(AND(AND(AND(ISNUMBER($F27),ISNUMBER($G27),$H27=$L27),$I27=$M27,NOT(AND($I27="Penales",$F27&lt;&gt;$G27))),$F27=$J27),Reglas!$B$7,0)</x:f>
        <x:v>0</x:v>
      </x:c>
      <x:c r="T27" t="n">
        <x:f>IF(AND(AND(AND(ISNUMBER($F27),ISNUMBER($G27),$H27=$L27),$I27=$M27,NOT(AND($I27="Penales",$F27&lt;&gt;$G27))),$G27=$K27),Reglas!$B$8,0)</x:f>
        <x:v>0</x:v>
      </x:c>
      <x:c r="U27" t="n">
        <x:f>SUM(N27:T27)</x:f>
        <x:v>12</x:v>
      </x:c>
      <x:c r="V27" t="str">
        <x:f>IF($W27="Sin respuesta","Sin envio",IF($U27&gt;0,"OK","Sin puntos"))</x:f>
        <x:v>OK</x:v>
      </x:c>
      <x:c r="W27" t="str">
        <x:v>Google Forms</x:v>
      </x:c>
    </x:row>
    <x:row r="28" ht="15" hidden="0" customHeight="1">
      <x:c r="A28" t="str">
        <x:v>Tercer puesto</x:v>
      </x:c>
      <x:c r="B28" t="str">
        <x:v>TP</x:v>
      </x:c>
      <x:c r="C28" t="str">
        <x:v>José Luis</x:v>
      </x:c>
      <x:c r="D28" t="str">
        <x:v>Inglaterra</x:v>
      </x:c>
      <x:c r="E28" t="str">
        <x:v>Francia</x:v>
      </x:c>
      <x:c r="F28"/>
      <x:c r="G28"/>
      <x:c r="H28" t="str">
        <x:v>Sin envio</x:v>
      </x:c>
      <x:c r="I28" t="str">
        <x:v>Sin envio</x:v>
      </x:c>
      <x:c r="J28" t="n">
        <x:v>6</x:v>
      </x:c>
      <x:c r="K28" t="n">
        <x:v>4</x:v>
      </x:c>
      <x:c r="L28" t="str">
        <x:v>Inglaterra</x:v>
      </x:c>
      <x:c r="M28" t="str">
        <x:v>90 minutos</x:v>
      </x:c>
      <x:c r="N28" t="n">
        <x:f>IF(AND(AND(ISNUMBER($F28),ISNUMBER($G28),$H28=$L28),IF($I28="90 minutos",IF($F28&gt;$G28,"A",IF($G28&gt;$F28,"B","E")),"E")=IF($M28="90 minutos",IF($J28&gt;$K28,"A",IF($K28&gt;$J28,"B","E")),"E")),Reglas!$B$2,0)</x:f>
        <x:v>0</x:v>
      </x:c>
      <x:c r="O28" t="n">
        <x:f>IF(AND(ISNUMBER($F28),ISNUMBER($G28),$H28=$L28),Reglas!$B$3,0)</x:f>
        <x:v>0</x:v>
      </x:c>
      <x:c r="P28" t="n">
        <x:f>IF(AND(AND(ISNUMBER($F28),ISNUMBER($G28),$H28=$L28),$I28=$M28),Reglas!$B$4,0)</x:f>
        <x:v>0</x:v>
      </x:c>
      <x:c r="Q28" t="n">
        <x:f>IF(AND(AND(AND(ISNUMBER($F28),ISNUMBER($G28),$H28=$L28),$I28=$M28,NOT(AND($I28="Penales",$F28&lt;&gt;$G28))),$F28=$J28,$G28=$K28),Reglas!$B$5,0)</x:f>
        <x:v>0</x:v>
      </x:c>
      <x:c r="R28" t="n">
        <x:f>IF(AND(AND(AND(ISNUMBER($F28),ISNUMBER($G28),$H28=$L28),$I28=$M28,NOT(AND($I28="Penales",$F28&lt;&gt;$G28))),$F28-$G28=$J28-$K28),Reglas!$B$6,0)</x:f>
        <x:v>0</x:v>
      </x:c>
      <x:c r="S28" t="n">
        <x:f>IF(AND(AND(AND(ISNUMBER($F28),ISNUMBER($G28),$H28=$L28),$I28=$M28,NOT(AND($I28="Penales",$F28&lt;&gt;$G28))),$F28=$J28),Reglas!$B$7,0)</x:f>
        <x:v>0</x:v>
      </x:c>
      <x:c r="T28" t="n">
        <x:f>IF(AND(AND(AND(ISNUMBER($F28),ISNUMBER($G28),$H28=$L28),$I28=$M28,NOT(AND($I28="Penales",$F28&lt;&gt;$G28))),$G28=$K28),Reglas!$B$8,0)</x:f>
        <x:v>0</x:v>
      </x:c>
      <x:c r="U28" t="n">
        <x:f>SUM(N28:T28)</x:f>
        <x:v>0</x:v>
      </x:c>
      <x:c r="V28" t="str">
        <x:f>IF($W28="Sin respuesta","Sin envio",IF($U28&gt;0,"OK","Sin puntos"))</x:f>
        <x:v>Sin envio</x:v>
      </x:c>
      <x:c r="W28" t="str">
        <x:v>Sin respuesta</x:v>
      </x:c>
    </x:row>
    <x:row r="29" ht="15" hidden="0" customHeight="1">
      <x:c r="A29" t="str">
        <x:v>Final</x:v>
      </x:c>
      <x:c r="B29" t="str">
        <x:v>F</x:v>
      </x:c>
      <x:c r="C29" t="str">
        <x:v>José Luis</x:v>
      </x:c>
      <x:c r="D29" t="str">
        <x:v>España</x:v>
      </x:c>
      <x:c r="E29" t="str">
        <x:v>Argentina</x:v>
      </x:c>
      <x:c r="F29"/>
      <x:c r="G29"/>
      <x:c r="H29" t="str">
        <x:v>Sin envio</x:v>
      </x:c>
      <x:c r="I29" t="str">
        <x:v>Sin envio</x:v>
      </x:c>
      <x:c r="J29" t="n">
        <x:v>1</x:v>
      </x:c>
      <x:c r="K29" t="n">
        <x:v>0</x:v>
      </x:c>
      <x:c r="L29" t="str">
        <x:v>España</x:v>
      </x:c>
      <x:c r="M29" t="str">
        <x:v>Suplementario</x:v>
      </x:c>
      <x:c r="N29" t="n">
        <x:f>IF(AND(AND(ISNUMBER($F29),ISNUMBER($G29),$H29=$L29),IF($I29="90 minutos",IF($F29&gt;$G29,"A",IF($G29&gt;$F29,"B","E")),"E")=IF($M29="90 minutos",IF($J29&gt;$K29,"A",IF($K29&gt;$J29,"B","E")),"E")),Reglas!$B$2,0)</x:f>
        <x:v>0</x:v>
      </x:c>
      <x:c r="O29" t="n">
        <x:f>IF(AND(ISNUMBER($F29),ISNUMBER($G29),$H29=$L29),Reglas!$B$3,0)</x:f>
        <x:v>0</x:v>
      </x:c>
      <x:c r="P29" t="n">
        <x:f>IF(AND(AND(ISNUMBER($F29),ISNUMBER($G29),$H29=$L29),$I29=$M29),Reglas!$B$4,0)</x:f>
        <x:v>0</x:v>
      </x:c>
      <x:c r="Q29" t="n">
        <x:f>IF(AND(AND(AND(ISNUMBER($F29),ISNUMBER($G29),$H29=$L29),$I29=$M29,NOT(AND($I29="Penales",$F29&lt;&gt;$G29))),$F29=$J29,$G29=$K29),Reglas!$B$5,0)</x:f>
        <x:v>0</x:v>
      </x:c>
      <x:c r="R29" t="n">
        <x:f>IF(AND(AND(AND(ISNUMBER($F29),ISNUMBER($G29),$H29=$L29),$I29=$M29,NOT(AND($I29="Penales",$F29&lt;&gt;$G29))),$F29-$G29=$J29-$K29),Reglas!$B$6,0)</x:f>
        <x:v>0</x:v>
      </x:c>
      <x:c r="S29" t="n">
        <x:f>IF(AND(AND(AND(ISNUMBER($F29),ISNUMBER($G29),$H29=$L29),$I29=$M29,NOT(AND($I29="Penales",$F29&lt;&gt;$G29))),$F29=$J29),Reglas!$B$7,0)</x:f>
        <x:v>0</x:v>
      </x:c>
      <x:c r="T29" t="n">
        <x:f>IF(AND(AND(AND(ISNUMBER($F29),ISNUMBER($G29),$H29=$L29),$I29=$M29,NOT(AND($I29="Penales",$F29&lt;&gt;$G29))),$G29=$K29),Reglas!$B$8,0)</x:f>
        <x:v>0</x:v>
      </x:c>
      <x:c r="U29" t="n">
        <x:f>SUM(N29:T29)</x:f>
        <x:v>0</x:v>
      </x:c>
      <x:c r="V29" t="str">
        <x:f>IF($W29="Sin respuesta","Sin envio",IF($U29&gt;0,"OK","Sin puntos"))</x:f>
        <x:v>Sin envio</x:v>
      </x:c>
      <x:c r="W29" t="str">
        <x:v>Sin respuesta</x:v>
      </x:c>
    </x:row>
    <x:row r="30" ht="15" hidden="0" customHeight="1">
      <x:c r="A30" t="str">
        <x:v>Tercer puesto</x:v>
      </x:c>
      <x:c r="B30" t="str">
        <x:v>TP</x:v>
      </x:c>
      <x:c r="C30" t="str">
        <x:v>Marcelo</x:v>
      </x:c>
      <x:c r="D30" t="str">
        <x:v>Inglaterra</x:v>
      </x:c>
      <x:c r="E30" t="str">
        <x:v>Francia</x:v>
      </x:c>
      <x:c r="F30"/>
      <x:c r="G30"/>
      <x:c r="H30" t="str">
        <x:v>Sin envio</x:v>
      </x:c>
      <x:c r="I30" t="str">
        <x:v>Sin envio</x:v>
      </x:c>
      <x:c r="J30" t="n">
        <x:v>6</x:v>
      </x:c>
      <x:c r="K30" t="n">
        <x:v>4</x:v>
      </x:c>
      <x:c r="L30" t="str">
        <x:v>Inglaterra</x:v>
      </x:c>
      <x:c r="M30" t="str">
        <x:v>90 minutos</x:v>
      </x:c>
      <x:c r="N30" t="n">
        <x:f>IF(AND(AND(ISNUMBER($F30),ISNUMBER($G30),$H30=$L30),IF($I30="90 minutos",IF($F30&gt;$G30,"A",IF($G30&gt;$F30,"B","E")),"E")=IF($M30="90 minutos",IF($J30&gt;$K30,"A",IF($K30&gt;$J30,"B","E")),"E")),Reglas!$B$2,0)</x:f>
        <x:v>0</x:v>
      </x:c>
      <x:c r="O30" t="n">
        <x:f>IF(AND(ISNUMBER($F30),ISNUMBER($G30),$H30=$L30),Reglas!$B$3,0)</x:f>
        <x:v>0</x:v>
      </x:c>
      <x:c r="P30" t="n">
        <x:f>IF(AND(AND(ISNUMBER($F30),ISNUMBER($G30),$H30=$L30),$I30=$M30),Reglas!$B$4,0)</x:f>
        <x:v>0</x:v>
      </x:c>
      <x:c r="Q30" t="n">
        <x:f>IF(AND(AND(AND(ISNUMBER($F30),ISNUMBER($G30),$H30=$L30),$I30=$M30,NOT(AND($I30="Penales",$F30&lt;&gt;$G30))),$F30=$J30,$G30=$K30),Reglas!$B$5,0)</x:f>
        <x:v>0</x:v>
      </x:c>
      <x:c r="R30" t="n">
        <x:f>IF(AND(AND(AND(ISNUMBER($F30),ISNUMBER($G30),$H30=$L30),$I30=$M30,NOT(AND($I30="Penales",$F30&lt;&gt;$G30))),$F30-$G30=$J30-$K30),Reglas!$B$6,0)</x:f>
        <x:v>0</x:v>
      </x:c>
      <x:c r="S30" t="n">
        <x:f>IF(AND(AND(AND(ISNUMBER($F30),ISNUMBER($G30),$H30=$L30),$I30=$M30,NOT(AND($I30="Penales",$F30&lt;&gt;$G30))),$F30=$J30),Reglas!$B$7,0)</x:f>
        <x:v>0</x:v>
      </x:c>
      <x:c r="T30" t="n">
        <x:f>IF(AND(AND(AND(ISNUMBER($F30),ISNUMBER($G30),$H30=$L30),$I30=$M30,NOT(AND($I30="Penales",$F30&lt;&gt;$G30))),$G30=$K30),Reglas!$B$8,0)</x:f>
        <x:v>0</x:v>
      </x:c>
      <x:c r="U30" t="n">
        <x:f>SUM(N30:T30)</x:f>
        <x:v>0</x:v>
      </x:c>
      <x:c r="V30" t="str">
        <x:f>IF($W30="Sin respuesta","Sin envio",IF($U30&gt;0,"OK","Sin puntos"))</x:f>
        <x:v>Sin envio</x:v>
      </x:c>
      <x:c r="W30" t="str">
        <x:v>Sin respuesta</x:v>
      </x:c>
    </x:row>
    <x:row r="31" ht="15" hidden="0" customHeight="1">
      <x:c r="A31" t="str">
        <x:v>Final</x:v>
      </x:c>
      <x:c r="B31" t="str">
        <x:v>F</x:v>
      </x:c>
      <x:c r="C31" t="str">
        <x:v>Marcelo</x:v>
      </x:c>
      <x:c r="D31" t="str">
        <x:v>España</x:v>
      </x:c>
      <x:c r="E31" t="str">
        <x:v>Argentina</x:v>
      </x:c>
      <x:c r="F31"/>
      <x:c r="G31"/>
      <x:c r="H31" t="str">
        <x:v>Sin envio</x:v>
      </x:c>
      <x:c r="I31" t="str">
        <x:v>Sin envio</x:v>
      </x:c>
      <x:c r="J31" t="n">
        <x:v>1</x:v>
      </x:c>
      <x:c r="K31" t="n">
        <x:v>0</x:v>
      </x:c>
      <x:c r="L31" t="str">
        <x:v>España</x:v>
      </x:c>
      <x:c r="M31" t="str">
        <x:v>Suplementario</x:v>
      </x:c>
      <x:c r="N31" t="n">
        <x:f>IF(AND(AND(ISNUMBER($F31),ISNUMBER($G31),$H31=$L31),IF($I31="90 minutos",IF($F31&gt;$G31,"A",IF($G31&gt;$F31,"B","E")),"E")=IF($M31="90 minutos",IF($J31&gt;$K31,"A",IF($K31&gt;$J31,"B","E")),"E")),Reglas!$B$2,0)</x:f>
        <x:v>0</x:v>
      </x:c>
      <x:c r="O31" t="n">
        <x:f>IF(AND(ISNUMBER($F31),ISNUMBER($G31),$H31=$L31),Reglas!$B$3,0)</x:f>
        <x:v>0</x:v>
      </x:c>
      <x:c r="P31" t="n">
        <x:f>IF(AND(AND(ISNUMBER($F31),ISNUMBER($G31),$H31=$L31),$I31=$M31),Reglas!$B$4,0)</x:f>
        <x:v>0</x:v>
      </x:c>
      <x:c r="Q31" t="n">
        <x:f>IF(AND(AND(AND(ISNUMBER($F31),ISNUMBER($G31),$H31=$L31),$I31=$M31,NOT(AND($I31="Penales",$F31&lt;&gt;$G31))),$F31=$J31,$G31=$K31),Reglas!$B$5,0)</x:f>
        <x:v>0</x:v>
      </x:c>
      <x:c r="R31" t="n">
        <x:f>IF(AND(AND(AND(ISNUMBER($F31),ISNUMBER($G31),$H31=$L31),$I31=$M31,NOT(AND($I31="Penales",$F31&lt;&gt;$G31))),$F31-$G31=$J31-$K31),Reglas!$B$6,0)</x:f>
        <x:v>0</x:v>
      </x:c>
      <x:c r="S31" t="n">
        <x:f>IF(AND(AND(AND(ISNUMBER($F31),ISNUMBER($G31),$H31=$L31),$I31=$M31,NOT(AND($I31="Penales",$F31&lt;&gt;$G31))),$F31=$J31),Reglas!$B$7,0)</x:f>
        <x:v>0</x:v>
      </x:c>
      <x:c r="T31" t="n">
        <x:f>IF(AND(AND(AND(ISNUMBER($F31),ISNUMBER($G31),$H31=$L31),$I31=$M31,NOT(AND($I31="Penales",$F31&lt;&gt;$G31))),$G31=$K31),Reglas!$B$8,0)</x:f>
        <x:v>0</x:v>
      </x:c>
      <x:c r="U31" t="n">
        <x:f>SUM(N31:T31)</x:f>
        <x:v>0</x:v>
      </x:c>
      <x:c r="V31" t="str">
        <x:f>IF($W31="Sin respuesta","Sin envio",IF($U31&gt;0,"OK","Sin puntos"))</x:f>
        <x:v>Sin envio</x:v>
      </x:c>
      <x:c r="W31" t="str">
        <x:v>Sin respuesta</x:v>
      </x:c>
    </x:row>
    <x:row r="32" ht="15" hidden="0" customHeight="1">
      <x:c r="A32" t="str">
        <x:v>Tercer puesto</x:v>
      </x:c>
      <x:c r="B32" t="str">
        <x:v>TP</x:v>
      </x:c>
      <x:c r="C32" t="str">
        <x:v>Anny</x:v>
      </x:c>
      <x:c r="D32" t="str">
        <x:v>Inglaterra</x:v>
      </x:c>
      <x:c r="E32" t="str">
        <x:v>Francia</x:v>
      </x:c>
      <x:c r="F32" t="n">
        <x:v>2</x:v>
      </x:c>
      <x:c r="G32" t="n">
        <x:v>1</x:v>
      </x:c>
      <x:c r="H32" t="str">
        <x:v>Inglaterra</x:v>
      </x:c>
      <x:c r="I32" t="str">
        <x:v>90 minutos</x:v>
      </x:c>
      <x:c r="J32" t="n">
        <x:v>6</x:v>
      </x:c>
      <x:c r="K32" t="n">
        <x:v>4</x:v>
      </x:c>
      <x:c r="L32" t="str">
        <x:v>Inglaterra</x:v>
      </x:c>
      <x:c r="M32" t="str">
        <x:v>90 minutos</x:v>
      </x:c>
      <x:c r="N32" t="n">
        <x:f>IF(AND(AND(ISNUMBER($F32),ISNUMBER($G32),$H32=$L32),IF($I32="90 minutos",IF($F32&gt;$G32,"A",IF($G32&gt;$F32,"B","E")),"E")=IF($M32="90 minutos",IF($J32&gt;$K32,"A",IF($K32&gt;$J32,"B","E")),"E")),Reglas!$B$2,0)</x:f>
        <x:v>5</x:v>
      </x:c>
      <x:c r="O32" t="n">
        <x:f>IF(AND(ISNUMBER($F32),ISNUMBER($G32),$H32=$L32),Reglas!$B$3,0)</x:f>
        <x:v>3</x:v>
      </x:c>
      <x:c r="P32" t="n">
        <x:f>IF(AND(AND(ISNUMBER($F32),ISNUMBER($G32),$H32=$L32),$I32=$M32),Reglas!$B$4,0)</x:f>
        <x:v>2</x:v>
      </x:c>
      <x:c r="Q32" t="n">
        <x:f>IF(AND(AND(AND(ISNUMBER($F32),ISNUMBER($G32),$H32=$L32),$I32=$M32,NOT(AND($I32="Penales",$F32&lt;&gt;$G32))),$F32=$J32,$G32=$K32),Reglas!$B$5,0)</x:f>
        <x:v>0</x:v>
      </x:c>
      <x:c r="R32" t="n">
        <x:f>IF(AND(AND(AND(ISNUMBER($F32),ISNUMBER($G32),$H32=$L32),$I32=$M32,NOT(AND($I32="Penales",$F32&lt;&gt;$G32))),$F32-$G32=$J32-$K32),Reglas!$B$6,0)</x:f>
        <x:v>0</x:v>
      </x:c>
      <x:c r="S32" t="n">
        <x:f>IF(AND(AND(AND(ISNUMBER($F32),ISNUMBER($G32),$H32=$L32),$I32=$M32,NOT(AND($I32="Penales",$F32&lt;&gt;$G32))),$F32=$J32),Reglas!$B$7,0)</x:f>
        <x:v>0</x:v>
      </x:c>
      <x:c r="T32" t="n">
        <x:f>IF(AND(AND(AND(ISNUMBER($F32),ISNUMBER($G32),$H32=$L32),$I32=$M32,NOT(AND($I32="Penales",$F32&lt;&gt;$G32))),$G32=$K32),Reglas!$B$8,0)</x:f>
        <x:v>0</x:v>
      </x:c>
      <x:c r="U32" t="n">
        <x:f>SUM(N32:T32)</x:f>
        <x:v>10</x:v>
      </x:c>
      <x:c r="V32" t="str">
        <x:f>IF($W32="Sin respuesta","Sin envio",IF($U32&gt;0,"OK","Sin puntos"))</x:f>
        <x:v>OK</x:v>
      </x:c>
      <x:c r="W32" t="str">
        <x:v>Google Forms</x:v>
      </x:c>
    </x:row>
    <x:row r="33" ht="15" hidden="0" customHeight="1">
      <x:c r="A33" t="str">
        <x:v>Final</x:v>
      </x:c>
      <x:c r="B33" t="str">
        <x:v>F</x:v>
      </x:c>
      <x:c r="C33" t="str">
        <x:v>Anny</x:v>
      </x:c>
      <x:c r="D33" t="str">
        <x:v>España</x:v>
      </x:c>
      <x:c r="E33" t="str">
        <x:v>Argentina</x:v>
      </x:c>
      <x:c r="F33" t="n">
        <x:v>1</x:v>
      </x:c>
      <x:c r="G33" t="n">
        <x:v>3</x:v>
      </x:c>
      <x:c r="H33" t="str">
        <x:v>Argentina</x:v>
      </x:c>
      <x:c r="I33" t="str">
        <x:v>90 minutos</x:v>
      </x:c>
      <x:c r="J33" t="n">
        <x:v>1</x:v>
      </x:c>
      <x:c r="K33" t="n">
        <x:v>0</x:v>
      </x:c>
      <x:c r="L33" t="str">
        <x:v>España</x:v>
      </x:c>
      <x:c r="M33" t="str">
        <x:v>Suplementario</x:v>
      </x:c>
      <x:c r="N33" t="n">
        <x:f>IF(AND(AND(ISNUMBER($F33),ISNUMBER($G33),$H33=$L33),IF($I33="90 minutos",IF($F33&gt;$G33,"A",IF($G33&gt;$F33,"B","E")),"E")=IF($M33="90 minutos",IF($J33&gt;$K33,"A",IF($K33&gt;$J33,"B","E")),"E")),Reglas!$B$2,0)</x:f>
        <x:v>0</x:v>
      </x:c>
      <x:c r="O33" t="n">
        <x:f>IF(AND(ISNUMBER($F33),ISNUMBER($G33),$H33=$L33),Reglas!$B$3,0)</x:f>
        <x:v>0</x:v>
      </x:c>
      <x:c r="P33" t="n">
        <x:f>IF(AND(AND(ISNUMBER($F33),ISNUMBER($G33),$H33=$L33),$I33=$M33),Reglas!$B$4,0)</x:f>
        <x:v>0</x:v>
      </x:c>
      <x:c r="Q33" t="n">
        <x:f>IF(AND(AND(AND(ISNUMBER($F33),ISNUMBER($G33),$H33=$L33),$I33=$M33,NOT(AND($I33="Penales",$F33&lt;&gt;$G33))),$F33=$J33,$G33=$K33),Reglas!$B$5,0)</x:f>
        <x:v>0</x:v>
      </x:c>
      <x:c r="R33" t="n">
        <x:f>IF(AND(AND(AND(ISNUMBER($F33),ISNUMBER($G33),$H33=$L33),$I33=$M33,NOT(AND($I33="Penales",$F33&lt;&gt;$G33))),$F33-$G33=$J33-$K33),Reglas!$B$6,0)</x:f>
        <x:v>0</x:v>
      </x:c>
      <x:c r="S33" t="n">
        <x:f>IF(AND(AND(AND(ISNUMBER($F33),ISNUMBER($G33),$H33=$L33),$I33=$M33,NOT(AND($I33="Penales",$F33&lt;&gt;$G33))),$F33=$J33),Reglas!$B$7,0)</x:f>
        <x:v>0</x:v>
      </x:c>
      <x:c r="T33" t="n">
        <x:f>IF(AND(AND(AND(ISNUMBER($F33),ISNUMBER($G33),$H33=$L33),$I33=$M33,NOT(AND($I33="Penales",$F33&lt;&gt;$G33))),$G33=$K33),Reglas!$B$8,0)</x:f>
        <x:v>0</x:v>
      </x:c>
      <x:c r="U33" t="n">
        <x:f>SUM(N33:T33)</x:f>
        <x:v>0</x:v>
      </x:c>
      <x:c r="V33" t="str">
        <x:f>IF($W33="Sin respuesta","Sin envio",IF($U33&gt;0,"OK","Sin puntos"))</x:f>
        <x:v>Sin puntos</x:v>
      </x:c>
      <x:c r="W33" t="str">
        <x:v>Google Forms</x:v>
      </x:c>
    </x:row>
    <x:row r="34" ht="15" hidden="0" customHeight="1">
      <x:c r="A34" t="str">
        <x:v>Tercer puesto</x:v>
      </x:c>
      <x:c r="B34" t="str">
        <x:v>TP</x:v>
      </x:c>
      <x:c r="C34" t="str">
        <x:v>Moisés</x:v>
      </x:c>
      <x:c r="D34" t="str">
        <x:v>Inglaterra</x:v>
      </x:c>
      <x:c r="E34" t="str">
        <x:v>Francia</x:v>
      </x:c>
      <x:c r="F34"/>
      <x:c r="G34"/>
      <x:c r="H34" t="str">
        <x:v>Sin envio</x:v>
      </x:c>
      <x:c r="I34" t="str">
        <x:v>Sin envio</x:v>
      </x:c>
      <x:c r="J34" t="n">
        <x:v>6</x:v>
      </x:c>
      <x:c r="K34" t="n">
        <x:v>4</x:v>
      </x:c>
      <x:c r="L34" t="str">
        <x:v>Inglaterra</x:v>
      </x:c>
      <x:c r="M34" t="str">
        <x:v>90 minutos</x:v>
      </x:c>
      <x:c r="N34" t="n">
        <x:f>IF(AND(AND(ISNUMBER($F34),ISNUMBER($G34),$H34=$L34),IF($I34="90 minutos",IF($F34&gt;$G34,"A",IF($G34&gt;$F34,"B","E")),"E")=IF($M34="90 minutos",IF($J34&gt;$K34,"A",IF($K34&gt;$J34,"B","E")),"E")),Reglas!$B$2,0)</x:f>
        <x:v>0</x:v>
      </x:c>
      <x:c r="O34" t="n">
        <x:f>IF(AND(ISNUMBER($F34),ISNUMBER($G34),$H34=$L34),Reglas!$B$3,0)</x:f>
        <x:v>0</x:v>
      </x:c>
      <x:c r="P34" t="n">
        <x:f>IF(AND(AND(ISNUMBER($F34),ISNUMBER($G34),$H34=$L34),$I34=$M34),Reglas!$B$4,0)</x:f>
        <x:v>0</x:v>
      </x:c>
      <x:c r="Q34" t="n">
        <x:f>IF(AND(AND(AND(ISNUMBER($F34),ISNUMBER($G34),$H34=$L34),$I34=$M34,NOT(AND($I34="Penales",$F34&lt;&gt;$G34))),$F34=$J34,$G34=$K34),Reglas!$B$5,0)</x:f>
        <x:v>0</x:v>
      </x:c>
      <x:c r="R34" t="n">
        <x:f>IF(AND(AND(AND(ISNUMBER($F34),ISNUMBER($G34),$H34=$L34),$I34=$M34,NOT(AND($I34="Penales",$F34&lt;&gt;$G34))),$F34-$G34=$J34-$K34),Reglas!$B$6,0)</x:f>
        <x:v>0</x:v>
      </x:c>
      <x:c r="S34" t="n">
        <x:f>IF(AND(AND(AND(ISNUMBER($F34),ISNUMBER($G34),$H34=$L34),$I34=$M34,NOT(AND($I34="Penales",$F34&lt;&gt;$G34))),$F34=$J34),Reglas!$B$7,0)</x:f>
        <x:v>0</x:v>
      </x:c>
      <x:c r="T34" t="n">
        <x:f>IF(AND(AND(AND(ISNUMBER($F34),ISNUMBER($G34),$H34=$L34),$I34=$M34,NOT(AND($I34="Penales",$F34&lt;&gt;$G34))),$G34=$K34),Reglas!$B$8,0)</x:f>
        <x:v>0</x:v>
      </x:c>
      <x:c r="U34" t="n">
        <x:f>SUM(N34:T34)</x:f>
        <x:v>0</x:v>
      </x:c>
      <x:c r="V34" t="str">
        <x:f>IF($W34="Sin respuesta","Sin envio",IF($U34&gt;0,"OK","Sin puntos"))</x:f>
        <x:v>Sin envio</x:v>
      </x:c>
      <x:c r="W34" t="str">
        <x:v>Sin respuesta</x:v>
      </x:c>
    </x:row>
    <x:row r="35" ht="15" hidden="0" customHeight="1">
      <x:c r="A35" t="str">
        <x:v>Final</x:v>
      </x:c>
      <x:c r="B35" t="str">
        <x:v>F</x:v>
      </x:c>
      <x:c r="C35" t="str">
        <x:v>Moisés</x:v>
      </x:c>
      <x:c r="D35" t="str">
        <x:v>España</x:v>
      </x:c>
      <x:c r="E35" t="str">
        <x:v>Argentina</x:v>
      </x:c>
      <x:c r="F35"/>
      <x:c r="G35"/>
      <x:c r="H35" t="str">
        <x:v>Sin envio</x:v>
      </x:c>
      <x:c r="I35" t="str">
        <x:v>Sin envio</x:v>
      </x:c>
      <x:c r="J35" t="n">
        <x:v>1</x:v>
      </x:c>
      <x:c r="K35" t="n">
        <x:v>0</x:v>
      </x:c>
      <x:c r="L35" t="str">
        <x:v>España</x:v>
      </x:c>
      <x:c r="M35" t="str">
        <x:v>Suplementario</x:v>
      </x:c>
      <x:c r="N35" t="n">
        <x:f>IF(AND(AND(ISNUMBER($F35),ISNUMBER($G35),$H35=$L35),IF($I35="90 minutos",IF($F35&gt;$G35,"A",IF($G35&gt;$F35,"B","E")),"E")=IF($M35="90 minutos",IF($J35&gt;$K35,"A",IF($K35&gt;$J35,"B","E")),"E")),Reglas!$B$2,0)</x:f>
        <x:v>0</x:v>
      </x:c>
      <x:c r="O35" t="n">
        <x:f>IF(AND(ISNUMBER($F35),ISNUMBER($G35),$H35=$L35),Reglas!$B$3,0)</x:f>
        <x:v>0</x:v>
      </x:c>
      <x:c r="P35" t="n">
        <x:f>IF(AND(AND(ISNUMBER($F35),ISNUMBER($G35),$H35=$L35),$I35=$M35),Reglas!$B$4,0)</x:f>
        <x:v>0</x:v>
      </x:c>
      <x:c r="Q35" t="n">
        <x:f>IF(AND(AND(AND(ISNUMBER($F35),ISNUMBER($G35),$H35=$L35),$I35=$M35,NOT(AND($I35="Penales",$F35&lt;&gt;$G35))),$F35=$J35,$G35=$K35),Reglas!$B$5,0)</x:f>
        <x:v>0</x:v>
      </x:c>
      <x:c r="R35" t="n">
        <x:f>IF(AND(AND(AND(ISNUMBER($F35),ISNUMBER($G35),$H35=$L35),$I35=$M35,NOT(AND($I35="Penales",$F35&lt;&gt;$G35))),$F35-$G35=$J35-$K35),Reglas!$B$6,0)</x:f>
        <x:v>0</x:v>
      </x:c>
      <x:c r="S35" t="n">
        <x:f>IF(AND(AND(AND(ISNUMBER($F35),ISNUMBER($G35),$H35=$L35),$I35=$M35,NOT(AND($I35="Penales",$F35&lt;&gt;$G35))),$F35=$J35),Reglas!$B$7,0)</x:f>
        <x:v>0</x:v>
      </x:c>
      <x:c r="T35" t="n">
        <x:f>IF(AND(AND(AND(ISNUMBER($F35),ISNUMBER($G35),$H35=$L35),$I35=$M35,NOT(AND($I35="Penales",$F35&lt;&gt;$G35))),$G35=$K35),Reglas!$B$8,0)</x:f>
        <x:v>0</x:v>
      </x:c>
      <x:c r="U35" t="n">
        <x:f>SUM(N35:T35)</x:f>
        <x:v>0</x:v>
      </x:c>
      <x:c r="V35" t="str">
        <x:f>IF($W35="Sin respuesta","Sin envio",IF($U35&gt;0,"OK","Sin puntos"))</x:f>
        <x:v>Sin envio</x:v>
      </x:c>
      <x:c r="W35" t="str">
        <x:v>Sin respuesta</x:v>
      </x:c>
    </x:row>
    <x:row r="36" ht="15" hidden="0" customHeight="1">
      <x:c r="A36" t="str">
        <x:v>Tercer puesto</x:v>
      </x:c>
      <x:c r="B36" t="str">
        <x:v>TP</x:v>
      </x:c>
      <x:c r="C36" t="str">
        <x:v>Alex</x:v>
      </x:c>
      <x:c r="D36" t="str">
        <x:v>Inglaterra</x:v>
      </x:c>
      <x:c r="E36" t="str">
        <x:v>Francia</x:v>
      </x:c>
      <x:c r="F36" t="n">
        <x:v>3</x:v>
      </x:c>
      <x:c r="G36" t="n">
        <x:v>1</x:v>
      </x:c>
      <x:c r="H36" t="str">
        <x:v>Inglaterra</x:v>
      </x:c>
      <x:c r="I36" t="str">
        <x:v>90 minutos</x:v>
      </x:c>
      <x:c r="J36" t="n">
        <x:v>6</x:v>
      </x:c>
      <x:c r="K36" t="n">
        <x:v>4</x:v>
      </x:c>
      <x:c r="L36" t="str">
        <x:v>Inglaterra</x:v>
      </x:c>
      <x:c r="M36" t="str">
        <x:v>90 minutos</x:v>
      </x:c>
      <x:c r="N36" t="n">
        <x:f>IF(AND(AND(ISNUMBER($F36),ISNUMBER($G36),$H36=$L36),IF($I36="90 minutos",IF($F36&gt;$G36,"A",IF($G36&gt;$F36,"B","E")),"E")=IF($M36="90 minutos",IF($J36&gt;$K36,"A",IF($K36&gt;$J36,"B","E")),"E")),Reglas!$B$2,0)</x:f>
        <x:v>5</x:v>
      </x:c>
      <x:c r="O36" t="n">
        <x:f>IF(AND(ISNUMBER($F36),ISNUMBER($G36),$H36=$L36),Reglas!$B$3,0)</x:f>
        <x:v>3</x:v>
      </x:c>
      <x:c r="P36" t="n">
        <x:f>IF(AND(AND(ISNUMBER($F36),ISNUMBER($G36),$H36=$L36),$I36=$M36),Reglas!$B$4,0)</x:f>
        <x:v>2</x:v>
      </x:c>
      <x:c r="Q36" t="n">
        <x:f>IF(AND(AND(AND(ISNUMBER($F36),ISNUMBER($G36),$H36=$L36),$I36=$M36,NOT(AND($I36="Penales",$F36&lt;&gt;$G36))),$F36=$J36,$G36=$K36),Reglas!$B$5,0)</x:f>
        <x:v>0</x:v>
      </x:c>
      <x:c r="R36" t="n">
        <x:f>IF(AND(AND(AND(ISNUMBER($F36),ISNUMBER($G36),$H36=$L36),$I36=$M36,NOT(AND($I36="Penales",$F36&lt;&gt;$G36))),$F36-$G36=$J36-$K36),Reglas!$B$6,0)</x:f>
        <x:v>2</x:v>
      </x:c>
      <x:c r="S36" t="n">
        <x:f>IF(AND(AND(AND(ISNUMBER($F36),ISNUMBER($G36),$H36=$L36),$I36=$M36,NOT(AND($I36="Penales",$F36&lt;&gt;$G36))),$F36=$J36),Reglas!$B$7,0)</x:f>
        <x:v>0</x:v>
      </x:c>
      <x:c r="T36" t="n">
        <x:f>IF(AND(AND(AND(ISNUMBER($F36),ISNUMBER($G36),$H36=$L36),$I36=$M36,NOT(AND($I36="Penales",$F36&lt;&gt;$G36))),$G36=$K36),Reglas!$B$8,0)</x:f>
        <x:v>0</x:v>
      </x:c>
      <x:c r="U36" t="n">
        <x:f>SUM(N36:T36)</x:f>
        <x:v>12</x:v>
      </x:c>
      <x:c r="V36" t="str">
        <x:f>IF($W36="Sin respuesta","Sin envio",IF($U36&gt;0,"OK","Sin puntos"))</x:f>
        <x:v>OK</x:v>
      </x:c>
      <x:c r="W36" t="str">
        <x:v>Google Forms</x:v>
      </x:c>
    </x:row>
    <x:row r="37" ht="15" hidden="0" customHeight="1">
      <x:c r="A37" t="str">
        <x:v>Final</x:v>
      </x:c>
      <x:c r="B37" t="str">
        <x:v>F</x:v>
      </x:c>
      <x:c r="C37" t="str">
        <x:v>Alex</x:v>
      </x:c>
      <x:c r="D37" t="str">
        <x:v>España</x:v>
      </x:c>
      <x:c r="E37" t="str">
        <x:v>Argentina</x:v>
      </x:c>
      <x:c r="F37" t="n">
        <x:v>2</x:v>
      </x:c>
      <x:c r="G37" t="n">
        <x:v>3</x:v>
      </x:c>
      <x:c r="H37" t="str">
        <x:v>Argentina</x:v>
      </x:c>
      <x:c r="I37" t="str">
        <x:v>Suplementario</x:v>
      </x:c>
      <x:c r="J37" t="n">
        <x:v>1</x:v>
      </x:c>
      <x:c r="K37" t="n">
        <x:v>0</x:v>
      </x:c>
      <x:c r="L37" t="str">
        <x:v>España</x:v>
      </x:c>
      <x:c r="M37" t="str">
        <x:v>Suplementario</x:v>
      </x:c>
      <x:c r="N37" t="n">
        <x:f>IF(AND(AND(ISNUMBER($F37),ISNUMBER($G37),$H37=$L37),IF($I37="90 minutos",IF($F37&gt;$G37,"A",IF($G37&gt;$F37,"B","E")),"E")=IF($M37="90 minutos",IF($J37&gt;$K37,"A",IF($K37&gt;$J37,"B","E")),"E")),Reglas!$B$2,0)</x:f>
        <x:v>0</x:v>
      </x:c>
      <x:c r="O37" t="n">
        <x:f>IF(AND(ISNUMBER($F37),ISNUMBER($G37),$H37=$L37),Reglas!$B$3,0)</x:f>
        <x:v>0</x:v>
      </x:c>
      <x:c r="P37" t="n">
        <x:f>IF(AND(AND(ISNUMBER($F37),ISNUMBER($G37),$H37=$L37),$I37=$M37),Reglas!$B$4,0)</x:f>
        <x:v>0</x:v>
      </x:c>
      <x:c r="Q37" t="n">
        <x:f>IF(AND(AND(AND(ISNUMBER($F37),ISNUMBER($G37),$H37=$L37),$I37=$M37,NOT(AND($I37="Penales",$F37&lt;&gt;$G37))),$F37=$J37,$G37=$K37),Reglas!$B$5,0)</x:f>
        <x:v>0</x:v>
      </x:c>
      <x:c r="R37" t="n">
        <x:f>IF(AND(AND(AND(ISNUMBER($F37),ISNUMBER($G37),$H37=$L37),$I37=$M37,NOT(AND($I37="Penales",$F37&lt;&gt;$G37))),$F37-$G37=$J37-$K37),Reglas!$B$6,0)</x:f>
        <x:v>0</x:v>
      </x:c>
      <x:c r="S37" t="n">
        <x:f>IF(AND(AND(AND(ISNUMBER($F37),ISNUMBER($G37),$H37=$L37),$I37=$M37,NOT(AND($I37="Penales",$F37&lt;&gt;$G37))),$F37=$J37),Reglas!$B$7,0)</x:f>
        <x:v>0</x:v>
      </x:c>
      <x:c r="T37" t="n">
        <x:f>IF(AND(AND(AND(ISNUMBER($F37),ISNUMBER($G37),$H37=$L37),$I37=$M37,NOT(AND($I37="Penales",$F37&lt;&gt;$G37))),$G37=$K37),Reglas!$B$8,0)</x:f>
        <x:v>0</x:v>
      </x:c>
      <x:c r="U37" t="n">
        <x:f>SUM(N37:T37)</x:f>
        <x:v>0</x:v>
      </x:c>
      <x:c r="V37" t="str">
        <x:f>IF($W37="Sin respuesta","Sin envio",IF($U37&gt;0,"OK","Sin puntos"))</x:f>
        <x:v>Sin puntos</x:v>
      </x:c>
      <x:c r="W37" t="str">
        <x:v>Google Forms</x:v>
      </x:c>
    </x:row>
    <x:row r="38" ht="15" hidden="0" customHeight="1">
      <x:c r="A38" t="str">
        <x:v>Tercer puesto</x:v>
      </x:c>
      <x:c r="B38" t="str">
        <x:v>TP</x:v>
      </x:c>
      <x:c r="C38" t="str">
        <x:v>Omar</x:v>
      </x:c>
      <x:c r="D38" t="str">
        <x:v>Inglaterra</x:v>
      </x:c>
      <x:c r="E38" t="str">
        <x:v>Francia</x:v>
      </x:c>
      <x:c r="F38"/>
      <x:c r="G38"/>
      <x:c r="H38" t="str">
        <x:v>Sin envio</x:v>
      </x:c>
      <x:c r="I38" t="str">
        <x:v>Sin envio</x:v>
      </x:c>
      <x:c r="J38" t="n">
        <x:v>6</x:v>
      </x:c>
      <x:c r="K38" t="n">
        <x:v>4</x:v>
      </x:c>
      <x:c r="L38" t="str">
        <x:v>Inglaterra</x:v>
      </x:c>
      <x:c r="M38" t="str">
        <x:v>90 minutos</x:v>
      </x:c>
      <x:c r="N38" t="n">
        <x:f>IF(AND(AND(ISNUMBER($F38),ISNUMBER($G38),$H38=$L38),IF($I38="90 minutos",IF($F38&gt;$G38,"A",IF($G38&gt;$F38,"B","E")),"E")=IF($M38="90 minutos",IF($J38&gt;$K38,"A",IF($K38&gt;$J38,"B","E")),"E")),Reglas!$B$2,0)</x:f>
        <x:v>0</x:v>
      </x:c>
      <x:c r="O38" t="n">
        <x:f>IF(AND(ISNUMBER($F38),ISNUMBER($G38),$H38=$L38),Reglas!$B$3,0)</x:f>
        <x:v>0</x:v>
      </x:c>
      <x:c r="P38" t="n">
        <x:f>IF(AND(AND(ISNUMBER($F38),ISNUMBER($G38),$H38=$L38),$I38=$M38),Reglas!$B$4,0)</x:f>
        <x:v>0</x:v>
      </x:c>
      <x:c r="Q38" t="n">
        <x:f>IF(AND(AND(AND(ISNUMBER($F38),ISNUMBER($G38),$H38=$L38),$I38=$M38,NOT(AND($I38="Penales",$F38&lt;&gt;$G38))),$F38=$J38,$G38=$K38),Reglas!$B$5,0)</x:f>
        <x:v>0</x:v>
      </x:c>
      <x:c r="R38" t="n">
        <x:f>IF(AND(AND(AND(ISNUMBER($F38),ISNUMBER($G38),$H38=$L38),$I38=$M38,NOT(AND($I38="Penales",$F38&lt;&gt;$G38))),$F38-$G38=$J38-$K38),Reglas!$B$6,0)</x:f>
        <x:v>0</x:v>
      </x:c>
      <x:c r="S38" t="n">
        <x:f>IF(AND(AND(AND(ISNUMBER($F38),ISNUMBER($G38),$H38=$L38),$I38=$M38,NOT(AND($I38="Penales",$F38&lt;&gt;$G38))),$F38=$J38),Reglas!$B$7,0)</x:f>
        <x:v>0</x:v>
      </x:c>
      <x:c r="T38" t="n">
        <x:f>IF(AND(AND(AND(ISNUMBER($F38),ISNUMBER($G38),$H38=$L38),$I38=$M38,NOT(AND($I38="Penales",$F38&lt;&gt;$G38))),$G38=$K38),Reglas!$B$8,0)</x:f>
        <x:v>0</x:v>
      </x:c>
      <x:c r="U38" t="n">
        <x:f>SUM(N38:T38)</x:f>
        <x:v>0</x:v>
      </x:c>
      <x:c r="V38" t="str">
        <x:f>IF($W38="Sin respuesta","Sin envio",IF($U38&gt;0,"OK","Sin puntos"))</x:f>
        <x:v>Sin envio</x:v>
      </x:c>
      <x:c r="W38" t="str">
        <x:v>Sin respuesta</x:v>
      </x:c>
    </x:row>
    <x:row r="39" ht="15" hidden="0" customHeight="1">
      <x:c r="A39" t="str">
        <x:v>Final</x:v>
      </x:c>
      <x:c r="B39" t="str">
        <x:v>F</x:v>
      </x:c>
      <x:c r="C39" t="str">
        <x:v>Omar</x:v>
      </x:c>
      <x:c r="D39" t="str">
        <x:v>España</x:v>
      </x:c>
      <x:c r="E39" t="str">
        <x:v>Argentina</x:v>
      </x:c>
      <x:c r="F39"/>
      <x:c r="G39"/>
      <x:c r="H39" t="str">
        <x:v>Sin envio</x:v>
      </x:c>
      <x:c r="I39" t="str">
        <x:v>Sin envio</x:v>
      </x:c>
      <x:c r="J39" t="n">
        <x:v>1</x:v>
      </x:c>
      <x:c r="K39" t="n">
        <x:v>0</x:v>
      </x:c>
      <x:c r="L39" t="str">
        <x:v>España</x:v>
      </x:c>
      <x:c r="M39" t="str">
        <x:v>Suplementario</x:v>
      </x:c>
      <x:c r="N39" t="n">
        <x:f>IF(AND(AND(ISNUMBER($F39),ISNUMBER($G39),$H39=$L39),IF($I39="90 minutos",IF($F39&gt;$G39,"A",IF($G39&gt;$F39,"B","E")),"E")=IF($M39="90 minutos",IF($J39&gt;$K39,"A",IF($K39&gt;$J39,"B","E")),"E")),Reglas!$B$2,0)</x:f>
        <x:v>0</x:v>
      </x:c>
      <x:c r="O39" t="n">
        <x:f>IF(AND(ISNUMBER($F39),ISNUMBER($G39),$H39=$L39),Reglas!$B$3,0)</x:f>
        <x:v>0</x:v>
      </x:c>
      <x:c r="P39" t="n">
        <x:f>IF(AND(AND(ISNUMBER($F39),ISNUMBER($G39),$H39=$L39),$I39=$M39),Reglas!$B$4,0)</x:f>
        <x:v>0</x:v>
      </x:c>
      <x:c r="Q39" t="n">
        <x:f>IF(AND(AND(AND(ISNUMBER($F39),ISNUMBER($G39),$H39=$L39),$I39=$M39,NOT(AND($I39="Penales",$F39&lt;&gt;$G39))),$F39=$J39,$G39=$K39),Reglas!$B$5,0)</x:f>
        <x:v>0</x:v>
      </x:c>
      <x:c r="R39" t="n">
        <x:f>IF(AND(AND(AND(ISNUMBER($F39),ISNUMBER($G39),$H39=$L39),$I39=$M39,NOT(AND($I39="Penales",$F39&lt;&gt;$G39))),$F39-$G39=$J39-$K39),Reglas!$B$6,0)</x:f>
        <x:v>0</x:v>
      </x:c>
      <x:c r="S39" t="n">
        <x:f>IF(AND(AND(AND(ISNUMBER($F39),ISNUMBER($G39),$H39=$L39),$I39=$M39,NOT(AND($I39="Penales",$F39&lt;&gt;$G39))),$F39=$J39),Reglas!$B$7,0)</x:f>
        <x:v>0</x:v>
      </x:c>
      <x:c r="T39" t="n">
        <x:f>IF(AND(AND(AND(ISNUMBER($F39),ISNUMBER($G39),$H39=$L39),$I39=$M39,NOT(AND($I39="Penales",$F39&lt;&gt;$G39))),$G39=$K39),Reglas!$B$8,0)</x:f>
        <x:v>0</x:v>
      </x:c>
      <x:c r="U39" t="n">
        <x:f>SUM(N39:T39)</x:f>
        <x:v>0</x:v>
      </x:c>
      <x:c r="V39" t="str">
        <x:f>IF($W39="Sin respuesta","Sin envio",IF($U39&gt;0,"OK","Sin puntos"))</x:f>
        <x:v>Sin envio</x:v>
      </x:c>
      <x:c r="W39" t="str">
        <x:v>Sin respuesta</x:v>
      </x:c>
    </x:row>
    <x:row r="40" ht="15" hidden="0" customHeight="1">
      <x:c r="A40" t="str">
        <x:v>Tercer puesto</x:v>
      </x:c>
      <x:c r="B40" t="str">
        <x:v>TP</x:v>
      </x:c>
      <x:c r="C40" t="str">
        <x:v>Fernando</x:v>
      </x:c>
      <x:c r="D40" t="str">
        <x:v>Inglaterra</x:v>
      </x:c>
      <x:c r="E40" t="str">
        <x:v>Francia</x:v>
      </x:c>
      <x:c r="F40" t="n">
        <x:v>1</x:v>
      </x:c>
      <x:c r="G40" t="n">
        <x:v>3</x:v>
      </x:c>
      <x:c r="H40" t="str">
        <x:v>Inglaterra</x:v>
      </x:c>
      <x:c r="I40" t="str">
        <x:v>90 minutos</x:v>
      </x:c>
      <x:c r="J40" t="n">
        <x:v>6</x:v>
      </x:c>
      <x:c r="K40" t="n">
        <x:v>4</x:v>
      </x:c>
      <x:c r="L40" t="str">
        <x:v>Inglaterra</x:v>
      </x:c>
      <x:c r="M40" t="str">
        <x:v>90 minutos</x:v>
      </x:c>
      <x:c r="N40" t="n">
        <x:f>IF(AND(AND(ISNUMBER($F40),ISNUMBER($G40),$H40=$L40),IF($I40="90 minutos",IF($F40&gt;$G40,"A",IF($G40&gt;$F40,"B","E")),"E")=IF($M40="90 minutos",IF($J40&gt;$K40,"A",IF($K40&gt;$J40,"B","E")),"E")),Reglas!$B$2,0)</x:f>
        <x:v>0</x:v>
      </x:c>
      <x:c r="O40" t="n">
        <x:f>IF(AND(ISNUMBER($F40),ISNUMBER($G40),$H40=$L40),Reglas!$B$3,0)</x:f>
        <x:v>3</x:v>
      </x:c>
      <x:c r="P40" t="n">
        <x:f>IF(AND(AND(ISNUMBER($F40),ISNUMBER($G40),$H40=$L40),$I40=$M40),Reglas!$B$4,0)</x:f>
        <x:v>2</x:v>
      </x:c>
      <x:c r="Q40" t="n">
        <x:f>IF(AND(AND(AND(ISNUMBER($F40),ISNUMBER($G40),$H40=$L40),$I40=$M40,NOT(AND($I40="Penales",$F40&lt;&gt;$G40))),$F40=$J40,$G40=$K40),Reglas!$B$5,0)</x:f>
        <x:v>0</x:v>
      </x:c>
      <x:c r="R40" t="n">
        <x:f>IF(AND(AND(AND(ISNUMBER($F40),ISNUMBER($G40),$H40=$L40),$I40=$M40,NOT(AND($I40="Penales",$F40&lt;&gt;$G40))),$F40-$G40=$J40-$K40),Reglas!$B$6,0)</x:f>
        <x:v>0</x:v>
      </x:c>
      <x:c r="S40" t="n">
        <x:f>IF(AND(AND(AND(ISNUMBER($F40),ISNUMBER($G40),$H40=$L40),$I40=$M40,NOT(AND($I40="Penales",$F40&lt;&gt;$G40))),$F40=$J40),Reglas!$B$7,0)</x:f>
        <x:v>0</x:v>
      </x:c>
      <x:c r="T40" t="n">
        <x:f>IF(AND(AND(AND(ISNUMBER($F40),ISNUMBER($G40),$H40=$L40),$I40=$M40,NOT(AND($I40="Penales",$F40&lt;&gt;$G40))),$G40=$K40),Reglas!$B$8,0)</x:f>
        <x:v>0</x:v>
      </x:c>
      <x:c r="U40" t="n">
        <x:f>SUM(N40:T40)</x:f>
        <x:v>5</x:v>
      </x:c>
      <x:c r="V40" t="str">
        <x:f>IF($W40="Sin respuesta","Sin envio",IF($U40&gt;0,"OK","Sin puntos"))</x:f>
        <x:v>OK</x:v>
      </x:c>
      <x:c r="W40" t="str">
        <x:v>Google Forms</x:v>
      </x:c>
    </x:row>
    <x:row r="41" ht="15" hidden="0" customHeight="1">
      <x:c r="A41" t="str">
        <x:v>Final</x:v>
      </x:c>
      <x:c r="B41" t="str">
        <x:v>F</x:v>
      </x:c>
      <x:c r="C41" t="str">
        <x:v>Fernando</x:v>
      </x:c>
      <x:c r="D41" t="str">
        <x:v>España</x:v>
      </x:c>
      <x:c r="E41" t="str">
        <x:v>Argentina</x:v>
      </x:c>
      <x:c r="F41" t="n">
        <x:v>1</x:v>
      </x:c>
      <x:c r="G41" t="n">
        <x:v>2</x:v>
      </x:c>
      <x:c r="H41" t="str">
        <x:v>Argentina</x:v>
      </x:c>
      <x:c r="I41" t="str">
        <x:v>Suplementario</x:v>
      </x:c>
      <x:c r="J41" t="n">
        <x:v>1</x:v>
      </x:c>
      <x:c r="K41" t="n">
        <x:v>0</x:v>
      </x:c>
      <x:c r="L41" t="str">
        <x:v>España</x:v>
      </x:c>
      <x:c r="M41" t="str">
        <x:v>Suplementario</x:v>
      </x:c>
      <x:c r="N41" t="n">
        <x:f>IF(AND(AND(ISNUMBER($F41),ISNUMBER($G41),$H41=$L41),IF($I41="90 minutos",IF($F41&gt;$G41,"A",IF($G41&gt;$F41,"B","E")),"E")=IF($M41="90 minutos",IF($J41&gt;$K41,"A",IF($K41&gt;$J41,"B","E")),"E")),Reglas!$B$2,0)</x:f>
        <x:v>0</x:v>
      </x:c>
      <x:c r="O41" t="n">
        <x:f>IF(AND(ISNUMBER($F41),ISNUMBER($G41),$H41=$L41),Reglas!$B$3,0)</x:f>
        <x:v>0</x:v>
      </x:c>
      <x:c r="P41" t="n">
        <x:f>IF(AND(AND(ISNUMBER($F41),ISNUMBER($G41),$H41=$L41),$I41=$M41),Reglas!$B$4,0)</x:f>
        <x:v>0</x:v>
      </x:c>
      <x:c r="Q41" t="n">
        <x:f>IF(AND(AND(AND(ISNUMBER($F41),ISNUMBER($G41),$H41=$L41),$I41=$M41,NOT(AND($I41="Penales",$F41&lt;&gt;$G41))),$F41=$J41,$G41=$K41),Reglas!$B$5,0)</x:f>
        <x:v>0</x:v>
      </x:c>
      <x:c r="R41" t="n">
        <x:f>IF(AND(AND(AND(ISNUMBER($F41),ISNUMBER($G41),$H41=$L41),$I41=$M41,NOT(AND($I41="Penales",$F41&lt;&gt;$G41))),$F41-$G41=$J41-$K41),Reglas!$B$6,0)</x:f>
        <x:v>0</x:v>
      </x:c>
      <x:c r="S41" t="n">
        <x:f>IF(AND(AND(AND(ISNUMBER($F41),ISNUMBER($G41),$H41=$L41),$I41=$M41,NOT(AND($I41="Penales",$F41&lt;&gt;$G41))),$F41=$J41),Reglas!$B$7,0)</x:f>
        <x:v>0</x:v>
      </x:c>
      <x:c r="T41" t="n">
        <x:f>IF(AND(AND(AND(ISNUMBER($F41),ISNUMBER($G41),$H41=$L41),$I41=$M41,NOT(AND($I41="Penales",$F41&lt;&gt;$G41))),$G41=$K41),Reglas!$B$8,0)</x:f>
        <x:v>0</x:v>
      </x:c>
      <x:c r="U41" t="n">
        <x:f>SUM(N41:T41)</x:f>
        <x:v>0</x:v>
      </x:c>
      <x:c r="V41" t="str">
        <x:f>IF($W41="Sin respuesta","Sin envio",IF($U41&gt;0,"OK","Sin puntos"))</x:f>
        <x:v>Sin puntos</x:v>
      </x:c>
      <x:c r="W41" t="str">
        <x:v>Google Forms</x:v>
      </x:c>
    </x:row>
    <x:row r="42" ht="15" hidden="0" customHeight="1">
      <x:c r="A42" t="str">
        <x:v>Tercer puesto</x:v>
      </x:c>
      <x:c r="B42" t="str">
        <x:v>TP</x:v>
      </x:c>
      <x:c r="C42" t="str">
        <x:v>Diana</x:v>
      </x:c>
      <x:c r="D42" t="str">
        <x:v>Inglaterra</x:v>
      </x:c>
      <x:c r="E42" t="str">
        <x:v>Francia</x:v>
      </x:c>
      <x:c r="F42"/>
      <x:c r="G42"/>
      <x:c r="H42" t="str">
        <x:v>Sin envio</x:v>
      </x:c>
      <x:c r="I42" t="str">
        <x:v>Sin envio</x:v>
      </x:c>
      <x:c r="J42" t="n">
        <x:v>6</x:v>
      </x:c>
      <x:c r="K42" t="n">
        <x:v>4</x:v>
      </x:c>
      <x:c r="L42" t="str">
        <x:v>Inglaterra</x:v>
      </x:c>
      <x:c r="M42" t="str">
        <x:v>90 minutos</x:v>
      </x:c>
      <x:c r="N42" t="n">
        <x:f>IF(AND(AND(ISNUMBER($F42),ISNUMBER($G42),$H42=$L42),IF($I42="90 minutos",IF($F42&gt;$G42,"A",IF($G42&gt;$F42,"B","E")),"E")=IF($M42="90 minutos",IF($J42&gt;$K42,"A",IF($K42&gt;$J42,"B","E")),"E")),Reglas!$B$2,0)</x:f>
        <x:v>0</x:v>
      </x:c>
      <x:c r="O42" t="n">
        <x:f>IF(AND(ISNUMBER($F42),ISNUMBER($G42),$H42=$L42),Reglas!$B$3,0)</x:f>
        <x:v>0</x:v>
      </x:c>
      <x:c r="P42" t="n">
        <x:f>IF(AND(AND(ISNUMBER($F42),ISNUMBER($G42),$H42=$L42),$I42=$M42),Reglas!$B$4,0)</x:f>
        <x:v>0</x:v>
      </x:c>
      <x:c r="Q42" t="n">
        <x:f>IF(AND(AND(AND(ISNUMBER($F42),ISNUMBER($G42),$H42=$L42),$I42=$M42,NOT(AND($I42="Penales",$F42&lt;&gt;$G42))),$F42=$J42,$G42=$K42),Reglas!$B$5,0)</x:f>
        <x:v>0</x:v>
      </x:c>
      <x:c r="R42" t="n">
        <x:f>IF(AND(AND(AND(ISNUMBER($F42),ISNUMBER($G42),$H42=$L42),$I42=$M42,NOT(AND($I42="Penales",$F42&lt;&gt;$G42))),$F42-$G42=$J42-$K42),Reglas!$B$6,0)</x:f>
        <x:v>0</x:v>
      </x:c>
      <x:c r="S42" t="n">
        <x:f>IF(AND(AND(AND(ISNUMBER($F42),ISNUMBER($G42),$H42=$L42),$I42=$M42,NOT(AND($I42="Penales",$F42&lt;&gt;$G42))),$F42=$J42),Reglas!$B$7,0)</x:f>
        <x:v>0</x:v>
      </x:c>
      <x:c r="T42" t="n">
        <x:f>IF(AND(AND(AND(ISNUMBER($F42),ISNUMBER($G42),$H42=$L42),$I42=$M42,NOT(AND($I42="Penales",$F42&lt;&gt;$G42))),$G42=$K42),Reglas!$B$8,0)</x:f>
        <x:v>0</x:v>
      </x:c>
      <x:c r="U42" t="n">
        <x:f>SUM(N42:T42)</x:f>
        <x:v>0</x:v>
      </x:c>
      <x:c r="V42" t="str">
        <x:f>IF($W42="Sin respuesta","Sin envio",IF($U42&gt;0,"OK","Sin puntos"))</x:f>
        <x:v>Sin envio</x:v>
      </x:c>
      <x:c r="W42" t="str">
        <x:v>Sin respuesta</x:v>
      </x:c>
    </x:row>
    <x:row r="43" ht="15" hidden="0" customHeight="1">
      <x:c r="A43" t="str">
        <x:v>Final</x:v>
      </x:c>
      <x:c r="B43" t="str">
        <x:v>F</x:v>
      </x:c>
      <x:c r="C43" t="str">
        <x:v>Diana</x:v>
      </x:c>
      <x:c r="D43" t="str">
        <x:v>España</x:v>
      </x:c>
      <x:c r="E43" t="str">
        <x:v>Argentina</x:v>
      </x:c>
      <x:c r="F43"/>
      <x:c r="G43"/>
      <x:c r="H43" t="str">
        <x:v>Sin envio</x:v>
      </x:c>
      <x:c r="I43" t="str">
        <x:v>Sin envio</x:v>
      </x:c>
      <x:c r="J43" t="n">
        <x:v>1</x:v>
      </x:c>
      <x:c r="K43" t="n">
        <x:v>0</x:v>
      </x:c>
      <x:c r="L43" t="str">
        <x:v>España</x:v>
      </x:c>
      <x:c r="M43" t="str">
        <x:v>Suplementario</x:v>
      </x:c>
      <x:c r="N43" t="n">
        <x:f>IF(AND(AND(ISNUMBER($F43),ISNUMBER($G43),$H43=$L43),IF($I43="90 minutos",IF($F43&gt;$G43,"A",IF($G43&gt;$F43,"B","E")),"E")=IF($M43="90 minutos",IF($J43&gt;$K43,"A",IF($K43&gt;$J43,"B","E")),"E")),Reglas!$B$2,0)</x:f>
        <x:v>0</x:v>
      </x:c>
      <x:c r="O43" t="n">
        <x:f>IF(AND(ISNUMBER($F43),ISNUMBER($G43),$H43=$L43),Reglas!$B$3,0)</x:f>
        <x:v>0</x:v>
      </x:c>
      <x:c r="P43" t="n">
        <x:f>IF(AND(AND(ISNUMBER($F43),ISNUMBER($G43),$H43=$L43),$I43=$M43),Reglas!$B$4,0)</x:f>
        <x:v>0</x:v>
      </x:c>
      <x:c r="Q43" t="n">
        <x:f>IF(AND(AND(AND(ISNUMBER($F43),ISNUMBER($G43),$H43=$L43),$I43=$M43,NOT(AND($I43="Penales",$F43&lt;&gt;$G43))),$F43=$J43,$G43=$K43),Reglas!$B$5,0)</x:f>
        <x:v>0</x:v>
      </x:c>
      <x:c r="R43" t="n">
        <x:f>IF(AND(AND(AND(ISNUMBER($F43),ISNUMBER($G43),$H43=$L43),$I43=$M43,NOT(AND($I43="Penales",$F43&lt;&gt;$G43))),$F43-$G43=$J43-$K43),Reglas!$B$6,0)</x:f>
        <x:v>0</x:v>
      </x:c>
      <x:c r="S43" t="n">
        <x:f>IF(AND(AND(AND(ISNUMBER($F43),ISNUMBER($G43),$H43=$L43),$I43=$M43,NOT(AND($I43="Penales",$F43&lt;&gt;$G43))),$F43=$J43),Reglas!$B$7,0)</x:f>
        <x:v>0</x:v>
      </x:c>
      <x:c r="T43" t="n">
        <x:f>IF(AND(AND(AND(ISNUMBER($F43),ISNUMBER($G43),$H43=$L43),$I43=$M43,NOT(AND($I43="Penales",$F43&lt;&gt;$G43))),$G43=$K43),Reglas!$B$8,0)</x:f>
        <x:v>0</x:v>
      </x:c>
      <x:c r="U43" t="n">
        <x:f>SUM(N43:T43)</x:f>
        <x:v>0</x:v>
      </x:c>
      <x:c r="V43" t="str">
        <x:f>IF($W43="Sin respuesta","Sin envio",IF($U43&gt;0,"OK","Sin puntos"))</x:f>
        <x:v>Sin envio</x:v>
      </x:c>
      <x:c r="W43" t="str">
        <x:v>Sin respuesta</x:v>
      </x:c>
    </x:row>
    <x:row r="44" ht="15" hidden="0" customHeight="1">
      <x:c r="A44" t="str">
        <x:v>Tercer puesto</x:v>
      </x:c>
      <x:c r="B44" t="str">
        <x:v>TP</x:v>
      </x:c>
      <x:c r="C44" t="str">
        <x:v>Óscar</x:v>
      </x:c>
      <x:c r="D44" t="str">
        <x:v>Inglaterra</x:v>
      </x:c>
      <x:c r="E44" t="str">
        <x:v>Francia</x:v>
      </x:c>
      <x:c r="F44" t="n">
        <x:v>1</x:v>
      </x:c>
      <x:c r="G44" t="n">
        <x:v>2</x:v>
      </x:c>
      <x:c r="H44" t="str">
        <x:v>Francia</x:v>
      </x:c>
      <x:c r="I44" t="str">
        <x:v>90 minutos</x:v>
      </x:c>
      <x:c r="J44" t="n">
        <x:v>6</x:v>
      </x:c>
      <x:c r="K44" t="n">
        <x:v>4</x:v>
      </x:c>
      <x:c r="L44" t="str">
        <x:v>Inglaterra</x:v>
      </x:c>
      <x:c r="M44" t="str">
        <x:v>90 minutos</x:v>
      </x:c>
      <x:c r="N44" t="n">
        <x:f>IF(AND(AND(ISNUMBER($F44),ISNUMBER($G44),$H44=$L44),IF($I44="90 minutos",IF($F44&gt;$G44,"A",IF($G44&gt;$F44,"B","E")),"E")=IF($M44="90 minutos",IF($J44&gt;$K44,"A",IF($K44&gt;$J44,"B","E")),"E")),Reglas!$B$2,0)</x:f>
        <x:v>0</x:v>
      </x:c>
      <x:c r="O44" t="n">
        <x:f>IF(AND(ISNUMBER($F44),ISNUMBER($G44),$H44=$L44),Reglas!$B$3,0)</x:f>
        <x:v>0</x:v>
      </x:c>
      <x:c r="P44" t="n">
        <x:f>IF(AND(AND(ISNUMBER($F44),ISNUMBER($G44),$H44=$L44),$I44=$M44),Reglas!$B$4,0)</x:f>
        <x:v>0</x:v>
      </x:c>
      <x:c r="Q44" t="n">
        <x:f>IF(AND(AND(AND(ISNUMBER($F44),ISNUMBER($G44),$H44=$L44),$I44=$M44,NOT(AND($I44="Penales",$F44&lt;&gt;$G44))),$F44=$J44,$G44=$K44),Reglas!$B$5,0)</x:f>
        <x:v>0</x:v>
      </x:c>
      <x:c r="R44" t="n">
        <x:f>IF(AND(AND(AND(ISNUMBER($F44),ISNUMBER($G44),$H44=$L44),$I44=$M44,NOT(AND($I44="Penales",$F44&lt;&gt;$G44))),$F44-$G44=$J44-$K44),Reglas!$B$6,0)</x:f>
        <x:v>0</x:v>
      </x:c>
      <x:c r="S44" t="n">
        <x:f>IF(AND(AND(AND(ISNUMBER($F44),ISNUMBER($G44),$H44=$L44),$I44=$M44,NOT(AND($I44="Penales",$F44&lt;&gt;$G44))),$F44=$J44),Reglas!$B$7,0)</x:f>
        <x:v>0</x:v>
      </x:c>
      <x:c r="T44" t="n">
        <x:f>IF(AND(AND(AND(ISNUMBER($F44),ISNUMBER($G44),$H44=$L44),$I44=$M44,NOT(AND($I44="Penales",$F44&lt;&gt;$G44))),$G44=$K44),Reglas!$B$8,0)</x:f>
        <x:v>0</x:v>
      </x:c>
      <x:c r="U44" t="n">
        <x:f>SUM(N44:T44)</x:f>
        <x:v>0</x:v>
      </x:c>
      <x:c r="V44" t="str">
        <x:f>IF($W44="Sin respuesta","Sin envio",IF($U44&gt;0,"OK","Sin puntos"))</x:f>
        <x:v>Sin puntos</x:v>
      </x:c>
      <x:c r="W44" t="str">
        <x:v>Google Forms</x:v>
      </x:c>
    </x:row>
    <x:row r="45" ht="15" hidden="0" customHeight="1">
      <x:c r="A45" t="str">
        <x:v>Final</x:v>
      </x:c>
      <x:c r="B45" t="str">
        <x:v>F</x:v>
      </x:c>
      <x:c r="C45" t="str">
        <x:v>Óscar</x:v>
      </x:c>
      <x:c r="D45" t="str">
        <x:v>España</x:v>
      </x:c>
      <x:c r="E45" t="str">
        <x:v>Argentina</x:v>
      </x:c>
      <x:c r="F45" t="n">
        <x:v>1</x:v>
      </x:c>
      <x:c r="G45" t="n">
        <x:v>2</x:v>
      </x:c>
      <x:c r="H45" t="str">
        <x:v>Argentina</x:v>
      </x:c>
      <x:c r="I45" t="str">
        <x:v>90 minutos</x:v>
      </x:c>
      <x:c r="J45" t="n">
        <x:v>1</x:v>
      </x:c>
      <x:c r="K45" t="n">
        <x:v>0</x:v>
      </x:c>
      <x:c r="L45" t="str">
        <x:v>España</x:v>
      </x:c>
      <x:c r="M45" t="str">
        <x:v>Suplementario</x:v>
      </x:c>
      <x:c r="N45" t="n">
        <x:f>IF(AND(AND(ISNUMBER($F45),ISNUMBER($G45),$H45=$L45),IF($I45="90 minutos",IF($F45&gt;$G45,"A",IF($G45&gt;$F45,"B","E")),"E")=IF($M45="90 minutos",IF($J45&gt;$K45,"A",IF($K45&gt;$J45,"B","E")),"E")),Reglas!$B$2,0)</x:f>
        <x:v>0</x:v>
      </x:c>
      <x:c r="O45" t="n">
        <x:f>IF(AND(ISNUMBER($F45),ISNUMBER($G45),$H45=$L45),Reglas!$B$3,0)</x:f>
        <x:v>0</x:v>
      </x:c>
      <x:c r="P45" t="n">
        <x:f>IF(AND(AND(ISNUMBER($F45),ISNUMBER($G45),$H45=$L45),$I45=$M45),Reglas!$B$4,0)</x:f>
        <x:v>0</x:v>
      </x:c>
      <x:c r="Q45" t="n">
        <x:f>IF(AND(AND(AND(ISNUMBER($F45),ISNUMBER($G45),$H45=$L45),$I45=$M45,NOT(AND($I45="Penales",$F45&lt;&gt;$G45))),$F45=$J45,$G45=$K45),Reglas!$B$5,0)</x:f>
        <x:v>0</x:v>
      </x:c>
      <x:c r="R45" t="n">
        <x:f>IF(AND(AND(AND(ISNUMBER($F45),ISNUMBER($G45),$H45=$L45),$I45=$M45,NOT(AND($I45="Penales",$F45&lt;&gt;$G45))),$F45-$G45=$J45-$K45),Reglas!$B$6,0)</x:f>
        <x:v>0</x:v>
      </x:c>
      <x:c r="S45" t="n">
        <x:f>IF(AND(AND(AND(ISNUMBER($F45),ISNUMBER($G45),$H45=$L45),$I45=$M45,NOT(AND($I45="Penales",$F45&lt;&gt;$G45))),$F45=$J45),Reglas!$B$7,0)</x:f>
        <x:v>0</x:v>
      </x:c>
      <x:c r="T45" t="n">
        <x:f>IF(AND(AND(AND(ISNUMBER($F45),ISNUMBER($G45),$H45=$L45),$I45=$M45,NOT(AND($I45="Penales",$F45&lt;&gt;$G45))),$G45=$K45),Reglas!$B$8,0)</x:f>
        <x:v>0</x:v>
      </x:c>
      <x:c r="U45" t="n">
        <x:f>SUM(N45:T45)</x:f>
        <x:v>0</x:v>
      </x:c>
      <x:c r="V45" t="str">
        <x:f>IF($W45="Sin respuesta","Sin envio",IF($U45&gt;0,"OK","Sin puntos"))</x:f>
        <x:v>Sin puntos</x:v>
      </x:c>
      <x:c r="W45" t="str">
        <x:v>Google Forms</x:v>
      </x:c>
    </x:row>
  </x:sheetData>
  <x:pageMargins left="0.7" right="0.7" top="0.75" bottom="0.75" header="0.3" footer="0.3"/>
  <x:tableParts count="1">
    <x:tablePart xmlns:r="http://schemas.openxmlformats.org/officeDocument/2006/relationships" r:id="R115a6b90a3b74667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" hidden="0" customWidth="1"/>
    <x:col min="2" max="2" width="24.25" hidden="0" customWidth="1"/>
    <x:col min="3" max="3" width="9.25" hidden="0" customWidth="1"/>
    <x:col min="4" max="4" width="19.75" hidden="0" customWidth="1"/>
    <x:col min="5" max="5" width="15.880000114440918" hidden="0" customWidth="1"/>
    <x:col min="6" max="6" width="14.380000114440918" hidden="0" customWidth="1"/>
    <x:col min="7" max="7" width="9.25" hidden="0" customWidth="1"/>
    <x:col min="8" max="8" width="19.75" hidden="0" customWidth="1"/>
    <x:col min="9" max="9" width="14.5" hidden="0" customWidth="1"/>
    <x:col min="10" max="10" width="17.1299991607666" hidden="0" customWidth="1"/>
    <x:col min="11" max="11" width="9.25" hidden="0" customWidth="1"/>
    <x:col min="12" max="12" width="19.75" hidden="0" customWidth="1"/>
    <x:col min="13" max="13" width="13.130000114440918" hidden="0" customWidth="1"/>
    <x:col min="14" max="14" width="15.380000114440918" hidden="0" customWidth="1"/>
    <x:col min="15" max="15" width="9.25" hidden="0" customWidth="1"/>
    <x:col min="16" max="16" width="19.75" hidden="0" customWidth="1"/>
    <x:col min="17" max="17" width="14.380000114440918" hidden="0" customWidth="1"/>
    <x:col min="18" max="18" width="16.25" hidden="0" customWidth="1"/>
    <x:col min="19" max="19" width="9.25" hidden="0" customWidth="1"/>
    <x:col min="20" max="20" width="19.75" hidden="0" customWidth="1"/>
    <x:col min="21" max="21" width="13.130000114440918" hidden="0" customWidth="1"/>
    <x:col min="22" max="22" width="14.25" hidden="0" customWidth="1"/>
    <x:col min="23" max="23" width="9.25" hidden="0" customWidth="1"/>
    <x:col min="24" max="24" width="19.75" hidden="0" customWidth="1"/>
    <x:col min="25" max="25" width="15.25" hidden="0" customWidth="1"/>
    <x:col min="26" max="26" width="14.25" hidden="0" customWidth="1"/>
    <x:col min="27" max="27" width="9.25" hidden="0" customWidth="1"/>
    <x:col min="28" max="28" width="19.75" hidden="0" customWidth="1"/>
    <x:col min="29" max="29" width="12.75" hidden="0" customWidth="1"/>
    <x:col min="30" max="30" width="16.1299991607666" hidden="0" customWidth="1"/>
    <x:col min="31" max="31" width="9.25" hidden="0" customWidth="1"/>
    <x:col min="32" max="32" width="19.75" hidden="0" customWidth="1"/>
    <x:col min="33" max="33" width="16.3799991607666" hidden="0" customWidth="1"/>
    <x:col min="34" max="34" width="13.75" hidden="0" customWidth="1"/>
  </x:cols>
  <x:sheetData>
    <x:row r="1" ht="15" hidden="0" customHeight="1">
      <x:c r="A1" s="3" t="str">
        <x:v>Marca temporal</x:v>
      </x:c>
      <x:c r="B1" s="3" t="str">
        <x:v>Nombres y Apellidos</x:v>
      </x:c>
      <x:c r="C1" s="3" t="str">
        <x:v>Clasificado:</x:v>
      </x:c>
      <x:c r="D1" s="3" t="str">
        <x:v>Método:</x:v>
      </x:c>
      <x:c r="E1" s="3" t="str">
        <x:v>Marcador Paraguay:</x:v>
      </x:c>
      <x:c r="F1" s="3" t="str">
        <x:v>Marcador Francia:</x:v>
      </x:c>
      <x:c r="G1" s="3" t="str">
        <x:v>Clasificado:</x:v>
      </x:c>
      <x:c r="H1" s="3" t="str">
        <x:v>Método:</x:v>
      </x:c>
      <x:c r="I1" s="3" t="str">
        <x:v>Marcador Canadá:</x:v>
      </x:c>
      <x:c r="J1" s="3" t="str">
        <x:v>Marcador Marruecos:</x:v>
      </x:c>
      <x:c r="K1" s="3" t="str">
        <x:v>Clasificado:</x:v>
      </x:c>
      <x:c r="L1" s="3" t="str">
        <x:v>Método:</x:v>
      </x:c>
      <x:c r="M1" s="3" t="str">
        <x:v>Marcador Brasil:</x:v>
      </x:c>
      <x:c r="N1" s="3" t="str">
        <x:v>Marcador Noruega:</x:v>
      </x:c>
      <x:c r="O1" s="3" t="str">
        <x:v>Clasificado:</x:v>
      </x:c>
      <x:c r="P1" s="3" t="str">
        <x:v>Método:</x:v>
      </x:c>
      <x:c r="Q1" s="3" t="str">
        <x:v>Marcador México:</x:v>
      </x:c>
      <x:c r="R1" s="3" t="str">
        <x:v>Marcador Inglaterra:</x:v>
      </x:c>
      <x:c r="S1" s="3" t="str">
        <x:v>Clasificado:</x:v>
      </x:c>
      <x:c r="T1" s="3" t="str">
        <x:v>Método:</x:v>
      </x:c>
      <x:c r="U1" s="3" t="str">
        <x:v>Marcador EEUU:</x:v>
      </x:c>
      <x:c r="V1" s="3" t="str">
        <x:v>Marcador Bélgica:</x:v>
      </x:c>
      <x:c r="W1" s="3" t="str">
        <x:v>Clasificado:</x:v>
      </x:c>
      <x:c r="X1" s="3" t="str">
        <x:v>Método:</x:v>
      </x:c>
      <x:c r="Y1" s="3" t="str">
        <x:v>Marcador Portugal:</x:v>
      </x:c>
      <x:c r="Z1" s="3" t="str">
        <x:v>Marcador España:</x:v>
      </x:c>
      <x:c r="AA1" s="3" t="str">
        <x:v>Clasificado:</x:v>
      </x:c>
      <x:c r="AB1" s="3" t="str">
        <x:v>Método:</x:v>
      </x:c>
      <x:c r="AC1" s="3" t="str">
        <x:v>Marcador Suiza:</x:v>
      </x:c>
      <x:c r="AD1" s="3" t="str">
        <x:v>Marcador Colombia:</x:v>
      </x:c>
      <x:c r="AE1" s="3" t="str">
        <x:v>Clasificado:</x:v>
      </x:c>
      <x:c r="AF1" s="3" t="str">
        <x:v>Método:</x:v>
      </x:c>
      <x:c r="AG1" s="3" t="str">
        <x:v>Marcador Argentina:</x:v>
      </x:c>
      <x:c r="AH1" s="3" t="str">
        <x:v>Marcador Egipto:</x:v>
      </x:c>
    </x:row>
    <x:row r="2" ht="15" hidden="0" customHeight="1">
      <x:c r="A2" t="str">
        <x:v>3/07/2026 17:53:47</x:v>
      </x:c>
      <x:c r="B2" t="str">
        <x:v>DANIEL FERNANDO VEGA MEZA</x:v>
      </x:c>
      <x:c r="C2" t="str">
        <x:v>FRANCIA</x:v>
      </x:c>
      <x:c r="D2" t="str">
        <x:v>DENTRO DE LOS 90"</x:v>
      </x:c>
      <x:c r="E2" t="str">
        <x:v>1</x:v>
      </x:c>
      <x:c r="F2" t="str">
        <x:v>2</x:v>
      </x:c>
      <x:c r="G2" t="str">
        <x:v>Canadá</x:v>
      </x:c>
      <x:c r="H2" t="str">
        <x:v>PENALES</x:v>
      </x:c>
      <x:c r="I2" t="str">
        <x:v>1</x:v>
      </x:c>
      <x:c r="J2" t="str">
        <x:v>1</x:v>
      </x:c>
      <x:c r="K2" t="str">
        <x:v>Brasil</x:v>
      </x:c>
      <x:c r="L2" t="str">
        <x:v>PENALES</x:v>
      </x:c>
      <x:c r="M2" t="str">
        <x:v>1</x:v>
      </x:c>
      <x:c r="N2" t="str">
        <x:v>1</x:v>
      </x:c>
      <x:c r="O2" t="str">
        <x:v>México</x:v>
      </x:c>
      <x:c r="P2" t="str">
        <x:v>PENALES</x:v>
      </x:c>
      <x:c r="Q2" t="str">
        <x:v>1</x:v>
      </x:c>
      <x:c r="R2" t="str">
        <x:v>1</x:v>
      </x:c>
      <x:c r="S2" t="str">
        <x:v>EEUU</x:v>
      </x:c>
      <x:c r="T2" t="str">
        <x:v>DENTRO DE LOS 90"</x:v>
      </x:c>
      <x:c r="U2" t="str">
        <x:v>1</x:v>
      </x:c>
      <x:c r="V2" t="str">
        <x:v>0</x:v>
      </x:c>
      <x:c r="W2" t="str">
        <x:v>Portugal</x:v>
      </x:c>
      <x:c r="X2" t="str">
        <x:v>PENALES</x:v>
      </x:c>
      <x:c r="Y2" t="str">
        <x:v>2</x:v>
      </x:c>
      <x:c r="Z2" t="str">
        <x:v>2</x:v>
      </x:c>
      <x:c r="AA2" t="str">
        <x:v>Colombia</x:v>
      </x:c>
      <x:c r="AB2" t="str">
        <x:v>TIEMPO SUPLEMENTARIO</x:v>
      </x:c>
      <x:c r="AC2" t="str">
        <x:v>1</x:v>
      </x:c>
      <x:c r="AD2" t="str">
        <x:v>2</x:v>
      </x:c>
      <x:c r="AE2" t="str">
        <x:v>Argentina</x:v>
      </x:c>
      <x:c r="AF2" t="str">
        <x:v>DENTRO DE LOS 90"</x:v>
      </x:c>
      <x:c r="AG2" t="str">
        <x:v>2</x:v>
      </x:c>
      <x:c r="AH2" t="str">
        <x:v>1</x:v>
      </x:c>
    </x:row>
    <x:row r="3" ht="15" hidden="0" customHeight="1">
      <x:c r="A3" t="str">
        <x:v>3/07/2026 18:00:18</x:v>
      </x:c>
      <x:c r="B3" t="str">
        <x:v>Diego Saloma</x:v>
      </x:c>
      <x:c r="C3" t="str">
        <x:v>FRANCIA</x:v>
      </x:c>
      <x:c r="D3" t="str">
        <x:v>DENTRO DE LOS 90"</x:v>
      </x:c>
      <x:c r="E3" t="str">
        <x:v>0</x:v>
      </x:c>
      <x:c r="F3" t="str">
        <x:v>2</x:v>
      </x:c>
      <x:c r="G3" t="str">
        <x:v>Marruecos</x:v>
      </x:c>
      <x:c r="H3" t="str">
        <x:v>DENTRO DE LOS 90"</x:v>
      </x:c>
      <x:c r="I3" t="str">
        <x:v>1</x:v>
      </x:c>
      <x:c r="J3" t="str">
        <x:v>2</x:v>
      </x:c>
      <x:c r="K3" t="str">
        <x:v>Brasil</x:v>
      </x:c>
      <x:c r="L3" t="str">
        <x:v>PENALES</x:v>
      </x:c>
      <x:c r="M3" t="str">
        <x:v>2</x:v>
      </x:c>
      <x:c r="N3" t="str">
        <x:v>2</x:v>
      </x:c>
      <x:c r="O3" t="str">
        <x:v>Inglaterra</x:v>
      </x:c>
      <x:c r="P3" t="str">
        <x:v>DENTRO DE LOS 90"</x:v>
      </x:c>
      <x:c r="Q3" t="str">
        <x:v>0</x:v>
      </x:c>
      <x:c r="R3" t="str">
        <x:v>2</x:v>
      </x:c>
      <x:c r="S3" t="str">
        <x:v>Bélgica</x:v>
      </x:c>
      <x:c r="T3" t="str">
        <x:v>PENALES</x:v>
      </x:c>
      <x:c r="U3" t="str">
        <x:v>2</x:v>
      </x:c>
      <x:c r="V3" t="str">
        <x:v>2</x:v>
      </x:c>
      <x:c r="W3" t="str">
        <x:v>España</x:v>
      </x:c>
      <x:c r="X3" t="str">
        <x:v>TIEMPO SUPLEMENTARIO</x:v>
      </x:c>
      <x:c r="Y3" t="str">
        <x:v>1</x:v>
      </x:c>
      <x:c r="Z3" t="str">
        <x:v>2</x:v>
      </x:c>
      <x:c r="AA3" t="str">
        <x:v>Colombia</x:v>
      </x:c>
      <x:c r="AB3" t="str">
        <x:v>PENALES</x:v>
      </x:c>
      <x:c r="AC3" t="str">
        <x:v>1</x:v>
      </x:c>
      <x:c r="AD3" t="str">
        <x:v>1</x:v>
      </x:c>
      <x:c r="AE3" t="str">
        <x:v>Argentina</x:v>
      </x:c>
      <x:c r="AF3" t="str">
        <x:v>DENTRO DE LOS 90"</x:v>
      </x:c>
      <x:c r="AG3" t="str">
        <x:v>2</x:v>
      </x:c>
      <x:c r="AH3" t="str">
        <x:v>0</x:v>
      </x:c>
    </x:row>
    <x:row r="4" ht="15" hidden="0" customHeight="1">
      <x:c r="A4" t="str">
        <x:v>3/07/2026 18:24:22</x:v>
      </x:c>
      <x:c r="B4" t="str">
        <x:v>Aldo Isaac Vargas Zavaleta</x:v>
      </x:c>
      <x:c r="C4" t="str">
        <x:v>PARAGUAY</x:v>
      </x:c>
      <x:c r="D4" t="str">
        <x:v>PENALES</x:v>
      </x:c>
      <x:c r="E4" t="str">
        <x:v>1</x:v>
      </x:c>
      <x:c r="F4" t="str">
        <x:v>1</x:v>
      </x:c>
      <x:c r="G4" t="str">
        <x:v>Marruecos</x:v>
      </x:c>
      <x:c r="H4" t="str">
        <x:v>DENTRO DE LOS 90"</x:v>
      </x:c>
      <x:c r="I4" t="str">
        <x:v>1</x:v>
      </x:c>
      <x:c r="J4" t="str">
        <x:v>2</x:v>
      </x:c>
      <x:c r="K4" t="str">
        <x:v>Brasil</x:v>
      </x:c>
      <x:c r="L4" t="str">
        <x:v>DENTRO DE LOS 90"</x:v>
      </x:c>
      <x:c r="M4" t="str">
        <x:v>2</x:v>
      </x:c>
      <x:c r="N4" t="str">
        <x:v>1</x:v>
      </x:c>
      <x:c r="O4" t="str">
        <x:v>Inglaterra</x:v>
      </x:c>
      <x:c r="P4" t="str">
        <x:v>DENTRO DE LOS 90"</x:v>
      </x:c>
      <x:c r="Q4" t="str">
        <x:v>1</x:v>
      </x:c>
      <x:c r="R4" t="str">
        <x:v>2</x:v>
      </x:c>
      <x:c r="S4" t="str">
        <x:v>Bélgica</x:v>
      </x:c>
      <x:c r="T4" t="str">
        <x:v>DENTRO DE LOS 90"</x:v>
      </x:c>
      <x:c r="U4" t="str">
        <x:v>1</x:v>
      </x:c>
      <x:c r="V4" t="str">
        <x:v>2</x:v>
      </x:c>
      <x:c r="W4" t="str">
        <x:v>Portugal</x:v>
      </x:c>
      <x:c r="X4" t="str">
        <x:v>DENTRO DE LOS 90"</x:v>
      </x:c>
      <x:c r="Y4" t="str">
        <x:v>2</x:v>
      </x:c>
      <x:c r="Z4" t="str">
        <x:v>1</x:v>
      </x:c>
      <x:c r="AA4" t="str">
        <x:v>Colombia</x:v>
      </x:c>
      <x:c r="AB4" t="str">
        <x:v>DENTRO DE LOS 90"</x:v>
      </x:c>
      <x:c r="AC4" t="str">
        <x:v>1</x:v>
      </x:c>
      <x:c r="AD4" t="str">
        <x:v>2</x:v>
      </x:c>
      <x:c r="AE4" t="str">
        <x:v>Argentina</x:v>
      </x:c>
      <x:c r="AF4" t="str">
        <x:v>DENTRO DE LOS 90"</x:v>
      </x:c>
      <x:c r="AG4" t="str">
        <x:v>2</x:v>
      </x:c>
      <x:c r="AH4" t="str">
        <x:v>1</x:v>
      </x:c>
    </x:row>
    <x:row r="5" ht="15" hidden="0" customHeight="1">
      <x:c r="A5" t="str">
        <x:v>3/07/2026 19:49:40</x:v>
      </x:c>
      <x:c r="B5" t="str">
        <x:v>Anny pacheco</x:v>
      </x:c>
      <x:c r="C5" t="str">
        <x:v>FRANCIA</x:v>
      </x:c>
      <x:c r="D5" t="str">
        <x:v>DENTRO DE LOS 90"</x:v>
      </x:c>
      <x:c r="E5" t="str">
        <x:v>0</x:v>
      </x:c>
      <x:c r="F5" t="str">
        <x:v>3</x:v>
      </x:c>
      <x:c r="G5" t="str">
        <x:v>Marruecos</x:v>
      </x:c>
      <x:c r="H5" t="str">
        <x:v>DENTRO DE LOS 90"</x:v>
      </x:c>
      <x:c r="I5" t="str">
        <x:v>1</x:v>
      </x:c>
      <x:c r="J5" t="str">
        <x:v>2</x:v>
      </x:c>
      <x:c r="K5" t="str">
        <x:v>Brasil</x:v>
      </x:c>
      <x:c r="L5" t="str">
        <x:v>DENTRO DE LOS 90"</x:v>
      </x:c>
      <x:c r="M5" t="str">
        <x:v>3</x:v>
      </x:c>
      <x:c r="N5" t="str">
        <x:v>1</x:v>
      </x:c>
      <x:c r="O5" t="str">
        <x:v>Inglaterra</x:v>
      </x:c>
      <x:c r="P5" t="str">
        <x:v>DENTRO DE LOS 90"</x:v>
      </x:c>
      <x:c r="Q5" t="str">
        <x:v>1</x:v>
      </x:c>
      <x:c r="R5" t="str">
        <x:v>2</x:v>
      </x:c>
      <x:c r="S5" t="str">
        <x:v>EEUU</x:v>
      </x:c>
      <x:c r="T5" t="str">
        <x:v>PENALES</x:v>
      </x:c>
      <x:c r="U5" t="str">
        <x:v>1</x:v>
      </x:c>
      <x:c r="V5" t="str">
        <x:v>1</x:v>
      </x:c>
      <x:c r="W5" t="str">
        <x:v>España</x:v>
      </x:c>
      <x:c r="X5" t="str">
        <x:v>PENALES</x:v>
      </x:c>
      <x:c r="Y5" t="str">
        <x:v>2</x:v>
      </x:c>
      <x:c r="Z5" t="str">
        <x:v>2</x:v>
      </x:c>
      <x:c r="AA5" t="str">
        <x:v>Colombia</x:v>
      </x:c>
      <x:c r="AB5" t="str">
        <x:v>PENALES</x:v>
      </x:c>
      <x:c r="AC5" t="str">
        <x:v>2</x:v>
      </x:c>
      <x:c r="AD5" t="str">
        <x:v>2</x:v>
      </x:c>
      <x:c r="AE5" t="str">
        <x:v>Argentina</x:v>
      </x:c>
      <x:c r="AF5" t="str">
        <x:v>DENTRO DE LOS 90"</x:v>
      </x:c>
      <x:c r="AG5" t="str">
        <x:v>2</x:v>
      </x:c>
      <x:c r="AH5" t="str">
        <x:v>1</x:v>
      </x:c>
    </x:row>
    <x:row r="6" ht="15" hidden="0" customHeight="1">
      <x:c r="A6" t="str">
        <x:v>4/07/2026 1:54:23</x:v>
      </x:c>
      <x:c r="B6" t="str">
        <x:v>Gino Diaz </x:v>
      </x:c>
      <x:c r="C6" t="str">
        <x:v>FRANCIA</x:v>
      </x:c>
      <x:c r="D6" t="str">
        <x:v>DENTRO DE LOS 90"</x:v>
      </x:c>
      <x:c r="E6" t="str">
        <x:v>0</x:v>
      </x:c>
      <x:c r="F6" t="str">
        <x:v>3</x:v>
      </x:c>
      <x:c r="G6" t="str">
        <x:v>Marruecos</x:v>
      </x:c>
      <x:c r="H6" t="str">
        <x:v>TIEMPO SUPLEMENTARIO</x:v>
      </x:c>
      <x:c r="I6" t="str">
        <x:v>1</x:v>
      </x:c>
      <x:c r="J6" t="str">
        <x:v>2</x:v>
      </x:c>
      <x:c r="K6" t="str">
        <x:v>Brasil</x:v>
      </x:c>
      <x:c r="L6" t="str">
        <x:v>DENTRO DE LOS 90"</x:v>
      </x:c>
      <x:c r="M6" t="str">
        <x:v>2</x:v>
      </x:c>
      <x:c r="N6" t="str">
        <x:v>1</x:v>
      </x:c>
      <x:c r="O6" t="str">
        <x:v>Inglaterra</x:v>
      </x:c>
      <x:c r="P6" t="str">
        <x:v>TIEMPO SUPLEMENTARIO</x:v>
      </x:c>
      <x:c r="Q6" t="str">
        <x:v>1</x:v>
      </x:c>
      <x:c r="R6" t="str">
        <x:v>2</x:v>
      </x:c>
      <x:c r="S6" t="str">
        <x:v>Bélgica</x:v>
      </x:c>
      <x:c r="T6" t="str">
        <x:v>PENALES</x:v>
      </x:c>
      <x:c r="U6" t="str">
        <x:v>2</x:v>
      </x:c>
      <x:c r="V6" t="str">
        <x:v>2</x:v>
      </x:c>
      <x:c r="W6" t="str">
        <x:v>España</x:v>
      </x:c>
      <x:c r="X6" t="str">
        <x:v>DENTRO DE LOS 90"</x:v>
      </x:c>
      <x:c r="Y6" t="str">
        <x:v>1</x:v>
      </x:c>
      <x:c r="Z6" t="str">
        <x:v>3</x:v>
      </x:c>
      <x:c r="AA6" t="str">
        <x:v>Colombia</x:v>
      </x:c>
      <x:c r="AB6" t="str">
        <x:v>DENTRO DE LOS 90"</x:v>
      </x:c>
      <x:c r="AC6" t="str">
        <x:v>0</x:v>
      </x:c>
      <x:c r="AD6" t="str">
        <x:v>2</x:v>
      </x:c>
      <x:c r="AE6" t="str">
        <x:v>Argentina</x:v>
      </x:c>
      <x:c r="AF6" t="str">
        <x:v>DENTRO DE LOS 90"</x:v>
      </x:c>
      <x:c r="AG6" t="str">
        <x:v>2</x:v>
      </x:c>
      <x:c r="AH6" t="str">
        <x:v>0</x:v>
      </x:c>
    </x:row>
    <x:row r="7" ht="15" hidden="0" customHeight="1">
      <x:c r="A7" t="str">
        <x:v>4/07/2026 6:31:10</x:v>
      </x:c>
      <x:c r="B7" t="str">
        <x:v>Alex</x:v>
      </x:c>
      <x:c r="C7" t="str">
        <x:v>FRANCIA</x:v>
      </x:c>
      <x:c r="D7" t="str">
        <x:v>DENTRO DE LOS 90"</x:v>
      </x:c>
      <x:c r="E7" t="str">
        <x:v>1</x:v>
      </x:c>
      <x:c r="F7" t="str">
        <x:v>3</x:v>
      </x:c>
      <x:c r="G7" t="str">
        <x:v>Marruecos</x:v>
      </x:c>
      <x:c r="H7" t="str">
        <x:v>TIEMPO SUPLEMENTARIO</x:v>
      </x:c>
      <x:c r="I7" t="str">
        <x:v>2</x:v>
      </x:c>
      <x:c r="J7" t="str">
        <x:v>3</x:v>
      </x:c>
      <x:c r="K7" t="str">
        <x:v>Noruega</x:v>
      </x:c>
      <x:c r="L7" t="str">
        <x:v>TIEMPO SUPLEMENTARIO</x:v>
      </x:c>
      <x:c r="M7" t="str">
        <x:v>2</x:v>
      </x:c>
      <x:c r="N7" t="str">
        <x:v>3</x:v>
      </x:c>
      <x:c r="O7" t="str">
        <x:v>Inglaterra</x:v>
      </x:c>
      <x:c r="P7" t="str">
        <x:v>TIEMPO SUPLEMENTARIO</x:v>
      </x:c>
      <x:c r="Q7" t="str">
        <x:v>2</x:v>
      </x:c>
      <x:c r="R7" t="str">
        <x:v>3</x:v>
      </x:c>
      <x:c r="S7" t="str">
        <x:v>Bélgica</x:v>
      </x:c>
      <x:c r="T7" t="str">
        <x:v>DENTRO DE LOS 90"</x:v>
      </x:c>
      <x:c r="U7" t="str">
        <x:v>2</x:v>
      </x:c>
      <x:c r="V7" t="str">
        <x:v>3</x:v>
      </x:c>
      <x:c r="W7" t="str">
        <x:v>España</x:v>
      </x:c>
      <x:c r="X7" t="str">
        <x:v>PENALES</x:v>
      </x:c>
      <x:c r="Y7" t="str">
        <x:v>2</x:v>
      </x:c>
      <x:c r="Z7" t="str">
        <x:v>3</x:v>
      </x:c>
      <x:c r="AA7" t="str">
        <x:v>Colombia</x:v>
      </x:c>
      <x:c r="AB7" t="str">
        <x:v>TIEMPO SUPLEMENTARIO</x:v>
      </x:c>
      <x:c r="AC7" t="str">
        <x:v>2</x:v>
      </x:c>
      <x:c r="AD7" t="str">
        <x:v>3</x:v>
      </x:c>
      <x:c r="AE7" t="str">
        <x:v>Argentina</x:v>
      </x:c>
      <x:c r="AF7" t="str">
        <x:v>DENTRO DE LOS 90"</x:v>
      </x:c>
      <x:c r="AG7" t="str">
        <x:v>2</x:v>
      </x:c>
      <x:c r="AH7" t="str">
        <x:v>1</x:v>
      </x:c>
    </x:row>
    <x:row r="8" ht="15" hidden="0" customHeight="1">
      <x:c r="A8" t="str">
        <x:v>4/07/2026 6:47:42</x:v>
      </x:c>
      <x:c r="B8" t="str">
        <x:v>Jean Cayo</x:v>
      </x:c>
      <x:c r="C8" t="str">
        <x:v>FRANCIA</x:v>
      </x:c>
      <x:c r="D8" t="str">
        <x:v>DENTRO DE LOS 90"</x:v>
      </x:c>
      <x:c r="E8" t="str">
        <x:v>0</x:v>
      </x:c>
      <x:c r="F8" t="str">
        <x:v>2</x:v>
      </x:c>
      <x:c r="G8" t="str">
        <x:v>Marruecos</x:v>
      </x:c>
      <x:c r="H8" t="str">
        <x:v>DENTRO DE LOS 90"</x:v>
      </x:c>
      <x:c r="I8" t="str">
        <x:v>0</x:v>
      </x:c>
      <x:c r="J8" t="str">
        <x:v>1</x:v>
      </x:c>
      <x:c r="K8" t="str">
        <x:v>Brasil</x:v>
      </x:c>
      <x:c r="L8" t="str">
        <x:v>DENTRO DE LOS 90"</x:v>
      </x:c>
      <x:c r="M8" t="str">
        <x:v>1</x:v>
      </x:c>
      <x:c r="N8" t="str">
        <x:v>0</x:v>
      </x:c>
      <x:c r="O8" t="str">
        <x:v>Inglaterra</x:v>
      </x:c>
      <x:c r="P8" t="str">
        <x:v>DENTRO DE LOS 90"</x:v>
      </x:c>
      <x:c r="Q8" t="str">
        <x:v>0</x:v>
      </x:c>
      <x:c r="R8" t="str">
        <x:v>1</x:v>
      </x:c>
      <x:c r="S8" t="str">
        <x:v>Bélgica</x:v>
      </x:c>
      <x:c r="T8" t="str">
        <x:v>DENTRO DE LOS 90"</x:v>
      </x:c>
      <x:c r="U8" t="str">
        <x:v>0</x:v>
      </x:c>
      <x:c r="V8" t="str">
        <x:v>1</x:v>
      </x:c>
      <x:c r="W8" t="str">
        <x:v>España</x:v>
      </x:c>
      <x:c r="X8" t="str">
        <x:v>DENTRO DE LOS 90"</x:v>
      </x:c>
      <x:c r="Y8" t="str">
        <x:v>0</x:v>
      </x:c>
      <x:c r="Z8" t="str">
        <x:v>1</x:v>
      </x:c>
      <x:c r="AA8" t="str">
        <x:v>Colombia</x:v>
      </x:c>
      <x:c r="AB8" t="str">
        <x:v>DENTRO DE LOS 90"</x:v>
      </x:c>
      <x:c r="AC8" t="str">
        <x:v>0</x:v>
      </x:c>
      <x:c r="AD8" t="str">
        <x:v>1</x:v>
      </x:c>
      <x:c r="AE8" t="str">
        <x:v>Argentina</x:v>
      </x:c>
      <x:c r="AF8" t="str">
        <x:v>DENTRO DE LOS 90"</x:v>
      </x:c>
      <x:c r="AG8" t="str">
        <x:v>2</x:v>
      </x:c>
      <x:c r="AH8" t="str">
        <x:v>0</x:v>
      </x:c>
    </x:row>
    <x:row r="9" ht="15" hidden="0" customHeight="1">
      <x:c r="A9" t="str">
        <x:v>4/07/2026 7:43:58</x:v>
      </x:c>
      <x:c r="B9" t="str">
        <x:v>Gabriela Orrillo</x:v>
      </x:c>
      <x:c r="C9" t="str">
        <x:v>FRANCIA</x:v>
      </x:c>
      <x:c r="D9" t="str">
        <x:v>DENTRO DE LOS 90"</x:v>
      </x:c>
      <x:c r="E9" t="str">
        <x:v>1</x:v>
      </x:c>
      <x:c r="F9" t="str">
        <x:v>2</x:v>
      </x:c>
      <x:c r="G9" t="str">
        <x:v>Marruecos</x:v>
      </x:c>
      <x:c r="H9" t="str">
        <x:v>DENTRO DE LOS 90"</x:v>
      </x:c>
      <x:c r="I9" t="str">
        <x:v>0</x:v>
      </x:c>
      <x:c r="J9" t="str">
        <x:v>1</x:v>
      </x:c>
      <x:c r="K9" t="str">
        <x:v>Noruega</x:v>
      </x:c>
      <x:c r="L9" t="str">
        <x:v>PENALES</x:v>
      </x:c>
      <x:c r="M9" t="str">
        <x:v>2</x:v>
      </x:c>
      <x:c r="N9" t="str">
        <x:v>2</x:v>
      </x:c>
      <x:c r="O9" t="str">
        <x:v>Inglaterra</x:v>
      </x:c>
      <x:c r="P9" t="str">
        <x:v>DENTRO DE LOS 90"</x:v>
      </x:c>
      <x:c r="Q9" t="str">
        <x:v>1</x:v>
      </x:c>
      <x:c r="R9" t="str">
        <x:v>3</x:v>
      </x:c>
      <x:c r="S9" t="str">
        <x:v>Bélgica</x:v>
      </x:c>
      <x:c r="T9" t="str">
        <x:v>DENTRO DE LOS 90"</x:v>
      </x:c>
      <x:c r="U9" t="str">
        <x:v>2</x:v>
      </x:c>
      <x:c r="V9" t="str">
        <x:v>3</x:v>
      </x:c>
      <x:c r="W9" t="str">
        <x:v>España</x:v>
      </x:c>
      <x:c r="X9" t="str">
        <x:v>PENALES</x:v>
      </x:c>
      <x:c r="Y9" t="str">
        <x:v>2</x:v>
      </x:c>
      <x:c r="Z9" t="str">
        <x:v>2</x:v>
      </x:c>
      <x:c r="AA9" t="str">
        <x:v>Colombia</x:v>
      </x:c>
      <x:c r="AB9" t="str">
        <x:v>DENTRO DE LOS 90"</x:v>
      </x:c>
      <x:c r="AC9" t="str">
        <x:v>0</x:v>
      </x:c>
      <x:c r="AD9" t="str">
        <x:v>2</x:v>
      </x:c>
      <x:c r="AE9" t="str">
        <x:v>Argentina</x:v>
      </x:c>
      <x:c r="AF9" t="str">
        <x:v>DENTRO DE LOS 90"</x:v>
      </x:c>
      <x:c r="AG9" t="str">
        <x:v>3</x:v>
      </x:c>
      <x:c r="AH9" t="str">
        <x:v>1</x:v>
      </x:c>
    </x:row>
    <x:row r="10" ht="15" hidden="0" customHeight="1">
      <x:c r="A10" t="str">
        <x:v>4/07/2026 7:44:36</x:v>
      </x:c>
      <x:c r="B10" t="str">
        <x:v>Arthur </x:v>
      </x:c>
      <x:c r="C10" t="str">
        <x:v>FRANCIA</x:v>
      </x:c>
      <x:c r="D10" t="str">
        <x:v>DENTRO DE LOS 90"</x:v>
      </x:c>
      <x:c r="E10" t="str">
        <x:v>0</x:v>
      </x:c>
      <x:c r="F10" t="str">
        <x:v>2</x:v>
      </x:c>
      <x:c r="G10" t="str">
        <x:v>Marruecos</x:v>
      </x:c>
      <x:c r="H10" t="str">
        <x:v>PENALES</x:v>
      </x:c>
      <x:c r="I10" t="str">
        <x:v>4</x:v>
      </x:c>
      <x:c r="J10" t="str">
        <x:v>5</x:v>
      </x:c>
      <x:c r="K10" t="str">
        <x:v>Brasil</x:v>
      </x:c>
      <x:c r="L10" t="str">
        <x:v>DENTRO DE LOS 90"</x:v>
      </x:c>
      <x:c r="M10" t="str">
        <x:v>2</x:v>
      </x:c>
      <x:c r="N10" t="str">
        <x:v>1</x:v>
      </x:c>
      <x:c r="O10" t="str">
        <x:v>Inglaterra</x:v>
      </x:c>
      <x:c r="P10" t="str">
        <x:v>PENALES</x:v>
      </x:c>
      <x:c r="Q10" t="str">
        <x:v>2</x:v>
      </x:c>
      <x:c r="R10" t="str">
        <x:v>4</x:v>
      </x:c>
      <x:c r="S10" t="str">
        <x:v>Bélgica</x:v>
      </x:c>
      <x:c r="T10" t="str">
        <x:v>PENALES</x:v>
      </x:c>
      <x:c r="U10" t="str">
        <x:v>3</x:v>
      </x:c>
      <x:c r="V10" t="str">
        <x:v>4</x:v>
      </x:c>
      <x:c r="W10" t="str">
        <x:v>Portugal</x:v>
      </x:c>
      <x:c r="X10" t="str">
        <x:v>DENTRO DE LOS 90"</x:v>
      </x:c>
      <x:c r="Y10" t="str">
        <x:v>2</x:v>
      </x:c>
      <x:c r="Z10" t="str">
        <x:v>1</x:v>
      </x:c>
      <x:c r="AA10" t="str">
        <x:v>Colombia</x:v>
      </x:c>
      <x:c r="AB10" t="str">
        <x:v>DENTRO DE LOS 90"</x:v>
      </x:c>
      <x:c r="AC10" t="str">
        <x:v>1</x:v>
      </x:c>
      <x:c r="AD10" t="str">
        <x:v>2</x:v>
      </x:c>
      <x:c r="AE10" t="str">
        <x:v>Argentina</x:v>
      </x:c>
      <x:c r="AF10" t="str">
        <x:v>DENTRO DE LOS 90"</x:v>
      </x:c>
      <x:c r="AG10" t="str">
        <x:v>2</x:v>
      </x:c>
      <x:c r="AH10" t="str">
        <x:v>0</x:v>
      </x:c>
    </x:row>
    <x:row r="11" ht="15" hidden="0" customHeight="1">
      <x:c r="A11" t="str">
        <x:v>4/07/2026 8:35:44</x:v>
      </x:c>
      <x:c r="B11" t="str">
        <x:v>Moisés Zedano</x:v>
      </x:c>
      <x:c r="C11" t="str">
        <x:v>FRANCIA</x:v>
      </x:c>
      <x:c r="D11" t="str">
        <x:v>DENTRO DE LOS 90"</x:v>
      </x:c>
      <x:c r="E11" t="str">
        <x:v>1</x:v>
      </x:c>
      <x:c r="F11" t="str">
        <x:v>3</x:v>
      </x:c>
      <x:c r="G11" t="str">
        <x:v>Marruecos</x:v>
      </x:c>
      <x:c r="H11" t="str">
        <x:v>TIEMPO SUPLEMENTARIO</x:v>
      </x:c>
      <x:c r="I11" t="str">
        <x:v>1</x:v>
      </x:c>
      <x:c r="J11" t="str">
        <x:v>2</x:v>
      </x:c>
      <x:c r="K11" t="str">
        <x:v>Brasil</x:v>
      </x:c>
      <x:c r="L11" t="str">
        <x:v>PENALES</x:v>
      </x:c>
      <x:c r="M11" t="str">
        <x:v>2</x:v>
      </x:c>
      <x:c r="N11" t="str">
        <x:v>1</x:v>
      </x:c>
      <x:c r="O11" t="str">
        <x:v>Inglaterra</x:v>
      </x:c>
      <x:c r="P11" t="str">
        <x:v>PENALES</x:v>
      </x:c>
      <x:c r="Q11" t="str">
        <x:v>2</x:v>
      </x:c>
      <x:c r="R11" t="str">
        <x:v>3</x:v>
      </x:c>
      <x:c r="S11" t="str">
        <x:v>Bélgica</x:v>
      </x:c>
      <x:c r="T11" t="str">
        <x:v>TIEMPO SUPLEMENTARIO</x:v>
      </x:c>
      <x:c r="U11" t="str">
        <x:v>2</x:v>
      </x:c>
      <x:c r="V11" t="str">
        <x:v>3</x:v>
      </x:c>
      <x:c r="W11" t="str">
        <x:v>Portugal</x:v>
      </x:c>
      <x:c r="X11" t="str">
        <x:v>PENALES</x:v>
      </x:c>
      <x:c r="Y11" t="str">
        <x:v>2</x:v>
      </x:c>
      <x:c r="Z11" t="str">
        <x:v>1</x:v>
      </x:c>
      <x:c r="AA11" t="str">
        <x:v>Colombia</x:v>
      </x:c>
      <x:c r="AB11" t="str">
        <x:v>TIEMPO SUPLEMENTARIO</x:v>
      </x:c>
      <x:c r="AC11" t="str">
        <x:v>1</x:v>
      </x:c>
      <x:c r="AD11" t="str">
        <x:v>2</x:v>
      </x:c>
      <x:c r="AE11" t="str">
        <x:v>Argentina</x:v>
      </x:c>
      <x:c r="AF11" t="str">
        <x:v>TIEMPO SUPLEMENTARIO</x:v>
      </x:c>
      <x:c r="AG11" t="str">
        <x:v>2</x:v>
      </x:c>
      <x:c r="AH11" t="str">
        <x:v>1</x:v>
      </x:c>
    </x:row>
    <x:row r="12" ht="15" hidden="0" customHeight="1">
      <x:c r="A12" t="str">
        <x:v>4/07/2026 8:51:44</x:v>
      </x:c>
      <x:c r="B12" t="str">
        <x:v>Oscar Saldaña</x:v>
      </x:c>
      <x:c r="C12" t="str">
        <x:v>FRANCIA</x:v>
      </x:c>
      <x:c r="D12" t="str">
        <x:v>DENTRO DE LOS 90"</x:v>
      </x:c>
      <x:c r="E12" t="str">
        <x:v>0</x:v>
      </x:c>
      <x:c r="F12" t="str">
        <x:v>2</x:v>
      </x:c>
      <x:c r="G12" t="str">
        <x:v>Marruecos</x:v>
      </x:c>
      <x:c r="H12" t="str">
        <x:v>TIEMPO SUPLEMENTARIO</x:v>
      </x:c>
      <x:c r="I12" t="str">
        <x:v>1</x:v>
      </x:c>
      <x:c r="J12" t="str">
        <x:v>2</x:v>
      </x:c>
      <x:c r="K12" t="str">
        <x:v>Brasil</x:v>
      </x:c>
      <x:c r="L12" t="str">
        <x:v>TIEMPO SUPLEMENTARIO</x:v>
      </x:c>
      <x:c r="M12" t="str">
        <x:v>3</x:v>
      </x:c>
      <x:c r="N12" t="str">
        <x:v>2</x:v>
      </x:c>
      <x:c r="O12" t="str">
        <x:v>Inglaterra</x:v>
      </x:c>
      <x:c r="P12" t="str">
        <x:v>TIEMPO SUPLEMENTARIO</x:v>
      </x:c>
      <x:c r="Q12" t="str">
        <x:v>1</x:v>
      </x:c>
      <x:c r="R12" t="str">
        <x:v>2</x:v>
      </x:c>
      <x:c r="S12" t="str">
        <x:v>EEUU</x:v>
      </x:c>
      <x:c r="T12" t="str">
        <x:v>PENALES</x:v>
      </x:c>
      <x:c r="U12" t="str">
        <x:v>2</x:v>
      </x:c>
      <x:c r="V12" t="str">
        <x:v>2</x:v>
      </x:c>
      <x:c r="W12" t="str">
        <x:v>España</x:v>
      </x:c>
      <x:c r="X12" t="str">
        <x:v>TIEMPO SUPLEMENTARIO</x:v>
      </x:c>
      <x:c r="Y12" t="str">
        <x:v>2</x:v>
      </x:c>
      <x:c r="Z12" t="str">
        <x:v>3</x:v>
      </x:c>
      <x:c r="AA12" t="str">
        <x:v>Colombia</x:v>
      </x:c>
      <x:c r="AB12" t="str">
        <x:v>PENALES</x:v>
      </x:c>
      <x:c r="AC12" t="str">
        <x:v>2</x:v>
      </x:c>
      <x:c r="AD12" t="str">
        <x:v>2</x:v>
      </x:c>
      <x:c r="AE12" t="str">
        <x:v>Argentina</x:v>
      </x:c>
      <x:c r="AF12" t="str">
        <x:v>TIEMPO SUPLEMENTARIO</x:v>
      </x:c>
      <x:c r="AG12" t="str">
        <x:v>3</x:v>
      </x:c>
      <x:c r="AH12" t="str">
        <x:v>2</x:v>
      </x:c>
    </x:row>
    <x:row r="13" ht="15" hidden="0" customHeight="1">
      <x:c r="A13" t="str">
        <x:v>4/07/2026 9:27:10</x:v>
      </x:c>
      <x:c r="B13" t="str">
        <x:v>Javier López</x:v>
      </x:c>
      <x:c r="C13" t="str">
        <x:v>FRANCIA</x:v>
      </x:c>
      <x:c r="D13" t="str">
        <x:v>DENTRO DE LOS 90"</x:v>
      </x:c>
      <x:c r="E13" t="str">
        <x:v>0</x:v>
      </x:c>
      <x:c r="F13" t="str">
        <x:v>2</x:v>
      </x:c>
      <x:c r="G13" t="str">
        <x:v>Marruecos</x:v>
      </x:c>
      <x:c r="H13" t="str">
        <x:v>DENTRO DE LOS 90"</x:v>
      </x:c>
      <x:c r="I13" t="str">
        <x:v>1</x:v>
      </x:c>
      <x:c r="J13" t="str">
        <x:v>2</x:v>
      </x:c>
      <x:c r="K13" t="str">
        <x:v>Brasil</x:v>
      </x:c>
      <x:c r="L13" t="str">
        <x:v>DENTRO DE LOS 90"</x:v>
      </x:c>
      <x:c r="M13" t="str">
        <x:v>1</x:v>
      </x:c>
      <x:c r="N13" t="str">
        <x:v>0</x:v>
      </x:c>
      <x:c r="O13" t="str">
        <x:v>Inglaterra</x:v>
      </x:c>
      <x:c r="P13" t="str">
        <x:v>PENALES</x:v>
      </x:c>
      <x:c r="Q13" t="str">
        <x:v>1</x:v>
      </x:c>
      <x:c r="R13" t="str">
        <x:v>1</x:v>
      </x:c>
      <x:c r="S13" t="str">
        <x:v>EEUU</x:v>
      </x:c>
      <x:c r="T13" t="str">
        <x:v>DENTRO DE LOS 90"</x:v>
      </x:c>
      <x:c r="U13" t="str">
        <x:v>2</x:v>
      </x:c>
      <x:c r="V13" t="str">
        <x:v>1</x:v>
      </x:c>
      <x:c r="W13" t="str">
        <x:v>Portugal</x:v>
      </x:c>
      <x:c r="X13" t="str">
        <x:v>TIEMPO SUPLEMENTARIO</x:v>
      </x:c>
      <x:c r="Y13" t="str">
        <x:v>2</x:v>
      </x:c>
      <x:c r="Z13" t="str">
        <x:v>1</x:v>
      </x:c>
      <x:c r="AA13" t="str">
        <x:v>Colombia</x:v>
      </x:c>
      <x:c r="AB13" t="str">
        <x:v>TIEMPO SUPLEMENTARIO</x:v>
      </x:c>
      <x:c r="AC13" t="str">
        <x:v>1</x:v>
      </x:c>
      <x:c r="AD13" t="str">
        <x:v>2</x:v>
      </x:c>
      <x:c r="AE13" t="str">
        <x:v>Argentina</x:v>
      </x:c>
      <x:c r="AF13" t="str">
        <x:v>DENTRO DE LOS 90"</x:v>
      </x:c>
      <x:c r="AG13" t="str">
        <x:v>2</x:v>
      </x:c>
      <x:c r="AH13" t="str">
        <x:v>0</x:v>
      </x:c>
    </x:row>
    <x:row r="14" ht="15" hidden="0" customHeight="1">
      <x:c r="A14" t="str">
        <x:v>4/07/2026 10:17:30</x:v>
      </x:c>
      <x:c r="B14" t="str">
        <x:v>Fernando Huaripata</x:v>
      </x:c>
      <x:c r="C14" t="str">
        <x:v>PARAGUAY</x:v>
      </x:c>
      <x:c r="D14" t="str">
        <x:v>PENALES</x:v>
      </x:c>
      <x:c r="E14" t="str">
        <x:v>1</x:v>
      </x:c>
      <x:c r="F14" t="str">
        <x:v>1</x:v>
      </x:c>
      <x:c r="G14" t="str">
        <x:v>Marruecos</x:v>
      </x:c>
      <x:c r="H14" t="str">
        <x:v>DENTRO DE LOS 90"</x:v>
      </x:c>
      <x:c r="I14" t="str">
        <x:v>1</x:v>
      </x:c>
      <x:c r="J14" t="str">
        <x:v>2</x:v>
      </x:c>
      <x:c r="K14" t="str">
        <x:v>Brasil</x:v>
      </x:c>
      <x:c r="L14" t="str">
        <x:v>DENTRO DE LOS 90"</x:v>
      </x:c>
      <x:c r="M14" t="str">
        <x:v>2</x:v>
      </x:c>
      <x:c r="N14" t="str">
        <x:v>1</x:v>
      </x:c>
      <x:c r="O14" t="str">
        <x:v>Inglaterra</x:v>
      </x:c>
      <x:c r="P14" t="str">
        <x:v>TIEMPO SUPLEMENTARIO</x:v>
      </x:c>
      <x:c r="Q14" t="str">
        <x:v>1</x:v>
      </x:c>
      <x:c r="R14" t="str">
        <x:v>2</x:v>
      </x:c>
      <x:c r="S14" t="str">
        <x:v>EEUU</x:v>
      </x:c>
      <x:c r="T14" t="str">
        <x:v>DENTRO DE LOS 90"</x:v>
      </x:c>
      <x:c r="U14" t="str">
        <x:v>3</x:v>
      </x:c>
      <x:c r="V14" t="str">
        <x:v>2</x:v>
      </x:c>
      <x:c r="W14" t="str">
        <x:v>Portugal</x:v>
      </x:c>
      <x:c r="X14" t="str">
        <x:v>PENALES</x:v>
      </x:c>
      <x:c r="Y14" t="str">
        <x:v>2</x:v>
      </x:c>
      <x:c r="Z14" t="str">
        <x:v>2</x:v>
      </x:c>
      <x:c r="AA14" t="str">
        <x:v>Colombia</x:v>
      </x:c>
      <x:c r="AB14" t="str">
        <x:v>TIEMPO SUPLEMENTARIO</x:v>
      </x:c>
      <x:c r="AC14" t="str">
        <x:v>1</x:v>
      </x:c>
      <x:c r="AD14" t="str">
        <x:v>2</x:v>
      </x:c>
      <x:c r="AE14" t="str">
        <x:v>Argentina</x:v>
      </x:c>
      <x:c r="AF14" t="str">
        <x:v>TIEMPO SUPLEMENTARIO</x:v>
      </x:c>
      <x:c r="AG14" t="str">
        <x:v>3</x:v>
      </x:c>
      <x:c r="AH14" t="str">
        <x:v>2</x:v>
      </x:c>
    </x:row>
    <x:row r="15" ht="15" hidden="0" customHeight="1">
      <x:c r="A15" t="str">
        <x:v>4/07/2026 10:18:11</x:v>
      </x:c>
      <x:c r="B15" t="str">
        <x:v>Freddy Pacheco</x:v>
      </x:c>
      <x:c r="C15" t="str">
        <x:v>FRANCIA</x:v>
      </x:c>
      <x:c r="D15" t="str">
        <x:v>DENTRO DE LOS 90"</x:v>
      </x:c>
      <x:c r="E15" t="str">
        <x:v>1</x:v>
      </x:c>
      <x:c r="F15" t="str">
        <x:v>2</x:v>
      </x:c>
      <x:c r="G15" t="str">
        <x:v>Marruecos</x:v>
      </x:c>
      <x:c r="H15" t="str">
        <x:v>DENTRO DE LOS 90"</x:v>
      </x:c>
      <x:c r="I15" t="str">
        <x:v>0</x:v>
      </x:c>
      <x:c r="J15" t="str">
        <x:v>1</x:v>
      </x:c>
      <x:c r="K15" t="str">
        <x:v>Brasil</x:v>
      </x:c>
      <x:c r="L15" t="str">
        <x:v>DENTRO DE LOS 90"</x:v>
      </x:c>
      <x:c r="M15" t="str">
        <x:v>2</x:v>
      </x:c>
      <x:c r="N15" t="str">
        <x:v>1</x:v>
      </x:c>
      <x:c r="O15" t="str">
        <x:v>Inglaterra</x:v>
      </x:c>
      <x:c r="P15" t="str">
        <x:v>DENTRO DE LOS 90"</x:v>
      </x:c>
      <x:c r="Q15" t="str">
        <x:v>1</x:v>
      </x:c>
      <x:c r="R15" t="str">
        <x:v>2</x:v>
      </x:c>
      <x:c r="S15" t="str">
        <x:v>Bélgica</x:v>
      </x:c>
      <x:c r="T15" t="str">
        <x:v>DENTRO DE LOS 90"</x:v>
      </x:c>
      <x:c r="U15" t="str">
        <x:v>1</x:v>
      </x:c>
      <x:c r="V15" t="str">
        <x:v>2</x:v>
      </x:c>
      <x:c r="W15" t="str">
        <x:v>España</x:v>
      </x:c>
      <x:c r="X15" t="str">
        <x:v>DENTRO DE LOS 90"</x:v>
      </x:c>
      <x:c r="Y15" t="str">
        <x:v>1</x:v>
      </x:c>
      <x:c r="Z15" t="str">
        <x:v>2</x:v>
      </x:c>
      <x:c r="AA15" t="str">
        <x:v>Colombia</x:v>
      </x:c>
      <x:c r="AB15" t="str">
        <x:v>DENTRO DE LOS 90"</x:v>
      </x:c>
      <x:c r="AC15" t="str">
        <x:v>1</x:v>
      </x:c>
      <x:c r="AD15" t="str">
        <x:v>2</x:v>
      </x:c>
      <x:c r="AE15" t="str">
        <x:v>Argentina</x:v>
      </x:c>
      <x:c r="AF15" t="str">
        <x:v>DENTRO DE LOS 90"</x:v>
      </x:c>
      <x:c r="AG15" t="str">
        <x:v>2</x:v>
      </x:c>
      <x:c r="AH15" t="str">
        <x:v>0</x:v>
      </x:c>
    </x:row>
    <x:row r="16" ht="15" hidden="0" customHeight="1">
      <x:c r="A16" t="str">
        <x:v>4/07/2026 10:41:05</x:v>
      </x:c>
      <x:c r="B16" t="str">
        <x:v>Manu</x:v>
      </x:c>
      <x:c r="C16" t="str">
        <x:v>FRANCIA</x:v>
      </x:c>
      <x:c r="D16" t="str">
        <x:v>TIEMPO SUPLEMENTARIO</x:v>
      </x:c>
      <x:c r="E16" t="str">
        <x:v>1</x:v>
      </x:c>
      <x:c r="F16" t="str">
        <x:v>1</x:v>
      </x:c>
      <x:c r="G16" t="str">
        <x:v>Marruecos</x:v>
      </x:c>
      <x:c r="H16" t="str">
        <x:v>TIEMPO SUPLEMENTARIO</x:v>
      </x:c>
      <x:c r="I16" t="str">
        <x:v>2</x:v>
      </x:c>
      <x:c r="J16" t="str">
        <x:v>2</x:v>
      </x:c>
      <x:c r="K16" t="str">
        <x:v>Noruega</x:v>
      </x:c>
      <x:c r="L16" t="str">
        <x:v>DENTRO DE LOS 90"</x:v>
      </x:c>
      <x:c r="M16" t="str">
        <x:v>1</x:v>
      </x:c>
      <x:c r="N16" t="str">
        <x:v>2</x:v>
      </x:c>
      <x:c r="O16" t="str">
        <x:v>Inglaterra</x:v>
      </x:c>
      <x:c r="P16" t="str">
        <x:v>TIEMPO SUPLEMENTARIO</x:v>
      </x:c>
      <x:c r="Q16" t="str">
        <x:v>2</x:v>
      </x:c>
      <x:c r="R16" t="str">
        <x:v>3</x:v>
      </x:c>
      <x:c r="S16" t="str">
        <x:v>EEUU</x:v>
      </x:c>
      <x:c r="T16" t="str">
        <x:v>PENALES</x:v>
      </x:c>
      <x:c r="U16" t="str">
        <x:v>2</x:v>
      </x:c>
      <x:c r="V16" t="str">
        <x:v>2</x:v>
      </x:c>
      <x:c r="W16" t="str">
        <x:v>Portugal</x:v>
      </x:c>
      <x:c r="X16" t="str">
        <x:v>TIEMPO SUPLEMENTARIO</x:v>
      </x:c>
      <x:c r="Y16" t="str">
        <x:v>3</x:v>
      </x:c>
      <x:c r="Z16" t="str">
        <x:v>2</x:v>
      </x:c>
      <x:c r="AA16" t="str">
        <x:v>Colombia</x:v>
      </x:c>
      <x:c r="AB16" t="str">
        <x:v>PENALES</x:v>
      </x:c>
      <x:c r="AC16" t="str">
        <x:v>2</x:v>
      </x:c>
      <x:c r="AD16" t="str">
        <x:v>2</x:v>
      </x:c>
      <x:c r="AE16" t="str">
        <x:v>Argentina</x:v>
      </x:c>
      <x:c r="AF16" t="str">
        <x:v>TIEMPO SUPLEMENTARIO</x:v>
      </x:c>
      <x:c r="AG16" t="str">
        <x:v>2</x:v>
      </x:c>
      <x:c r="AH16" t="str">
        <x:v>1</x:v>
      </x:c>
    </x:row>
    <x:row r="17" ht="15" hidden="0" customHeight="1">
      <x:c r="A17" t="str">
        <x:v>4/07/2026 10:52:47</x:v>
      </x:c>
      <x:c r="B17" t="str">
        <x:v>Jesús Arias Ochoa </x:v>
      </x:c>
      <x:c r="C17" t="str">
        <x:v>FRANCIA</x:v>
      </x:c>
      <x:c r="D17" t="str">
        <x:v>DENTRO DE LOS 90"</x:v>
      </x:c>
      <x:c r="E17" t="str">
        <x:v>1</x:v>
      </x:c>
      <x:c r="F17" t="str">
        <x:v>3</x:v>
      </x:c>
      <x:c r="G17" t="str">
        <x:v>Marruecos</x:v>
      </x:c>
      <x:c r="H17" t="str">
        <x:v>TIEMPO SUPLEMENTARIO</x:v>
      </x:c>
      <x:c r="I17" t="str">
        <x:v>2</x:v>
      </x:c>
      <x:c r="J17" t="str">
        <x:v>3</x:v>
      </x:c>
      <x:c r="K17" t="str">
        <x:v>Brasil</x:v>
      </x:c>
      <x:c r="L17" t="str">
        <x:v>DENTRO DE LOS 90"</x:v>
      </x:c>
      <x:c r="M17" t="str">
        <x:v>2</x:v>
      </x:c>
      <x:c r="N17" t="str">
        <x:v>1</x:v>
      </x:c>
      <x:c r="O17" t="str">
        <x:v>Inglaterra</x:v>
      </x:c>
      <x:c r="P17" t="str">
        <x:v>DENTRO DE LOS 90"</x:v>
      </x:c>
      <x:c r="Q17" t="str">
        <x:v>1</x:v>
      </x:c>
      <x:c r="R17" t="str">
        <x:v>3</x:v>
      </x:c>
      <x:c r="S17" t="str">
        <x:v>Bélgica</x:v>
      </x:c>
      <x:c r="T17" t="str">
        <x:v>DENTRO DE LOS 90"</x:v>
      </x:c>
      <x:c r="U17" t="str">
        <x:v>0</x:v>
      </x:c>
      <x:c r="V17" t="str">
        <x:v>2</x:v>
      </x:c>
      <x:c r="W17" t="str">
        <x:v>España</x:v>
      </x:c>
      <x:c r="X17" t="str">
        <x:v>DENTRO DE LOS 90"</x:v>
      </x:c>
      <x:c r="Y17" t="str">
        <x:v>1</x:v>
      </x:c>
      <x:c r="Z17" t="str">
        <x:v>2</x:v>
      </x:c>
      <x:c r="AA17" t="str">
        <x:v>Colombia</x:v>
      </x:c>
      <x:c r="AB17" t="str">
        <x:v>DENTRO DE LOS 90"</x:v>
      </x:c>
      <x:c r="AC17" t="str">
        <x:v>0</x:v>
      </x:c>
      <x:c r="AD17" t="str">
        <x:v>2</x:v>
      </x:c>
      <x:c r="AE17" t="str">
        <x:v>Argentina</x:v>
      </x:c>
      <x:c r="AF17" t="str">
        <x:v>DENTRO DE LOS 90"</x:v>
      </x:c>
      <x:c r="AG17" t="str">
        <x:v>3</x:v>
      </x:c>
      <x:c r="AH17" t="str">
        <x:v>0</x:v>
      </x:c>
    </x:row>
    <x:row r="18" ht="15" hidden="0" customHeight="1">
      <x:c r="A18" t="str">
        <x:v>4/07/2026 11:00:15</x:v>
      </x:c>
      <x:c r="B18" t="str">
        <x:v>Juan Ramírez</x:v>
      </x:c>
      <x:c r="C18" t="str">
        <x:v>FRANCIA</x:v>
      </x:c>
      <x:c r="D18" t="str">
        <x:v>DENTRO DE LOS 90"</x:v>
      </x:c>
      <x:c r="E18" t="str">
        <x:v>1</x:v>
      </x:c>
      <x:c r="F18" t="str">
        <x:v>3</x:v>
      </x:c>
      <x:c r="G18" t="str">
        <x:v>Marruecos</x:v>
      </x:c>
      <x:c r="H18" t="str">
        <x:v>DENTRO DE LOS 90"</x:v>
      </x:c>
      <x:c r="I18" t="str">
        <x:v>1</x:v>
      </x:c>
      <x:c r="J18" t="str">
        <x:v>2</x:v>
      </x:c>
      <x:c r="K18" t="str">
        <x:v>Noruega</x:v>
      </x:c>
      <x:c r="L18" t="str">
        <x:v>TIEMPO SUPLEMENTARIO</x:v>
      </x:c>
      <x:c r="M18" t="str">
        <x:v>2</x:v>
      </x:c>
      <x:c r="N18" t="str">
        <x:v>3</x:v>
      </x:c>
      <x:c r="O18" t="str">
        <x:v>México</x:v>
      </x:c>
      <x:c r="P18" t="str">
        <x:v>PENALES</x:v>
      </x:c>
      <x:c r="Q18" t="str">
        <x:v>2</x:v>
      </x:c>
      <x:c r="R18" t="str">
        <x:v>2</x:v>
      </x:c>
      <x:c r="S18" t="str">
        <x:v>EEUU</x:v>
      </x:c>
      <x:c r="T18" t="str">
        <x:v>PENALES</x:v>
      </x:c>
      <x:c r="U18" t="str">
        <x:v>1</x:v>
      </x:c>
      <x:c r="V18" t="str">
        <x:v>1</x:v>
      </x:c>
      <x:c r="W18" t="str">
        <x:v>España</x:v>
      </x:c>
      <x:c r="X18" t="str">
        <x:v>PENALES</x:v>
      </x:c>
      <x:c r="Y18" t="str">
        <x:v>2</x:v>
      </x:c>
      <x:c r="Z18" t="str">
        <x:v>2</x:v>
      </x:c>
      <x:c r="AA18" t="str">
        <x:v>Colombia</x:v>
      </x:c>
      <x:c r="AB18" t="str">
        <x:v>DENTRO DE LOS 90"</x:v>
      </x:c>
      <x:c r="AC18" t="str">
        <x:v>1</x:v>
      </x:c>
      <x:c r="AD18" t="str">
        <x:v>2</x:v>
      </x:c>
      <x:c r="AE18" t="str">
        <x:v>Argentina</x:v>
      </x:c>
      <x:c r="AF18" t="str">
        <x:v>DENTRO DE LOS 90"</x:v>
      </x:c>
      <x:c r="AG18" t="str">
        <x:v>2</x:v>
      </x:c>
      <x:c r="AH18" t="str">
        <x:v>0</x:v>
      </x:c>
    </x:row>
    <x:row r="19" ht="15" hidden="0" customHeight="1">
      <x:c r="A19" t="str">
        <x:v>4/07/2026 15:53:38</x:v>
      </x:c>
      <x:c r="B19" t="str">
        <x:v>Jorge Santa marina</x:v>
      </x:c>
      <x:c r="C19" t="str">
        <x:v>FRANCIA</x:v>
      </x:c>
      <x:c r="D19" t="str">
        <x:v>DENTRO DE LOS 90"</x:v>
      </x:c>
      <x:c r="E19" t="str">
        <x:v>1</x:v>
      </x:c>
      <x:c r="F19" t="str">
        <x:v>3</x:v>
      </x:c>
      <x:c r="G19" t="str">
        <x:v>Marruecos</x:v>
      </x:c>
      <x:c r="H19" t="str">
        <x:v>DENTRO DE LOS 90"</x:v>
      </x:c>
      <x:c r="I19" t="str">
        <x:v>0</x:v>
      </x:c>
      <x:c r="J19" t="str">
        <x:v>3</x:v>
      </x:c>
      <x:c r="K19" t="str">
        <x:v>Brasil</x:v>
      </x:c>
      <x:c r="L19" t="str">
        <x:v>DENTRO DE LOS 90"</x:v>
      </x:c>
      <x:c r="M19" t="str">
        <x:v>3</x:v>
      </x:c>
      <x:c r="N19" t="str">
        <x:v>1</x:v>
      </x:c>
      <x:c r="O19" t="str">
        <x:v>Inglaterra</x:v>
      </x:c>
      <x:c r="P19" t="str">
        <x:v>TIEMPO SUPLEMENTARIO</x:v>
      </x:c>
      <x:c r="Q19" t="str">
        <x:v>1</x:v>
      </x:c>
      <x:c r="R19" t="str">
        <x:v>2</x:v>
      </x:c>
      <x:c r="S19" t="str">
        <x:v>EEUU</x:v>
      </x:c>
      <x:c r="T19" t="str">
        <x:v>DENTRO DE LOS 90"</x:v>
      </x:c>
      <x:c r="U19" t="str">
        <x:v>3</x:v>
      </x:c>
      <x:c r="V19" t="str">
        <x:v>1</x:v>
      </x:c>
      <x:c r="W19" t="str">
        <x:v>España</x:v>
      </x:c>
      <x:c r="X19" t="str">
        <x:v>DENTRO DE LOS 90"</x:v>
      </x:c>
      <x:c r="Y19" t="str">
        <x:v>2</x:v>
      </x:c>
      <x:c r="Z19" t="str">
        <x:v>4</x:v>
      </x:c>
      <x:c r="AA19" t="str">
        <x:v>Colombia</x:v>
      </x:c>
      <x:c r="AB19" t="str">
        <x:v>TIEMPO SUPLEMENTARIO</x:v>
      </x:c>
      <x:c r="AC19" t="str">
        <x:v>1</x:v>
      </x:c>
      <x:c r="AD19" t="str">
        <x:v>2</x:v>
      </x:c>
      <x:c r="AE19" t="str">
        <x:v>Argentina</x:v>
      </x:c>
      <x:c r="AF19" t="str">
        <x:v>DENTRO DE LOS 90"</x:v>
      </x:c>
      <x:c r="AG19" t="str">
        <x:v>3</x:v>
      </x:c>
      <x:c r="AH19" t="str">
        <x:v>1</x:v>
      </x:c>
    </x:row>
    <x:row r="20" ht="15" hidden="0" customHeight="1">
      <x:c r="A20" t="str">
        <x:v>6/07/2026 11:38:55</x:v>
      </x:c>
      <x:c r="B20" t="str">
        <x:v>Diana Aguirre Moreno</x:v>
      </x:c>
      <x:c r="C20" t="str">
        <x:v>PARAGUAY</x:v>
      </x:c>
      <x:c r="D20" t="str">
        <x:v>PENALES</x:v>
      </x:c>
      <x:c r="E20" t="str">
        <x:v>0</x:v>
      </x:c>
      <x:c r="F20" t="str">
        <x:v>0</x:v>
      </x:c>
      <x:c r="G20" t="str">
        <x:v>Canadá</x:v>
      </x:c>
      <x:c r="H20" t="str">
        <x:v>PENALES</x:v>
      </x:c>
      <x:c r="I20" t="str">
        <x:v>0</x:v>
      </x:c>
      <x:c r="J20" t="str">
        <x:v>0</x:v>
      </x:c>
      <x:c r="K20" t="str">
        <x:v>Brasil</x:v>
      </x:c>
      <x:c r="L20" t="str">
        <x:v>PENALES</x:v>
      </x:c>
      <x:c r="M20" t="str">
        <x:v>0</x:v>
      </x:c>
      <x:c r="N20" t="str">
        <x:v>0</x:v>
      </x:c>
      <x:c r="O20" t="str">
        <x:v>México</x:v>
      </x:c>
      <x:c r="P20" t="str">
        <x:v>PENALES</x:v>
      </x:c>
      <x:c r="Q20" t="str">
        <x:v>0</x:v>
      </x:c>
      <x:c r="R20" t="str">
        <x:v>0</x:v>
      </x:c>
      <x:c r="S20" t="str">
        <x:v>Bélgica</x:v>
      </x:c>
      <x:c r="T20" t="str">
        <x:v>DENTRO DE LOS 90"</x:v>
      </x:c>
      <x:c r="U20" t="str">
        <x:v>1</x:v>
      </x:c>
      <x:c r="V20" t="str">
        <x:v>2</x:v>
      </x:c>
      <x:c r="W20" t="str">
        <x:v>España</x:v>
      </x:c>
      <x:c r="X20" t="str">
        <x:v>TIEMPO SUPLEMENTARIO</x:v>
      </x:c>
      <x:c r="Y20" t="str">
        <x:v>1</x:v>
      </x:c>
      <x:c r="Z20" t="str">
        <x:v>2</x:v>
      </x:c>
      <x:c r="AA20" t="str">
        <x:v>Colombia</x:v>
      </x:c>
      <x:c r="AB20" t="str">
        <x:v>DENTRO DE LOS 90"</x:v>
      </x:c>
      <x:c r="AC20" t="str">
        <x:v>0</x:v>
      </x:c>
      <x:c r="AD20" t="str">
        <x:v>2</x:v>
      </x:c>
      <x:c r="AE20" t="str">
        <x:v>Argentina</x:v>
      </x:c>
      <x:c r="AF20" t="str">
        <x:v>DENTRO DE LOS 90"</x:v>
      </x:c>
      <x:c r="AG20" t="str">
        <x:v>3</x:v>
      </x:c>
      <x:c r="AH20" t="str">
        <x:v>1</x:v>
      </x:c>
    </x:row>
    <x:row r="21" ht="15" hidden="0" customHeight="1">
      <x:c r="A21" t="str">
        <x:v>8/07/2026 14:19:26</x:v>
      </x:c>
      <x:c r="B21" t="str">
        <x:v>Alex</x:v>
      </x:c>
      <x:c r="C21" t="str">
        <x:v>FRANCIA</x:v>
      </x:c>
      <x:c r="D21" t="str">
        <x:v>DENTRO DE LOS 90"</x:v>
      </x:c>
      <x:c r="E21" t="str">
        <x:v>0</x:v>
      </x:c>
      <x:c r="F21" t="str">
        <x:v>2</x:v>
      </x:c>
      <x:c r="G21" t="str">
        <x:v>Marruecos</x:v>
      </x:c>
      <x:c r="H21" t="str">
        <x:v>TIEMPO SUPLEMENTARIO</x:v>
      </x:c>
      <x:c r="I21" t="str">
        <x:v>1</x:v>
      </x:c>
      <x:c r="J21" t="str">
        <x:v>2</x:v>
      </x:c>
      <x:c r="K21" t="str">
        <x:v>Noruega</x:v>
      </x:c>
      <x:c r="L21" t="str">
        <x:v>DENTRO DE LOS 90"</x:v>
      </x:c>
      <x:c r="M21" t="str">
        <x:v>2</x:v>
      </x:c>
      <x:c r="N21" t="str">
        <x:v>3</x:v>
      </x:c>
      <x:c r="O21" t="str">
        <x:v>Inglaterra</x:v>
      </x:c>
      <x:c r="P21" t="str">
        <x:v>DENTRO DE LOS 90"</x:v>
      </x:c>
      <x:c r="Q21" t="str">
        <x:v>1</x:v>
      </x:c>
      <x:c r="R21" t="str">
        <x:v>2</x:v>
      </x:c>
      <x:c r="S21" t="str">
        <x:v>Bélgica</x:v>
      </x:c>
      <x:c r="T21" t="str">
        <x:v>DENTRO DE LOS 90"</x:v>
      </x:c>
      <x:c r="U21" t="str">
        <x:v>1</x:v>
      </x:c>
      <x:c r="V21" t="str">
        <x:v>2</x:v>
      </x:c>
      <x:c r="W21" t="str">
        <x:v>España</x:v>
      </x:c>
      <x:c r="X21" t="str">
        <x:v>TIEMPO SUPLEMENTARIO</x:v>
      </x:c>
      <x:c r="Y21" t="str">
        <x:v>1</x:v>
      </x:c>
      <x:c r="Z21" t="str">
        <x:v>2</x:v>
      </x:c>
      <x:c r="AA21" t="str">
        <x:v>Suiza</x:v>
      </x:c>
      <x:c r="AB21" t="str">
        <x:v>PENALES</x:v>
      </x:c>
      <x:c r="AC21" t="str">
        <x:v>0</x:v>
      </x:c>
      <x:c r="AD21" t="str">
        <x:v>0</x:v>
      </x:c>
      <x:c r="AE21" t="str">
        <x:v>Argentina</x:v>
      </x:c>
      <x:c r="AF21" t="str">
        <x:v>DENTRO DE LOS 90"</x:v>
      </x:c>
      <x:c r="AG21" t="str">
        <x:v>3</x:v>
      </x:c>
      <x:c r="AH21" t="str">
        <x:v>2</x:v>
      </x:c>
    </x:row>
    <x:row r="22" ht="15" hidden="0" customHeight="1">
      <x:c r="A22" t="str">
        <x:v>8/07/2026 15:23:44</x:v>
      </x:c>
      <x:c r="B22" t="str">
        <x:v>Jorge Santa Marina</x:v>
      </x:c>
      <x:c r="C22" t="str">
        <x:v>FRANCIA</x:v>
      </x:c>
      <x:c r="D22" t="str">
        <x:v>DENTRO DE LOS 90"</x:v>
      </x:c>
      <x:c r="E22" t="str">
        <x:v>0</x:v>
      </x:c>
      <x:c r="F22" t="str">
        <x:v>1</x:v>
      </x:c>
      <x:c r="G22" t="str">
        <x:v>Marruecos</x:v>
      </x:c>
      <x:c r="H22" t="str">
        <x:v>DENTRO DE LOS 90"</x:v>
      </x:c>
      <x:c r="I22" t="str">
        <x:v>1</x:v>
      </x:c>
      <x:c r="J22" t="str">
        <x:v>3</x:v>
      </x:c>
      <x:c r="K22" t="str">
        <x:v>Noruega</x:v>
      </x:c>
      <x:c r="L22" t="str">
        <x:v>DENTRO DE LOS 90"</x:v>
      </x:c>
      <x:c r="M22" t="str">
        <x:v>1</x:v>
      </x:c>
      <x:c r="N22" t="str">
        <x:v>2</x:v>
      </x:c>
      <x:c r="O22" t="str">
        <x:v>Inglaterra</x:v>
      </x:c>
      <x:c r="P22" t="str">
        <x:v>DENTRO DE LOS 90"</x:v>
      </x:c>
      <x:c r="Q22" t="str">
        <x:v>2</x:v>
      </x:c>
      <x:c r="R22" t="str">
        <x:v>3</x:v>
      </x:c>
      <x:c r="S22" t="str">
        <x:v>Bélgica</x:v>
      </x:c>
      <x:c r="T22" t="str">
        <x:v>DENTRO DE LOS 90"</x:v>
      </x:c>
      <x:c r="U22" t="str">
        <x:v>1</x:v>
      </x:c>
      <x:c r="V22" t="str">
        <x:v>4</x:v>
      </x:c>
      <x:c r="W22" t="str">
        <x:v>España</x:v>
      </x:c>
      <x:c r="X22" t="str">
        <x:v>DENTRO DE LOS 90"</x:v>
      </x:c>
      <x:c r="Y22" t="str">
        <x:v>0</x:v>
      </x:c>
      <x:c r="Z22" t="str">
        <x:v>1</x:v>
      </x:c>
      <x:c r="AA22" t="str">
        <x:v>Suiza</x:v>
      </x:c>
      <x:c r="AB22" t="str">
        <x:v>PENALES</x:v>
      </x:c>
      <x:c r="AC22" t="str">
        <x:v>0</x:v>
      </x:c>
      <x:c r="AD22" t="str">
        <x:v>0</x:v>
      </x:c>
      <x:c r="AE22" t="str">
        <x:v>Argentina</x:v>
      </x:c>
      <x:c r="AF22" t="str">
        <x:v>DENTRO DE LOS 90"</x:v>
      </x:c>
      <x:c r="AG22" t="str">
        <x:v>3</x:v>
      </x:c>
      <x:c r="AH22" t="str">
        <x:v>2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" hidden="0" customWidth="1"/>
    <x:col min="2" max="2" width="24.25" hidden="0" customWidth="1"/>
    <x:col min="3" max="3" width="24.75" hidden="0" customWidth="1"/>
    <x:col min="4" max="4" width="10.25" hidden="0" customWidth="1"/>
    <x:col min="5" max="5" width="19.75" hidden="0" customWidth="1"/>
    <x:col min="6" max="6" width="17" hidden="0" customWidth="1"/>
    <x:col min="7" max="7" width="20.1299991607666" hidden="0" customWidth="1"/>
    <x:col min="8" max="8" width="9.25" hidden="0" customWidth="1"/>
    <x:col min="9" max="9" width="19.75" hidden="0" customWidth="1"/>
    <x:col min="10" max="10" width="14.880000114440918" hidden="0" customWidth="1"/>
    <x:col min="11" max="11" width="15.25" hidden="0" customWidth="1"/>
    <x:col min="12" max="12" width="9.25" hidden="0" customWidth="1"/>
    <x:col min="13" max="13" width="19.75" hidden="0" customWidth="1"/>
    <x:col min="14" max="14" width="15.380000114440918" hidden="0" customWidth="1"/>
    <x:col min="15" max="15" width="16.25" hidden="0" customWidth="1"/>
    <x:col min="16" max="16" width="9.25" hidden="0" customWidth="1"/>
    <x:col min="17" max="17" width="19.75" hidden="0" customWidth="1"/>
    <x:col min="18" max="18" width="16.3799991607666" hidden="0" customWidth="1"/>
    <x:col min="19" max="19" width="12.75" hidden="0" customWidth="1"/>
  </x:cols>
  <x:sheetData>
    <x:row r="1" ht="15" hidden="0" customHeight="1">
      <x:c r="A1" s="3" t="str">
        <x:v>Marca temporal</x:v>
      </x:c>
      <x:c r="B1" s="3" t="str">
        <x:v>Dirección de correo electrónico</x:v>
      </x:c>
      <x:c r="C1" s="3" t="str">
        <x:v>Nombres y Apellidos</x:v>
      </x:c>
      <x:c r="D1" s="3" t="str">
        <x:v>Clasificado:</x:v>
      </x:c>
      <x:c r="E1" s="3" t="str">
        <x:v>Método:</x:v>
      </x:c>
      <x:c r="F1" s="3" t="str">
        <x:v>MARCADOR FRANCIA</x:v>
      </x:c>
      <x:c r="G1" s="3" t="str">
        <x:v>MARCADOR MARRUECOS</x:v>
      </x:c>
      <x:c r="H1" s="3" t="str">
        <x:v>Clasificado:</x:v>
      </x:c>
      <x:c r="I1" s="3" t="str">
        <x:v>Método:</x:v>
      </x:c>
      <x:c r="J1" s="3" t="str">
        <x:v>Marcador ESPAÑA:</x:v>
      </x:c>
      <x:c r="K1" s="3" t="str">
        <x:v>Marcador BÉLGICA:</x:v>
      </x:c>
      <x:c r="L1" s="3" t="str">
        <x:v>Clasificado:</x:v>
      </x:c>
      <x:c r="M1" s="3" t="str">
        <x:v>Método:</x:v>
      </x:c>
      <x:c r="N1" s="3" t="str">
        <x:v>Marcador Noruega:</x:v>
      </x:c>
      <x:c r="O1" s="3" t="str">
        <x:v>Marcador Inglaterra:</x:v>
      </x:c>
      <x:c r="P1" s="3" t="str">
        <x:v>Clasificado:</x:v>
      </x:c>
      <x:c r="Q1" s="3" t="str">
        <x:v>Método:</x:v>
      </x:c>
      <x:c r="R1" s="3" t="str">
        <x:v>Marcador Argentina:</x:v>
      </x:c>
      <x:c r="S1" s="3" t="str">
        <x:v>Marcador Suiza:</x:v>
      </x:c>
    </x:row>
    <x:row r="2" ht="15" hidden="0" customHeight="1">
      <x:c r="A2" t="str">
        <x:v>8/07/2026 19:28:02</x:v>
      </x:c>
      <x:c r="B2" t="str">
        <x:v>montalvo7047@gmail.com</x:v>
      </x:c>
      <x:c r="C2" t="str">
        <x:v>Alex </x:v>
      </x:c>
      <x:c r="D2" t="str">
        <x:v>FRANCIA</x:v>
      </x:c>
      <x:c r="E2" t="str">
        <x:v>DENTRO DE LOS 90"</x:v>
      </x:c>
      <x:c r="F2" t="str">
        <x:v>3</x:v>
      </x:c>
      <x:c r="G2" t="str">
        <x:v>1</x:v>
      </x:c>
      <x:c r="H2" t="str">
        <x:v>ESPAÑA</x:v>
      </x:c>
      <x:c r="I2" t="str">
        <x:v>TIEMPO SUPLEMENTARIO</x:v>
      </x:c>
      <x:c r="J2" t="str">
        <x:v>2</x:v>
      </x:c>
      <x:c r="K2" t="str">
        <x:v>1</x:v>
      </x:c>
      <x:c r="L2" t="str">
        <x:v>Inglaterra</x:v>
      </x:c>
      <x:c r="M2" t="str">
        <x:v>TIEMPO SUPLEMENTARIO</x:v>
      </x:c>
      <x:c r="N2" t="str">
        <x:v>2</x:v>
      </x:c>
      <x:c r="O2" t="str">
        <x:v>2</x:v>
      </x:c>
      <x:c r="P2" t="str">
        <x:v>Argentina</x:v>
      </x:c>
      <x:c r="Q2" t="str">
        <x:v>DENTRO DE LOS 90"</x:v>
      </x:c>
      <x:c r="R2" t="str">
        <x:v>3</x:v>
      </x:c>
      <x:c r="S2" t="str">
        <x:v>1</x:v>
      </x:c>
    </x:row>
    <x:row r="3" ht="15" hidden="0" customHeight="1">
      <x:c r="A3" t="str">
        <x:v>8/07/2026 19:28:35</x:v>
      </x:c>
      <x:c r="B3" t="str">
        <x:v>gabrielaorrillo@gmail.com</x:v>
      </x:c>
      <x:c r="C3" t="str">
        <x:v>Gabriela Orrillo</x:v>
      </x:c>
      <x:c r="D3" t="str">
        <x:v>FRANCIA</x:v>
      </x:c>
      <x:c r="E3" t="str">
        <x:v>TIEMPO SUPLEMENTARIO</x:v>
      </x:c>
      <x:c r="F3" t="str">
        <x:v>3</x:v>
      </x:c>
      <x:c r="G3" t="str">
        <x:v>2</x:v>
      </x:c>
      <x:c r="H3" t="str">
        <x:v>ESPAÑA</x:v>
      </x:c>
      <x:c r="I3" t="str">
        <x:v>DENTRO DE LOS 90"</x:v>
      </x:c>
      <x:c r="J3" t="str">
        <x:v>2</x:v>
      </x:c>
      <x:c r="K3" t="str">
        <x:v>0</x:v>
      </x:c>
      <x:c r="L3" t="str">
        <x:v>Noruega</x:v>
      </x:c>
      <x:c r="M3" t="str">
        <x:v>PENALES</x:v>
      </x:c>
      <x:c r="N3" t="str">
        <x:v>2</x:v>
      </x:c>
      <x:c r="O3" t="str">
        <x:v>2</x:v>
      </x:c>
      <x:c r="P3" t="str">
        <x:v>Suiza</x:v>
      </x:c>
      <x:c r="Q3" t="str">
        <x:v>PENALES</x:v>
      </x:c>
      <x:c r="R3" t="str">
        <x:v>2</x:v>
      </x:c>
      <x:c r="S3" t="str">
        <x:v>2</x:v>
      </x:c>
    </x:row>
    <x:row r="4" ht="15" hidden="0" customHeight="1">
      <x:c r="A4" t="str">
        <x:v>8/07/2026 19:28:40</x:v>
      </x:c>
      <x:c r="B4" t="str">
        <x:v>daniel.vega.m@uni.pe</x:v>
      </x:c>
      <x:c r="C4" t="str">
        <x:v>DANIEL FERNANDO VEGA MEZA</x:v>
      </x:c>
      <x:c r="D4" t="str">
        <x:v>FRANCIA</x:v>
      </x:c>
      <x:c r="E4" t="str">
        <x:v>TIEMPO SUPLEMENTARIO</x:v>
      </x:c>
      <x:c r="F4" t="str">
        <x:v>3</x:v>
      </x:c>
      <x:c r="G4" t="str">
        <x:v>2</x:v>
      </x:c>
      <x:c r="H4" t="str">
        <x:v>ESPAÑA</x:v>
      </x:c>
      <x:c r="I4" t="str">
        <x:v>DENTRO DE LOS 90"</x:v>
      </x:c>
      <x:c r="J4" t="str">
        <x:v>2</x:v>
      </x:c>
      <x:c r="K4" t="str">
        <x:v>1</x:v>
      </x:c>
      <x:c r="L4" t="str">
        <x:v>Noruega</x:v>
      </x:c>
      <x:c r="M4" t="str">
        <x:v>PENALES</x:v>
      </x:c>
      <x:c r="N4" t="str">
        <x:v>2</x:v>
      </x:c>
      <x:c r="O4" t="str">
        <x:v>2</x:v>
      </x:c>
      <x:c r="P4" t="str">
        <x:v>Argentina</x:v>
      </x:c>
      <x:c r="Q4" t="str">
        <x:v>PENALES</x:v>
      </x:c>
      <x:c r="R4" t="str">
        <x:v>2</x:v>
      </x:c>
      <x:c r="S4" t="str">
        <x:v>2</x:v>
      </x:c>
    </x:row>
    <x:row r="5" ht="15" hidden="0" customHeight="1">
      <x:c r="A5" t="str">
        <x:v>8/07/2026 19:41:02</x:v>
      </x:c>
      <x:c r="B5" t="str">
        <x:v>diegosaloma@gmail.com</x:v>
      </x:c>
      <x:c r="C5" t="str">
        <x:v>Diego Saloma</x:v>
      </x:c>
      <x:c r="D5" t="str">
        <x:v>FRANCIA</x:v>
      </x:c>
      <x:c r="E5" t="str">
        <x:v>DENTRO DE LOS 90"</x:v>
      </x:c>
      <x:c r="F5" t="str">
        <x:v>2</x:v>
      </x:c>
      <x:c r="G5" t="str">
        <x:v>1</x:v>
      </x:c>
      <x:c r="H5" t="str">
        <x:v>ESPAÑA</x:v>
      </x:c>
      <x:c r="I5" t="str">
        <x:v>DENTRO DE LOS 90"</x:v>
      </x:c>
      <x:c r="J5" t="str">
        <x:v>2</x:v>
      </x:c>
      <x:c r="K5" t="str">
        <x:v>1</x:v>
      </x:c>
      <x:c r="L5" t="str">
        <x:v>Noruega</x:v>
      </x:c>
      <x:c r="M5" t="str">
        <x:v>TIEMPO SUPLEMENTARIO</x:v>
      </x:c>
      <x:c r="N5" t="str">
        <x:v>2</x:v>
      </x:c>
      <x:c r="O5" t="str">
        <x:v>1</x:v>
      </x:c>
      <x:c r="P5" t="str">
        <x:v>Argentina</x:v>
      </x:c>
      <x:c r="Q5" t="str">
        <x:v>DENTRO DE LOS 90"</x:v>
      </x:c>
      <x:c r="R5" t="str">
        <x:v>2</x:v>
      </x:c>
      <x:c r="S5" t="str">
        <x:v>0</x:v>
      </x:c>
    </x:row>
    <x:row r="6" ht="15" hidden="0" customHeight="1">
      <x:c r="A6" t="str">
        <x:v>8/07/2026 20:10:06</x:v>
      </x:c>
      <x:c r="B6" t="str">
        <x:v>yurinarias@gmail.com</x:v>
      </x:c>
      <x:c r="C6" t="str">
        <x:v>Jesús Arias Ochoa </x:v>
      </x:c>
      <x:c r="D6" t="str">
        <x:v>FRANCIA</x:v>
      </x:c>
      <x:c r="E6" t="str">
        <x:v>DENTRO DE LOS 90"</x:v>
      </x:c>
      <x:c r="F6" t="str">
        <x:v>3</x:v>
      </x:c>
      <x:c r="G6" t="str">
        <x:v>1</x:v>
      </x:c>
      <x:c r="H6" t="str">
        <x:v>ESPAÑA</x:v>
      </x:c>
      <x:c r="I6" t="str">
        <x:v>DENTRO DE LOS 90"</x:v>
      </x:c>
      <x:c r="J6" t="str">
        <x:v>2</x:v>
      </x:c>
      <x:c r="K6" t="str">
        <x:v>1</x:v>
      </x:c>
      <x:c r="L6" t="str">
        <x:v>Noruega</x:v>
      </x:c>
      <x:c r="M6" t="str">
        <x:v>DENTRO DE LOS 90"</x:v>
      </x:c>
      <x:c r="N6" t="str">
        <x:v>2</x:v>
      </x:c>
      <x:c r="O6" t="str">
        <x:v>1</x:v>
      </x:c>
      <x:c r="P6" t="str">
        <x:v>Argentina</x:v>
      </x:c>
      <x:c r="Q6" t="str">
        <x:v>DENTRO DE LOS 90"</x:v>
      </x:c>
      <x:c r="R6" t="str">
        <x:v>2</x:v>
      </x:c>
      <x:c r="S6" t="str">
        <x:v>1</x:v>
      </x:c>
    </x:row>
    <x:row r="7" ht="15" hidden="0" customHeight="1">
      <x:c r="A7" t="str">
        <x:v>8/07/2026 20:33:52</x:v>
      </x:c>
      <x:c r="B7" t="str">
        <x:v>pachecoduenas.ae@gmail.com</x:v>
      </x:c>
      <x:c r="C7" t="str">
        <x:v>Anny Pacheco </x:v>
      </x:c>
      <x:c r="D7" t="str">
        <x:v>FRANCIA</x:v>
      </x:c>
      <x:c r="E7" t="str">
        <x:v>DENTRO DE LOS 90"</x:v>
      </x:c>
      <x:c r="F7" t="str">
        <x:v>2</x:v>
      </x:c>
      <x:c r="G7" t="str">
        <x:v>1</x:v>
      </x:c>
      <x:c r="H7" t="str">
        <x:v>ESPAÑA</x:v>
      </x:c>
      <x:c r="I7" t="str">
        <x:v>PENALES</x:v>
      </x:c>
      <x:c r="J7" t="str">
        <x:v>1</x:v>
      </x:c>
      <x:c r="K7" t="str">
        <x:v>1</x:v>
      </x:c>
      <x:c r="L7" t="str">
        <x:v>Noruega</x:v>
      </x:c>
      <x:c r="M7" t="str">
        <x:v>TIEMPO SUPLEMENTARIO</x:v>
      </x:c>
      <x:c r="N7" t="str">
        <x:v>1</x:v>
      </x:c>
      <x:c r="O7" t="str">
        <x:v>1</x:v>
      </x:c>
      <x:c r="P7" t="str">
        <x:v>Argentina</x:v>
      </x:c>
      <x:c r="Q7" t="str">
        <x:v>DENTRO DE LOS 90"</x:v>
      </x:c>
      <x:c r="R7" t="str">
        <x:v>2</x:v>
      </x:c>
      <x:c r="S7" t="str">
        <x:v>1</x:v>
      </x:c>
    </x:row>
    <x:row r="8" ht="15" hidden="0" customHeight="1">
      <x:c r="A8" t="str">
        <x:v>8/07/2026 20:39:37</x:v>
      </x:c>
      <x:c r="B8" t="str">
        <x:v>yfredp1980@gmail.com</x:v>
      </x:c>
      <x:c r="C8" t="str">
        <x:v>Freddy pacheco</x:v>
      </x:c>
      <x:c r="D8" t="str">
        <x:v>FRANCIA</x:v>
      </x:c>
      <x:c r="E8" t="str">
        <x:v>DENTRO DE LOS 90"</x:v>
      </x:c>
      <x:c r="F8" t="str">
        <x:v>1</x:v>
      </x:c>
      <x:c r="G8" t="str">
        <x:v>0</x:v>
      </x:c>
      <x:c r="H8" t="str">
        <x:v>ESPAÑA</x:v>
      </x:c>
      <x:c r="I8" t="str">
        <x:v>DENTRO DE LOS 90"</x:v>
      </x:c>
      <x:c r="J8" t="str">
        <x:v>2</x:v>
      </x:c>
      <x:c r="K8" t="str">
        <x:v>1</x:v>
      </x:c>
      <x:c r="L8" t="str">
        <x:v>Inglaterra</x:v>
      </x:c>
      <x:c r="M8" t="str">
        <x:v>DENTRO DE LOS 90"</x:v>
      </x:c>
      <x:c r="N8" t="str">
        <x:v>1</x:v>
      </x:c>
      <x:c r="O8" t="str">
        <x:v>2</x:v>
      </x:c>
      <x:c r="P8" t="str">
        <x:v>Argentina</x:v>
      </x:c>
      <x:c r="Q8" t="str">
        <x:v>DENTRO DE LOS 90"</x:v>
      </x:c>
      <x:c r="R8" t="str">
        <x:v>1</x:v>
      </x:c>
      <x:c r="S8" t="str">
        <x:v>0</x:v>
      </x:c>
    </x:row>
    <x:row r="9" ht="15" hidden="0" customHeight="1">
      <x:c r="A9" t="str">
        <x:v>8/07/2026 20:53:41</x:v>
      </x:c>
      <x:c r="B9" t="str">
        <x:v>aldoi.vargasz@pucp.edu.pe</x:v>
      </x:c>
      <x:c r="C9" t="str">
        <x:v>Aldo Isaac Vargas Zavaleta </x:v>
      </x:c>
      <x:c r="D9" t="str">
        <x:v>MARRUECOS</x:v>
      </x:c>
      <x:c r="E9" t="str">
        <x:v>PENALES</x:v>
      </x:c>
      <x:c r="F9" t="str">
        <x:v>1</x:v>
      </x:c>
      <x:c r="G9" t="str">
        <x:v>1</x:v>
      </x:c>
      <x:c r="H9" t="str">
        <x:v>ESPAÑA</x:v>
      </x:c>
      <x:c r="I9" t="str">
        <x:v>DENTRO DE LOS 90"</x:v>
      </x:c>
      <x:c r="J9" t="str">
        <x:v>2</x:v>
      </x:c>
      <x:c r="K9" t="str">
        <x:v>0</x:v>
      </x:c>
      <x:c r="L9" t="str">
        <x:v>Inglaterra</x:v>
      </x:c>
      <x:c r="M9" t="str">
        <x:v>DENTRO DE LOS 90"</x:v>
      </x:c>
      <x:c r="N9" t="str">
        <x:v>1</x:v>
      </x:c>
      <x:c r="O9" t="str">
        <x:v>2</x:v>
      </x:c>
      <x:c r="P9" t="str">
        <x:v>Argentina</x:v>
      </x:c>
      <x:c r="Q9" t="str">
        <x:v>DENTRO DE LOS 90"</x:v>
      </x:c>
      <x:c r="R9" t="str">
        <x:v>2</x:v>
      </x:c>
      <x:c r="S9" t="str">
        <x:v>1</x:v>
      </x:c>
    </x:row>
    <x:row r="10" ht="15" hidden="0" customHeight="1">
      <x:c r="A10" t="str">
        <x:v>8/07/2026 21:05:51</x:v>
      </x:c>
      <x:c r="B10" t="str">
        <x:v>zedano.iman@gmail.com</x:v>
      </x:c>
      <x:c r="C10" t="str">
        <x:v>Moisés Zedano</x:v>
      </x:c>
      <x:c r="D10" t="str">
        <x:v>FRANCIA</x:v>
      </x:c>
      <x:c r="E10" t="str">
        <x:v>DENTRO DE LOS 90"</x:v>
      </x:c>
      <x:c r="F10" t="str">
        <x:v>2</x:v>
      </x:c>
      <x:c r="G10" t="str">
        <x:v>1</x:v>
      </x:c>
      <x:c r="H10" t="str">
        <x:v>BÉLGICA</x:v>
      </x:c>
      <x:c r="I10" t="str">
        <x:v>DENTRO DE LOS 90"</x:v>
      </x:c>
      <x:c r="J10" t="str">
        <x:v>1</x:v>
      </x:c>
      <x:c r="K10" t="str">
        <x:v>2</x:v>
      </x:c>
      <x:c r="L10" t="str">
        <x:v>Noruega</x:v>
      </x:c>
      <x:c r="M10" t="str">
        <x:v>DENTRO DE LOS 90"</x:v>
      </x:c>
      <x:c r="N10" t="str">
        <x:v>3</x:v>
      </x:c>
      <x:c r="O10" t="str">
        <x:v>2</x:v>
      </x:c>
      <x:c r="P10" t="str">
        <x:v>Argentina</x:v>
      </x:c>
      <x:c r="Q10" t="str">
        <x:v>TIEMPO SUPLEMENTARIO</x:v>
      </x:c>
      <x:c r="R10" t="str">
        <x:v>3</x:v>
      </x:c>
      <x:c r="S10" t="str">
        <x:v>1</x:v>
      </x:c>
    </x:row>
    <x:row r="11" ht="15" hidden="0" customHeight="1">
      <x:c r="A11" t="str">
        <x:v>8/07/2026 23:03:28</x:v>
      </x:c>
      <x:c r="B11" t="str">
        <x:v>jeancayoperea@gmail.com</x:v>
      </x:c>
      <x:c r="C11" t="str">
        <x:v>Jean Cayo</x:v>
      </x:c>
      <x:c r="D11" t="str">
        <x:v>FRANCIA</x:v>
      </x:c>
      <x:c r="E11" t="str">
        <x:v>DENTRO DE LOS 90"</x:v>
      </x:c>
      <x:c r="F11" t="str">
        <x:v>1</x:v>
      </x:c>
      <x:c r="G11" t="str">
        <x:v>0</x:v>
      </x:c>
      <x:c r="H11" t="str">
        <x:v>ESPAÑA</x:v>
      </x:c>
      <x:c r="I11" t="str">
        <x:v>DENTRO DE LOS 90"</x:v>
      </x:c>
      <x:c r="J11" t="str">
        <x:v>1</x:v>
      </x:c>
      <x:c r="K11" t="str">
        <x:v>0</x:v>
      </x:c>
      <x:c r="L11" t="str">
        <x:v>Inglaterra</x:v>
      </x:c>
      <x:c r="M11" t="str">
        <x:v>DENTRO DE LOS 90"</x:v>
      </x:c>
      <x:c r="N11" t="str">
        <x:v>0</x:v>
      </x:c>
      <x:c r="O11" t="str">
        <x:v>2</x:v>
      </x:c>
      <x:c r="P11" t="str">
        <x:v>Argentina</x:v>
      </x:c>
      <x:c r="Q11" t="str">
        <x:v>DENTRO DE LOS 90"</x:v>
      </x:c>
      <x:c r="R11" t="str">
        <x:v>2</x:v>
      </x:c>
      <x:c r="S11" t="str">
        <x:v>0</x:v>
      </x:c>
    </x:row>
    <x:row r="12" ht="15" hidden="0" customHeight="1">
      <x:c r="A12" t="str">
        <x:v>9/07/2026 8:36:51</x:v>
      </x:c>
      <x:c r="B12" t="str">
        <x:v>aarthursalazar@gmail.com</x:v>
      </x:c>
      <x:c r="C12" t="str">
        <x:v>Arthur Salazar</x:v>
      </x:c>
      <x:c r="D12" t="str">
        <x:v>FRANCIA</x:v>
      </x:c>
      <x:c r="E12" t="str">
        <x:v>DENTRO DE LOS 90"</x:v>
      </x:c>
      <x:c r="F12" t="str">
        <x:v>2</x:v>
      </x:c>
      <x:c r="G12" t="str">
        <x:v>0</x:v>
      </x:c>
      <x:c r="H12" t="str">
        <x:v>ESPAÑA</x:v>
      </x:c>
      <x:c r="I12" t="str">
        <x:v>DENTRO DE LOS 90"</x:v>
      </x:c>
      <x:c r="J12" t="str">
        <x:v>2</x:v>
      </x:c>
      <x:c r="K12" t="str">
        <x:v>1</x:v>
      </x:c>
      <x:c r="L12" t="str">
        <x:v>Noruega</x:v>
      </x:c>
      <x:c r="M12" t="str">
        <x:v>TIEMPO SUPLEMENTARIO</x:v>
      </x:c>
      <x:c r="N12" t="str">
        <x:v>2</x:v>
      </x:c>
      <x:c r="O12" t="str">
        <x:v>1</x:v>
      </x:c>
      <x:c r="P12" t="str">
        <x:v>Argentina</x:v>
      </x:c>
      <x:c r="Q12" t="str">
        <x:v>DENTRO DE LOS 90"</x:v>
      </x:c>
      <x:c r="R12" t="str">
        <x:v>2</x:v>
      </x:c>
      <x:c r="S12" t="str">
        <x:v>0</x:v>
      </x:c>
    </x:row>
    <x:row r="13" ht="15" hidden="0" customHeight="1">
      <x:c r="A13" t="str">
        <x:v>9/07/2026 8:48:05</x:v>
      </x:c>
      <x:c r="B13" t="str">
        <x:v>oscar.saldanay@gmail.com</x:v>
      </x:c>
      <x:c r="C13" t="str">
        <x:v>Oscar Saldaña</x:v>
      </x:c>
      <x:c r="D13" t="str">
        <x:v>FRANCIA</x:v>
      </x:c>
      <x:c r="E13" t="str">
        <x:v>TIEMPO SUPLEMENTARIO</x:v>
      </x:c>
      <x:c r="F13" t="str">
        <x:v>2</x:v>
      </x:c>
      <x:c r="G13" t="str">
        <x:v>1</x:v>
      </x:c>
      <x:c r="H13" t="str">
        <x:v>ESPAÑA</x:v>
      </x:c>
      <x:c r="I13" t="str">
        <x:v>PENALES</x:v>
      </x:c>
      <x:c r="J13" t="str">
        <x:v>1</x:v>
      </x:c>
      <x:c r="K13" t="str">
        <x:v>1</x:v>
      </x:c>
      <x:c r="L13" t="str">
        <x:v>Inglaterra</x:v>
      </x:c>
      <x:c r="M13" t="str">
        <x:v>TIEMPO SUPLEMENTARIO</x:v>
      </x:c>
      <x:c r="N13" t="str">
        <x:v>2</x:v>
      </x:c>
      <x:c r="O13" t="str">
        <x:v>3</x:v>
      </x:c>
      <x:c r="P13" t="str">
        <x:v>Argentina</x:v>
      </x:c>
      <x:c r="Q13" t="str">
        <x:v>PENALES</x:v>
      </x:c>
      <x:c r="R13" t="str">
        <x:v>2</x:v>
      </x:c>
      <x:c r="S13" t="str">
        <x:v>2</x:v>
      </x:c>
    </x:row>
    <x:row r="14" ht="15" hidden="0" customHeight="1">
      <x:c r="A14" t="str">
        <x:v>9/07/2026 8:56:09</x:v>
      </x:c>
      <x:c r="B14" t="str">
        <x:v>javierlsegura3@gmail.com</x:v>
      </x:c>
      <x:c r="C14" t="str">
        <x:v>Javier López</x:v>
      </x:c>
      <x:c r="D14" t="str">
        <x:v>FRANCIA</x:v>
      </x:c>
      <x:c r="E14" t="str">
        <x:v>TIEMPO SUPLEMENTARIO</x:v>
      </x:c>
      <x:c r="F14" t="str">
        <x:v>2</x:v>
      </x:c>
      <x:c r="G14" t="str">
        <x:v>1</x:v>
      </x:c>
      <x:c r="H14" t="str">
        <x:v>BÉLGICA</x:v>
      </x:c>
      <x:c r="I14" t="str">
        <x:v>DENTRO DE LOS 90"</x:v>
      </x:c>
      <x:c r="J14" t="str">
        <x:v>1</x:v>
      </x:c>
      <x:c r="K14" t="str">
        <x:v>2</x:v>
      </x:c>
      <x:c r="L14" t="str">
        <x:v>Noruega</x:v>
      </x:c>
      <x:c r="M14" t="str">
        <x:v>TIEMPO SUPLEMENTARIO</x:v>
      </x:c>
      <x:c r="N14" t="str">
        <x:v>2</x:v>
      </x:c>
      <x:c r="O14" t="str">
        <x:v>1</x:v>
      </x:c>
      <x:c r="P14" t="str">
        <x:v>Argentina</x:v>
      </x:c>
      <x:c r="Q14" t="str">
        <x:v>DENTRO DE LOS 90"</x:v>
      </x:c>
      <x:c r="R14" t="str">
        <x:v>3</x:v>
      </x:c>
      <x:c r="S14" t="str">
        <x:v>0</x:v>
      </x:c>
    </x:row>
    <x:row r="15" ht="15" hidden="0" customHeight="1">
      <x:c r="A15" t="str">
        <x:v>9/07/2026 9:03:38</x:v>
      </x:c>
      <x:c r="B15" t="str">
        <x:v>gino.diaz26@gmail.com</x:v>
      </x:c>
      <x:c r="C15" t="str">
        <x:v>Gino Diaz</x:v>
      </x:c>
      <x:c r="D15" t="str">
        <x:v>FRANCIA</x:v>
      </x:c>
      <x:c r="E15" t="str">
        <x:v>DENTRO DE LOS 90"</x:v>
      </x:c>
      <x:c r="F15" t="str">
        <x:v>2</x:v>
      </x:c>
      <x:c r="G15" t="str">
        <x:v>1</x:v>
      </x:c>
      <x:c r="H15" t="str">
        <x:v>BÉLGICA</x:v>
      </x:c>
      <x:c r="I15" t="str">
        <x:v>TIEMPO SUPLEMENTARIO</x:v>
      </x:c>
      <x:c r="J15" t="str">
        <x:v>1</x:v>
      </x:c>
      <x:c r="K15" t="str">
        <x:v>2</x:v>
      </x:c>
      <x:c r="L15" t="str">
        <x:v>Noruega</x:v>
      </x:c>
      <x:c r="M15" t="str">
        <x:v>TIEMPO SUPLEMENTARIO</x:v>
      </x:c>
      <x:c r="N15" t="str">
        <x:v>1</x:v>
      </x:c>
      <x:c r="O15" t="str">
        <x:v>2</x:v>
      </x:c>
      <x:c r="P15" t="str">
        <x:v>Argentina</x:v>
      </x:c>
      <x:c r="Q15" t="str">
        <x:v>DENTRO DE LOS 90"</x:v>
      </x:c>
      <x:c r="R15" t="str">
        <x:v>2</x:v>
      </x:c>
      <x:c r="S15" t="str">
        <x:v>0</x:v>
      </x:c>
    </x:row>
    <x:row r="16" ht="15" hidden="0" customHeight="1">
      <x:c r="A16" t="str">
        <x:v>9/07/2026 9:05:00</x:v>
      </x:c>
      <x:c r="B16" t="str">
        <x:v>ferchohuares@gmail.com</x:v>
      </x:c>
      <x:c r="C16" t="str">
        <x:v>Fernando Huaripata Escobal</x:v>
      </x:c>
      <x:c r="D16" t="str">
        <x:v>FRANCIA</x:v>
      </x:c>
      <x:c r="E16" t="str">
        <x:v>DENTRO DE LOS 90"</x:v>
      </x:c>
      <x:c r="F16" t="str">
        <x:v>2</x:v>
      </x:c>
      <x:c r="G16" t="str">
        <x:v>1</x:v>
      </x:c>
      <x:c r="H16" t="str">
        <x:v>ESPAÑA</x:v>
      </x:c>
      <x:c r="I16" t="str">
        <x:v>DENTRO DE LOS 90"</x:v>
      </x:c>
      <x:c r="J16" t="str">
        <x:v>1</x:v>
      </x:c>
      <x:c r="K16" t="str">
        <x:v>0</x:v>
      </x:c>
      <x:c r="L16" t="str">
        <x:v>Noruega</x:v>
      </x:c>
      <x:c r="M16" t="str">
        <x:v>DENTRO DE LOS 90"</x:v>
      </x:c>
      <x:c r="N16" t="str">
        <x:v>3</x:v>
      </x:c>
      <x:c r="O16" t="str">
        <x:v>2</x:v>
      </x:c>
      <x:c r="P16" t="str">
        <x:v>Argentina</x:v>
      </x:c>
      <x:c r="Q16" t="str">
        <x:v>DENTRO DE LOS 90"</x:v>
      </x:c>
      <x:c r="R16" t="str">
        <x:v>1</x:v>
      </x:c>
      <x:c r="S16" t="str">
        <x:v>0</x:v>
      </x:c>
    </x:row>
    <x:row r="17" ht="15" hidden="0" customHeight="1">
      <x:c r="A17" t="str">
        <x:v>9/07/2026 21:23:03</x:v>
      </x:c>
      <x:c r="B17" t="str">
        <x:v>man.valverde.q@gmail.com</x:v>
      </x:c>
      <x:c r="C17" t="str">
        <x:v>manu</x:v>
      </x:c>
      <x:c r="D17" t="str">
        <x:v>FRANCIA</x:v>
      </x:c>
      <x:c r="E17" t="str">
        <x:v>DENTRO DE LOS 90"</x:v>
      </x:c>
      <x:c r="F17" t="str">
        <x:v>2</x:v>
      </x:c>
      <x:c r="G17" t="str">
        <x:v>0</x:v>
      </x:c>
      <x:c r="H17" t="str">
        <x:v>ESPAÑA</x:v>
      </x:c>
      <x:c r="I17" t="str">
        <x:v>DENTRO DE LOS 90"</x:v>
      </x:c>
      <x:c r="J17" t="str">
        <x:v>2</x:v>
      </x:c>
      <x:c r="K17" t="str">
        <x:v>0</x:v>
      </x:c>
      <x:c r="L17" t="str">
        <x:v>Noruega</x:v>
      </x:c>
      <x:c r="M17" t="str">
        <x:v>TIEMPO SUPLEMENTARIO</x:v>
      </x:c>
      <x:c r="N17" t="str">
        <x:v>3</x:v>
      </x:c>
      <x:c r="O17" t="str">
        <x:v>2</x:v>
      </x:c>
      <x:c r="P17" t="str">
        <x:v>Suiza</x:v>
      </x:c>
      <x:c r="Q17" t="str">
        <x:v>DENTRO DE LOS 90"</x:v>
      </x:c>
      <x:c r="R17" t="str">
        <x:v>1</x:v>
      </x:c>
      <x:c r="S17" t="str">
        <x:v>2</x:v>
      </x:c>
    </x:row>
    <x:row r="18" ht="15" hidden="0" customHeight="1">
      <x:c r="A18" t="str">
        <x:v>13/07/2026 9:35:40</x:v>
      </x:c>
      <x:c r="B18" t="str">
        <x:v>jsanina866@gmail.com</x:v>
      </x:c>
      <x:c r="C18" t="str">
        <x:v>JORGE  SANTA MARINA IGLESIAS</x:v>
      </x:c>
      <x:c r="D18" t="str">
        <x:v>FRANCIA</x:v>
      </x:c>
      <x:c r="E18" t="str">
        <x:v>DENTRO DE LOS 90"</x:v>
      </x:c>
      <x:c r="F18" t="str">
        <x:v>3</x:v>
      </x:c>
      <x:c r="G18" t="str">
        <x:v>2</x:v>
      </x:c>
      <x:c r="H18" t="str">
        <x:v>ESPAÑA</x:v>
      </x:c>
      <x:c r="I18" t="str">
        <x:v>DENTRO DE LOS 90"</x:v>
      </x:c>
      <x:c r="J18" t="str">
        <x:v>4</x:v>
      </x:c>
      <x:c r="K18" t="str">
        <x:v>2</x:v>
      </x:c>
      <x:c r="L18" t="str">
        <x:v>Noruega</x:v>
      </x:c>
      <x:c r="M18" t="str">
        <x:v>DENTRO DE LOS 90"</x:v>
      </x:c>
      <x:c r="N18" t="str">
        <x:v>1</x:v>
      </x:c>
      <x:c r="O18" t="str">
        <x:v>2</x:v>
      </x:c>
      <x:c r="P18" t="str">
        <x:v>Argentina</x:v>
      </x:c>
      <x:c r="Q18" t="str">
        <x:v>DENTRO DE LOS 90"</x:v>
      </x:c>
      <x:c r="R18" t="str">
        <x:v>3</x:v>
      </x:c>
      <x:c r="S18" t="str">
        <x:v>1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3799991607666" hidden="0" customWidth="1"/>
    <x:col min="2" max="2" width="24.25" hidden="0" customWidth="1"/>
    <x:col min="3" max="3" width="20.3799991607666" hidden="0" customWidth="1"/>
    <x:col min="4" max="4" width="9.25" hidden="0" customWidth="1"/>
    <x:col min="5" max="5" width="19.75" hidden="0" customWidth="1"/>
    <x:col min="6" max="6" width="17" hidden="0" customWidth="1"/>
    <x:col min="7" max="7" width="16.25" hidden="0" customWidth="1"/>
    <x:col min="8" max="8" width="9.880000114440918" hidden="0" customWidth="1"/>
    <x:col min="9" max="9" width="19.75" hidden="0" customWidth="1"/>
    <x:col min="10" max="10" width="18.5" hidden="0" customWidth="1"/>
    <x:col min="11" max="11" width="18" hidden="0" customWidth="1"/>
  </x:cols>
  <x:sheetData>
    <x:row r="1" ht="15" hidden="0" customHeight="1">
      <x:c r="A1" s="3" t="str">
        <x:v>Marca temporal</x:v>
      </x:c>
      <x:c r="B1" s="3" t="str">
        <x:v>Dirección de correo electrónico</x:v>
      </x:c>
      <x:c r="C1" s="3" t="str">
        <x:v>Nombres y Apellidos</x:v>
      </x:c>
      <x:c r="D1" s="3" t="str">
        <x:v>Clasificado:</x:v>
      </x:c>
      <x:c r="E1" s="3" t="str">
        <x:v>Método:</x:v>
      </x:c>
      <x:c r="F1" s="3" t="str">
        <x:v>MARCADOR FRANCIA</x:v>
      </x:c>
      <x:c r="G1" s="3" t="str">
        <x:v>MARCADOR ESPAÑA</x:v>
      </x:c>
      <x:c r="H1" s="3" t="str">
        <x:v>Clasificado:</x:v>
      </x:c>
      <x:c r="I1" s="3" t="str">
        <x:v>Método:</x:v>
      </x:c>
      <x:c r="J1" s="3" t="str">
        <x:v>Marcador INGLATERRA:</x:v>
      </x:c>
      <x:c r="K1" s="3" t="str">
        <x:v>Marcador ARGENTINA:</x:v>
      </x:c>
    </x:row>
    <x:row r="2" ht="15" hidden="0" customHeight="1">
      <x:c r="A2" t="str">
        <x:v>13/07/2026 10:29:48</x:v>
      </x:c>
      <x:c r="B2" t="str">
        <x:v>yurinarias@gmail.com</x:v>
      </x:c>
      <x:c r="C2" t="str">
        <x:v>Jesús Arias Ochoa </x:v>
      </x:c>
      <x:c r="D2" t="str">
        <x:v>FRANCIA</x:v>
      </x:c>
      <x:c r="E2" t="str">
        <x:v>DENTRO DE LOS 90"</x:v>
      </x:c>
      <x:c r="F2" t="str">
        <x:v>2</x:v>
      </x:c>
      <x:c r="G2" t="str">
        <x:v>1</x:v>
      </x:c>
      <x:c r="H2" t="str">
        <x:v>INGLATERRA</x:v>
      </x:c>
      <x:c r="I2" t="str">
        <x:v>DENTRO DE LOS 90"</x:v>
      </x:c>
      <x:c r="J2" t="str">
        <x:v>2</x:v>
      </x:c>
      <x:c r="K2" t="str">
        <x:v>1</x:v>
      </x:c>
    </x:row>
    <x:row r="3" ht="15" hidden="0" customHeight="1">
      <x:c r="A3" t="str">
        <x:v>13/07/2026 10:30:29</x:v>
      </x:c>
      <x:c r="B3" t="str">
        <x:v>moises.zedano@gmail.com</x:v>
      </x:c>
      <x:c r="C3" t="str">
        <x:v>Moisés Zedano</x:v>
      </x:c>
      <x:c r="D3" t="str">
        <x:v>FRANCIA</x:v>
      </x:c>
      <x:c r="E3" t="str">
        <x:v>PENALES</x:v>
      </x:c>
      <x:c r="F3" t="str">
        <x:v>2</x:v>
      </x:c>
      <x:c r="G3" t="str">
        <x:v>1</x:v>
      </x:c>
      <x:c r="H3" t="str">
        <x:v>INGLATERRA</x:v>
      </x:c>
      <x:c r="I3" t="str">
        <x:v>PENALES</x:v>
      </x:c>
      <x:c r="J3" t="str">
        <x:v>2</x:v>
      </x:c>
      <x:c r="K3" t="str">
        <x:v>2</x:v>
      </x:c>
    </x:row>
    <x:row r="4" ht="15" hidden="0" customHeight="1">
      <x:c r="A4" t="str">
        <x:v>13/07/2026 10:33:41</x:v>
      </x:c>
      <x:c r="B4" t="str">
        <x:v>man.valverde.q@gmail.com</x:v>
      </x:c>
      <x:c r="C4" t="str">
        <x:v>MANU</x:v>
      </x:c>
      <x:c r="D4" t="str">
        <x:v>FRANCIA</x:v>
      </x:c>
      <x:c r="E4" t="str">
        <x:v>DENTRO DE LOS 90"</x:v>
      </x:c>
      <x:c r="F4" t="str">
        <x:v>2</x:v>
      </x:c>
      <x:c r="G4" t="str">
        <x:v>0</x:v>
      </x:c>
      <x:c r="H4" t="str">
        <x:v>INGLATERRA</x:v>
      </x:c>
      <x:c r="I4" t="str">
        <x:v>TIEMPO SUPLEMENTARIO</x:v>
      </x:c>
      <x:c r="J4" t="str">
        <x:v>3</x:v>
      </x:c>
      <x:c r="K4" t="str">
        <x:v>1</x:v>
      </x:c>
    </x:row>
    <x:row r="5" ht="15" hidden="0" customHeight="1">
      <x:c r="A5" t="str">
        <x:v>13/07/2026 10:37:10</x:v>
      </x:c>
      <x:c r="B5" t="str">
        <x:v>jeancayoperea@gmail.com</x:v>
      </x:c>
      <x:c r="C5" t="str">
        <x:v>Jean Cayo</x:v>
      </x:c>
      <x:c r="D5" t="str">
        <x:v>FRANCIA</x:v>
      </x:c>
      <x:c r="E5" t="str">
        <x:v>DENTRO DE LOS 90"</x:v>
      </x:c>
      <x:c r="F5" t="str">
        <x:v>2</x:v>
      </x:c>
      <x:c r="G5" t="str">
        <x:v>1</x:v>
      </x:c>
      <x:c r="H5" t="str">
        <x:v>ARGENTINA</x:v>
      </x:c>
      <x:c r="I5" t="str">
        <x:v>DENTRO DE LOS 90"</x:v>
      </x:c>
      <x:c r="J5" t="str">
        <x:v>1</x:v>
      </x:c>
      <x:c r="K5" t="str">
        <x:v>2</x:v>
      </x:c>
    </x:row>
    <x:row r="6" ht="15" hidden="0" customHeight="1">
      <x:c r="A6" t="str">
        <x:v>13/07/2026 10:45:31</x:v>
      </x:c>
      <x:c r="B6" t="str">
        <x:v>yfredp1980@gmail.com</x:v>
      </x:c>
      <x:c r="C6" t="str">
        <x:v>Freddy Pacheco</x:v>
      </x:c>
      <x:c r="D6" t="str">
        <x:v>FRANCIA</x:v>
      </x:c>
      <x:c r="E6" t="str">
        <x:v>DENTRO DE LOS 90"</x:v>
      </x:c>
      <x:c r="F6" t="str">
        <x:v>2</x:v>
      </x:c>
      <x:c r="G6" t="str">
        <x:v>1</x:v>
      </x:c>
      <x:c r="H6" t="str">
        <x:v>ARGENTINA</x:v>
      </x:c>
      <x:c r="I6" t="str">
        <x:v>TIEMPO SUPLEMENTARIO</x:v>
      </x:c>
      <x:c r="J6" t="str">
        <x:v>1</x:v>
      </x:c>
      <x:c r="K6" t="str">
        <x:v>2</x:v>
      </x:c>
    </x:row>
    <x:row r="7" ht="15" hidden="0" customHeight="1">
      <x:c r="A7" t="str">
        <x:v>13/07/2026 10:49:20</x:v>
      </x:c>
      <x:c r="B7" t="str">
        <x:v>aldoi.vargasz@pucp.edu.pe</x:v>
      </x:c>
      <x:c r="C7" t="str">
        <x:v>Aldo Isaac Vargas Zavaleta </x:v>
      </x:c>
      <x:c r="D7" t="str">
        <x:v>ESPAÑA</x:v>
      </x:c>
      <x:c r="E7" t="str">
        <x:v>TIEMPO SUPLEMENTARIO</x:v>
      </x:c>
      <x:c r="F7" t="str">
        <x:v>0</x:v>
      </x:c>
      <x:c r="G7" t="str">
        <x:v>1</x:v>
      </x:c>
      <x:c r="H7" t="str">
        <x:v>ARGENTINA</x:v>
      </x:c>
      <x:c r="I7" t="str">
        <x:v>TIEMPO SUPLEMENTARIO</x:v>
      </x:c>
      <x:c r="J7" t="str">
        <x:v>1</x:v>
      </x:c>
      <x:c r="K7" t="str">
        <x:v>2</x:v>
      </x:c>
    </x:row>
    <x:row r="8" ht="15" hidden="0" customHeight="1">
      <x:c r="A8" t="str">
        <x:v>13/07/2026 11:00:29</x:v>
      </x:c>
      <x:c r="B8" t="str">
        <x:v>gabrielaorrillo@gmail.com</x:v>
      </x:c>
      <x:c r="C8" t="str">
        <x:v>Gabriela Orrillo</x:v>
      </x:c>
      <x:c r="D8" t="str">
        <x:v>FRANCIA</x:v>
      </x:c>
      <x:c r="E8" t="str">
        <x:v>PENALES</x:v>
      </x:c>
      <x:c r="F8" t="str">
        <x:v>2</x:v>
      </x:c>
      <x:c r="G8" t="str">
        <x:v>2</x:v>
      </x:c>
      <x:c r="H8" t="str">
        <x:v>INGLATERRA</x:v>
      </x:c>
      <x:c r="I8" t="str">
        <x:v>TIEMPO SUPLEMENTARIO</x:v>
      </x:c>
      <x:c r="J8" t="str">
        <x:v>3</x:v>
      </x:c>
      <x:c r="K8" t="str">
        <x:v>2</x:v>
      </x:c>
    </x:row>
    <x:row r="9" ht="15" hidden="0" customHeight="1">
      <x:c r="A9" t="str">
        <x:v>13/07/2026 11:33:34</x:v>
      </x:c>
      <x:c r="B9" t="str">
        <x:v>jarc72@gmail.com</x:v>
      </x:c>
      <x:c r="C9" t="str">
        <x:v>Juan Ramirez</x:v>
      </x:c>
      <x:c r="D9" t="str">
        <x:v>ESPAÑA</x:v>
      </x:c>
      <x:c r="E9" t="str">
        <x:v>TIEMPO SUPLEMENTARIO</x:v>
      </x:c>
      <x:c r="F9" t="str">
        <x:v>1</x:v>
      </x:c>
      <x:c r="G9" t="str">
        <x:v>2</x:v>
      </x:c>
      <x:c r="H9" t="str">
        <x:v>ARGENTINA</x:v>
      </x:c>
      <x:c r="I9" t="str">
        <x:v>PENALES</x:v>
      </x:c>
      <x:c r="J9" t="str">
        <x:v>2</x:v>
      </x:c>
      <x:c r="K9" t="str">
        <x:v>2</x:v>
      </x:c>
    </x:row>
    <x:row r="10" ht="15" hidden="0" customHeight="1">
      <x:c r="A10" t="str">
        <x:v>13/07/2026 11:48:33</x:v>
      </x:c>
      <x:c r="B10" t="str">
        <x:v>montalvo7047@gmail.com</x:v>
      </x:c>
      <x:c r="C10" t="str">
        <x:v>Alex </x:v>
      </x:c>
      <x:c r="D10" t="str">
        <x:v>FRANCIA</x:v>
      </x:c>
      <x:c r="E10" t="str">
        <x:v>TIEMPO SUPLEMENTARIO</x:v>
      </x:c>
      <x:c r="F10" t="str">
        <x:v>3</x:v>
      </x:c>
      <x:c r="G10" t="str">
        <x:v>2</x:v>
      </x:c>
      <x:c r="H10" t="str">
        <x:v>ARGENTINA</x:v>
      </x:c>
      <x:c r="I10" t="str">
        <x:v>TIEMPO SUPLEMENTARIO</x:v>
      </x:c>
      <x:c r="J10" t="str">
        <x:v>2</x:v>
      </x:c>
      <x:c r="K10" t="str">
        <x:v>3</x:v>
      </x:c>
    </x:row>
    <x:row r="11" ht="15" hidden="0" customHeight="1">
      <x:c r="A11" t="str">
        <x:v>13/07/2026 12:09:32</x:v>
      </x:c>
      <x:c r="B11" t="str">
        <x:v>gino.diaz26@gmail.com</x:v>
      </x:c>
      <x:c r="C11" t="str">
        <x:v>Gino Diaz </x:v>
      </x:c>
      <x:c r="D11" t="str">
        <x:v>FRANCIA</x:v>
      </x:c>
      <x:c r="E11" t="str">
        <x:v>TIEMPO SUPLEMENTARIO</x:v>
      </x:c>
      <x:c r="F11" t="str">
        <x:v>3</x:v>
      </x:c>
      <x:c r="G11" t="str">
        <x:v>1</x:v>
      </x:c>
      <x:c r="H11" t="str">
        <x:v>INGLATERRA</x:v>
      </x:c>
      <x:c r="I11" t="str">
        <x:v>PENALES</x:v>
      </x:c>
      <x:c r="J11" t="str">
        <x:v>1</x:v>
      </x:c>
      <x:c r="K11" t="str">
        <x:v>1</x:v>
      </x:c>
    </x:row>
    <x:row r="12" ht="15" hidden="0" customHeight="1">
      <x:c r="A12" t="str">
        <x:v>13/07/2026 15:51:25</x:v>
      </x:c>
      <x:c r="B12" t="str">
        <x:v>diegosaloma@gmail.com</x:v>
      </x:c>
      <x:c r="C12" t="str">
        <x:v>Diego Saloma</x:v>
      </x:c>
      <x:c r="D12" t="str">
        <x:v>FRANCIA</x:v>
      </x:c>
      <x:c r="E12" t="str">
        <x:v>TIEMPO SUPLEMENTARIO</x:v>
      </x:c>
      <x:c r="F12" t="str">
        <x:v>2</x:v>
      </x:c>
      <x:c r="G12" t="str">
        <x:v>1</x:v>
      </x:c>
      <x:c r="H12" t="str">
        <x:v>ARGENTINA</x:v>
      </x:c>
      <x:c r="I12" t="str">
        <x:v>TIEMPO SUPLEMENTARIO</x:v>
      </x:c>
      <x:c r="J12" t="str">
        <x:v>1</x:v>
      </x:c>
      <x:c r="K12" t="str">
        <x:v>2</x:v>
      </x:c>
    </x:row>
    <x:row r="13" ht="15" hidden="0" customHeight="1">
      <x:c r="A13" t="str">
        <x:v>13/07/2026 17:21:49</x:v>
      </x:c>
      <x:c r="B13" t="str">
        <x:v>jsanina866@gmail.com</x:v>
      </x:c>
      <x:c r="C13" t="str">
        <x:v>Jorge santa marina </x:v>
      </x:c>
      <x:c r="D13" t="str">
        <x:v>ESPAÑA</x:v>
      </x:c>
      <x:c r="E13" t="str">
        <x:v>TIEMPO SUPLEMENTARIO</x:v>
      </x:c>
      <x:c r="F13" t="str">
        <x:v>2</x:v>
      </x:c>
      <x:c r="G13" t="str">
        <x:v>3</x:v>
      </x:c>
      <x:c r="H13" t="str">
        <x:v>ARGENTINA</x:v>
      </x:c>
      <x:c r="I13" t="str">
        <x:v>DENTRO DE LOS 90"</x:v>
      </x:c>
      <x:c r="J13" t="str">
        <x:v>1</x:v>
      </x:c>
      <x:c r="K13" t="str">
        <x:v>2</x:v>
      </x:c>
    </x:row>
    <x:row r="14" ht="15" hidden="0" customHeight="1">
      <x:c r="A14" t="str">
        <x:v>13/07/2026 20:32:18</x:v>
      </x:c>
      <x:c r="B14" t="str">
        <x:v>pachecoduenas.ae@gmail.com</x:v>
      </x:c>
      <x:c r="C14" t="str">
        <x:v>Anny Pacheco </x:v>
      </x:c>
      <x:c r="D14" t="str">
        <x:v>FRANCIA</x:v>
      </x:c>
      <x:c r="E14" t="str">
        <x:v>DENTRO DE LOS 90"</x:v>
      </x:c>
      <x:c r="F14" t="str">
        <x:v>3</x:v>
      </x:c>
      <x:c r="G14" t="str">
        <x:v>2</x:v>
      </x:c>
      <x:c r="H14" t="str">
        <x:v>ARGENTINA</x:v>
      </x:c>
      <x:c r="I14" t="str">
        <x:v>PENALES</x:v>
      </x:c>
      <x:c r="J14" t="str">
        <x:v>2</x:v>
      </x:c>
      <x:c r="K14" t="str">
        <x:v>2</x:v>
      </x:c>
    </x:row>
    <x:row r="15" ht="15" hidden="0" customHeight="1">
      <x:c r="A15" t="str">
        <x:v>14/07/2026 8:51:15</x:v>
      </x:c>
      <x:c r="B15" t="str">
        <x:v>oscar.saldanay@gmail.com</x:v>
      </x:c>
      <x:c r="C15" t="str">
        <x:v>Oscar Saldaña</x:v>
      </x:c>
      <x:c r="D15" t="str">
        <x:v>FRANCIA</x:v>
      </x:c>
      <x:c r="E15" t="str">
        <x:v>TIEMPO SUPLEMENTARIO</x:v>
      </x:c>
      <x:c r="F15" t="str">
        <x:v>2</x:v>
      </x:c>
      <x:c r="G15" t="str">
        <x:v>1</x:v>
      </x:c>
      <x:c r="H15" t="str">
        <x:v>ARGENTINA</x:v>
      </x:c>
      <x:c r="I15" t="str">
        <x:v>PENALES</x:v>
      </x:c>
      <x:c r="J15" t="str">
        <x:v>2</x:v>
      </x:c>
      <x:c r="K15" t="str">
        <x:v>2</x:v>
      </x:c>
    </x:row>
    <x:row r="16" ht="15" hidden="0" customHeight="1">
      <x:c r="A16" t="str">
        <x:v>14/07/2026 10:23:47</x:v>
      </x:c>
      <x:c r="B16" t="str">
        <x:v>fhuaripatae@gmail.com</x:v>
      </x:c>
      <x:c r="C16" t="str">
        <x:v>Fernando Huaripata</x:v>
      </x:c>
      <x:c r="D16" t="str">
        <x:v>FRANCIA</x:v>
      </x:c>
      <x:c r="E16" t="str">
        <x:v>DENTRO DE LOS 90"</x:v>
      </x:c>
      <x:c r="F16" t="str">
        <x:v>2</x:v>
      </x:c>
      <x:c r="G16" t="str">
        <x:v>1</x:v>
      </x:c>
      <x:c r="H16" t="str">
        <x:v>ARGENTINA</x:v>
      </x:c>
      <x:c r="I16" t="str">
        <x:v>TIEMPO SUPLEMENTARIO</x:v>
      </x:c>
      <x:c r="J16" t="str">
        <x:v>2</x:v>
      </x:c>
      <x:c r="K16" t="str">
        <x:v>3</x:v>
      </x:c>
    </x:row>
    <x:row r="17" ht="15" hidden="0" customHeight="1">
      <x:c r="A17" t="str">
        <x:v>14/07/2026 10:33:17</x:v>
      </x:c>
      <x:c r="B17" t="str">
        <x:v>aarthursalazar@gmail.com</x:v>
      </x:c>
      <x:c r="C17" t="str">
        <x:v>Arthur </x:v>
      </x:c>
      <x:c r="D17" t="str">
        <x:v>FRANCIA</x:v>
      </x:c>
      <x:c r="E17" t="str">
        <x:v>TIEMPO SUPLEMENTARIO</x:v>
      </x:c>
      <x:c r="F17" t="str">
        <x:v>3</x:v>
      </x:c>
      <x:c r="G17" t="str">
        <x:v>2</x:v>
      </x:c>
      <x:c r="H17" t="str">
        <x:v>INGLATERRA</x:v>
      </x:c>
      <x:c r="I17" t="str">
        <x:v>DENTRO DE LOS 90"</x:v>
      </x:c>
      <x:c r="J17" t="str">
        <x:v>2</x:v>
      </x:c>
      <x:c r="K17" t="str">
        <x:v>1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3799991607666" hidden="0" customWidth="1"/>
    <x:col min="2" max="2" width="28.8799991607666" hidden="0" customWidth="1"/>
    <x:col min="3" max="3" width="21" hidden="0" customWidth="1"/>
    <x:col min="4" max="4" width="9.380000114440918" hidden="0" customWidth="1"/>
    <x:col min="5" max="5" width="19.75" hidden="0" customWidth="1"/>
    <x:col min="6" max="6" width="16.25" hidden="0" customWidth="1"/>
    <x:col min="7" max="7" width="19.3799991607666" hidden="0" customWidth="1"/>
    <x:col min="8" max="8" width="9.880000114440918" hidden="0" customWidth="1"/>
    <x:col min="9" max="9" width="19.75" hidden="0" customWidth="1"/>
    <x:col min="10" max="10" width="18.5" hidden="0" customWidth="1"/>
    <x:col min="11" max="11" width="15.630000114440918" hidden="0" customWidth="1"/>
  </x:cols>
  <x:sheetData>
    <x:row r="1" ht="15" hidden="0" customHeight="1">
      <x:c r="A1" s="3" t="str">
        <x:v>Marca temporal</x:v>
      </x:c>
      <x:c r="B1" s="3" t="str">
        <x:v>Dirección de correo electrónico</x:v>
      </x:c>
      <x:c r="C1" s="3" t="str">
        <x:v>Nombres y Apellidos</x:v>
      </x:c>
      <x:c r="D1" s="3" t="str">
        <x:v>CAMPEÓN:</x:v>
      </x:c>
      <x:c r="E1" s="3" t="str">
        <x:v>Método:</x:v>
      </x:c>
      <x:c r="F1" s="3" t="str">
        <x:v>MARCADOR ESPAÑA</x:v>
      </x:c>
      <x:c r="G1" s="3" t="str">
        <x:v>MARCADOR ARGENTINA</x:v>
      </x:c>
      <x:c r="H1" s="3" t="str">
        <x:v>TERCERO:</x:v>
      </x:c>
      <x:c r="I1" s="3" t="str">
        <x:v>Método:</x:v>
      </x:c>
      <x:c r="J1" s="3" t="str">
        <x:v>Marcador INGLATERRA:</x:v>
      </x:c>
      <x:c r="K1" s="3" t="str">
        <x:v>Marcador FRANCIA:</x:v>
      </x:c>
    </x:row>
    <x:row r="2" ht="15" hidden="0" customHeight="1">
      <x:c r="A2" t="str">
        <x:v>17/07/2026 11:24:56</x:v>
      </x:c>
      <x:c r="B2" t="str">
        <x:v>yurinarias@hotmail.com</x:v>
      </x:c>
      <x:c r="C2" t="str">
        <x:v>Jesús Arias </x:v>
      </x:c>
      <x:c r="D2" t="str">
        <x:v>ESPAÑA</x:v>
      </x:c>
      <x:c r="E2" t="str">
        <x:v>DENTRO DE LOS 90"</x:v>
      </x:c>
      <x:c r="F2" t="str">
        <x:v>2</x:v>
      </x:c>
      <x:c r="G2" t="str">
        <x:v>1</x:v>
      </x:c>
      <x:c r="H2" t="str">
        <x:v>FRANCIA</x:v>
      </x:c>
      <x:c r="I2" t="str">
        <x:v>DENTRO DE LOS 90"</x:v>
      </x:c>
      <x:c r="J2" t="str">
        <x:v>2</x:v>
      </x:c>
      <x:c r="K2" t="str">
        <x:v>1</x:v>
      </x:c>
    </x:row>
    <x:row r="3" ht="15" hidden="0" customHeight="1">
      <x:c r="A3" t="str">
        <x:v>17/07/2026 11:25:24</x:v>
      </x:c>
      <x:c r="B3" t="str">
        <x:v>jeancayoperea@gmail.com</x:v>
      </x:c>
      <x:c r="C3" t="str">
        <x:v>Jean Cayo</x:v>
      </x:c>
      <x:c r="D3" t="str">
        <x:v>ARGENTINA</x:v>
      </x:c>
      <x:c r="E3" t="str">
        <x:v>DENTRO DE LOS 90"</x:v>
      </x:c>
      <x:c r="F3" t="str">
        <x:v>1</x:v>
      </x:c>
      <x:c r="G3" t="str">
        <x:v>2</x:v>
      </x:c>
      <x:c r="H3" t="str">
        <x:v>FRANCIA</x:v>
      </x:c>
      <x:c r="I3" t="str">
        <x:v>DENTRO DE LOS 90"</x:v>
      </x:c>
      <x:c r="J3" t="str">
        <x:v>1</x:v>
      </x:c>
      <x:c r="K3" t="str">
        <x:v>2</x:v>
      </x:c>
    </x:row>
    <x:row r="4" ht="15" hidden="0" customHeight="1">
      <x:c r="A4" t="str">
        <x:v>17/07/2026 11:26:37</x:v>
      </x:c>
      <x:c r="B4" t="str">
        <x:v>aldo.vargas@pmomajessiguas.com.pe</x:v>
      </x:c>
      <x:c r="C4" t="str">
        <x:v>Aldo Isaac Vargas Zavaleta </x:v>
      </x:c>
      <x:c r="D4" t="str">
        <x:v>ESPAÑA</x:v>
      </x:c>
      <x:c r="E4" t="str">
        <x:v>TIEMPO SUPLEMENTARIO</x:v>
      </x:c>
      <x:c r="F4" t="str">
        <x:v>2</x:v>
      </x:c>
      <x:c r="G4" t="str">
        <x:v>1</x:v>
      </x:c>
      <x:c r="H4" t="str">
        <x:v>INGLATERRA</x:v>
      </x:c>
      <x:c r="I4" t="str">
        <x:v>TIEMPO SUPLEMENTARIO</x:v>
      </x:c>
      <x:c r="J4" t="str">
        <x:v>2</x:v>
      </x:c>
      <x:c r="K4" t="str">
        <x:v>1</x:v>
      </x:c>
    </x:row>
    <x:row r="5" ht="15" hidden="0" customHeight="1">
      <x:c r="A5" t="str">
        <x:v>17/07/2026 11:41:03</x:v>
      </x:c>
      <x:c r="B5" t="str">
        <x:v>diegosaloma@gmail.com</x:v>
      </x:c>
      <x:c r="C5" t="str">
        <x:v>Diego Saloma</x:v>
      </x:c>
      <x:c r="D5" t="str">
        <x:v>ARGENTINA</x:v>
      </x:c>
      <x:c r="E5" t="str">
        <x:v>DENTRO DE LOS 90"</x:v>
      </x:c>
      <x:c r="F5" t="str">
        <x:v>1</x:v>
      </x:c>
      <x:c r="G5" t="str">
        <x:v>2</x:v>
      </x:c>
      <x:c r="H5" t="str">
        <x:v>FRANCIA</x:v>
      </x:c>
      <x:c r="I5" t="str">
        <x:v>DENTRO DE LOS 90"</x:v>
      </x:c>
      <x:c r="J5" t="str">
        <x:v>1</x:v>
      </x:c>
      <x:c r="K5" t="str">
        <x:v>3</x:v>
      </x:c>
    </x:row>
    <x:row r="6" ht="15" hidden="0" customHeight="1">
      <x:c r="A6" t="str">
        <x:v>17/07/2026 13:30:59</x:v>
      </x:c>
      <x:c r="B6" t="str">
        <x:v>gabrielaorrillo@gmail.com</x:v>
      </x:c>
      <x:c r="C6" t="str">
        <x:v>Gabriela Orrillo</x:v>
      </x:c>
      <x:c r="D6" t="str">
        <x:v>ESPAÑA</x:v>
      </x:c>
      <x:c r="E6" t="str">
        <x:v>TIEMPO SUPLEMENTARIO</x:v>
      </x:c>
      <x:c r="F6" t="str">
        <x:v>3</x:v>
      </x:c>
      <x:c r="G6" t="str">
        <x:v>1</x:v>
      </x:c>
      <x:c r="H6" t="str">
        <x:v>INGLATERRA</x:v>
      </x:c>
      <x:c r="I6" t="str">
        <x:v>DENTRO DE LOS 90"</x:v>
      </x:c>
      <x:c r="J6" t="str">
        <x:v>2</x:v>
      </x:c>
      <x:c r="K6" t="str">
        <x:v>1</x:v>
      </x:c>
    </x:row>
    <x:row r="7" ht="15" hidden="0" customHeight="1">
      <x:c r="A7" t="str">
        <x:v>17/07/2026 13:44:39</x:v>
      </x:c>
      <x:c r="B7" t="str">
        <x:v>aarthursalazar@gmail.com</x:v>
      </x:c>
      <x:c r="C7" t="str">
        <x:v>Arthur</x:v>
      </x:c>
      <x:c r="D7" t="str">
        <x:v>ESPAÑA</x:v>
      </x:c>
      <x:c r="E7" t="str">
        <x:v>TIEMPO SUPLEMENTARIO</x:v>
      </x:c>
      <x:c r="F7" t="str">
        <x:v>3</x:v>
      </x:c>
      <x:c r="G7" t="str">
        <x:v>2</x:v>
      </x:c>
      <x:c r="H7" t="str">
        <x:v>FRANCIA</x:v>
      </x:c>
      <x:c r="I7" t="str">
        <x:v>DENTRO DE LOS 90"</x:v>
      </x:c>
      <x:c r="J7" t="str">
        <x:v>1</x:v>
      </x:c>
      <x:c r="K7" t="str">
        <x:v>2</x:v>
      </x:c>
    </x:row>
    <x:row r="8" ht="15" hidden="0" customHeight="1">
      <x:c r="A8" t="str">
        <x:v>17/07/2026 13:45:22</x:v>
      </x:c>
      <x:c r="B8" t="str">
        <x:v>fhuaripatae@gmail.com</x:v>
      </x:c>
      <x:c r="C8" t="str">
        <x:v>Fernando Huaripata</x:v>
      </x:c>
      <x:c r="D8" t="str">
        <x:v>ARGENTINA</x:v>
      </x:c>
      <x:c r="E8" t="str">
        <x:v>TIEMPO SUPLEMENTARIO</x:v>
      </x:c>
      <x:c r="F8" t="str">
        <x:v>1</x:v>
      </x:c>
      <x:c r="G8" t="str">
        <x:v>2</x:v>
      </x:c>
      <x:c r="H8" t="str">
        <x:v>INGLATERRA</x:v>
      </x:c>
      <x:c r="I8" t="str">
        <x:v>DENTRO DE LOS 90"</x:v>
      </x:c>
      <x:c r="J8" t="str">
        <x:v>1</x:v>
      </x:c>
      <x:c r="K8" t="str">
        <x:v>3</x:v>
      </x:c>
    </x:row>
    <x:row r="9" ht="15" hidden="0" customHeight="1">
      <x:c r="A9" t="str">
        <x:v>17/07/2026 13:47:19</x:v>
      </x:c>
      <x:c r="B9" t="str">
        <x:v>jsanina866@gmail.com</x:v>
      </x:c>
      <x:c r="C9" t="str">
        <x:v>Jorge  Santa Marina Iglesias</x:v>
      </x:c>
      <x:c r="D9" t="str">
        <x:v>ESPAÑA</x:v>
      </x:c>
      <x:c r="E9" t="str">
        <x:v>DENTRO DE LOS 90"</x:v>
      </x:c>
      <x:c r="F9" t="str">
        <x:v>3</x:v>
      </x:c>
      <x:c r="G9" t="str">
        <x:v>1</x:v>
      </x:c>
      <x:c r="H9" t="str">
        <x:v>FRANCIA</x:v>
      </x:c>
      <x:c r="I9" t="str">
        <x:v>DENTRO DE LOS 90"</x:v>
      </x:c>
      <x:c r="J9" t="str">
        <x:v>2</x:v>
      </x:c>
      <x:c r="K9" t="str">
        <x:v>4</x:v>
      </x:c>
    </x:row>
    <x:row r="10" ht="15" hidden="0" customHeight="1">
      <x:c r="A10" t="str">
        <x:v>17/07/2026 16:08:19</x:v>
      </x:c>
      <x:c r="B10" t="str">
        <x:v>oscar.saldanay@gmail.com</x:v>
      </x:c>
      <x:c r="C10" t="str">
        <x:v>Oscar Saldaña</x:v>
      </x:c>
      <x:c r="D10" t="str">
        <x:v>ARGENTINA</x:v>
      </x:c>
      <x:c r="E10" t="str">
        <x:v>DENTRO DE LOS 90"</x:v>
      </x:c>
      <x:c r="F10" t="str">
        <x:v>1</x:v>
      </x:c>
      <x:c r="G10" t="str">
        <x:v>2</x:v>
      </x:c>
      <x:c r="H10" t="str">
        <x:v>FRANCIA</x:v>
      </x:c>
      <x:c r="I10" t="str">
        <x:v>DENTRO DE LOS 90"</x:v>
      </x:c>
      <x:c r="J10" t="str">
        <x:v>1</x:v>
      </x:c>
      <x:c r="K10" t="str">
        <x:v>2</x:v>
      </x:c>
    </x:row>
    <x:row r="11" ht="15" hidden="0" customHeight="1">
      <x:c r="A11" t="str">
        <x:v>17/07/2026 21:02:44</x:v>
      </x:c>
      <x:c r="B11" t="str">
        <x:v>montalvo7047@gmail.com</x:v>
      </x:c>
      <x:c r="C11" t="str">
        <x:v>Alex </x:v>
      </x:c>
      <x:c r="D11" t="str">
        <x:v>ARGENTINA</x:v>
      </x:c>
      <x:c r="E11" t="str">
        <x:v>TIEMPO SUPLEMENTARIO</x:v>
      </x:c>
      <x:c r="F11" t="str">
        <x:v>2</x:v>
      </x:c>
      <x:c r="G11" t="str">
        <x:v>3</x:v>
      </x:c>
      <x:c r="H11" t="str">
        <x:v>INGLATERRA</x:v>
      </x:c>
      <x:c r="I11" t="str">
        <x:v>DENTRO DE LOS 90"</x:v>
      </x:c>
      <x:c r="J11" t="str">
        <x:v>3</x:v>
      </x:c>
      <x:c r="K11" t="str">
        <x:v>1</x:v>
      </x:c>
    </x:row>
    <x:row r="12" ht="15" hidden="0" customHeight="1">
      <x:c r="A12" t="str">
        <x:v>18/07/2026 9:30:18</x:v>
      </x:c>
      <x:c r="B12" t="str">
        <x:v>yfredp1980@gmail.com</x:v>
      </x:c>
      <x:c r="C12" t="str">
        <x:v>Freddy Pacheco</x:v>
      </x:c>
      <x:c r="D12" t="str">
        <x:v>ARGENTINA</x:v>
      </x:c>
      <x:c r="E12" t="str">
        <x:v>DENTRO DE LOS 90"</x:v>
      </x:c>
      <x:c r="F12" t="str">
        <x:v>2</x:v>
      </x:c>
      <x:c r="G12" t="str">
        <x:v>3</x:v>
      </x:c>
      <x:c r="H12" t="str">
        <x:v>FRANCIA</x:v>
      </x:c>
      <x:c r="I12" t="str">
        <x:v>DENTRO DE LOS 90"</x:v>
      </x:c>
      <x:c r="J12" t="str">
        <x:v>1</x:v>
      </x:c>
      <x:c r="K12" t="str">
        <x:v>2</x:v>
      </x:c>
    </x:row>
    <x:row r="13" ht="15" hidden="0" customHeight="1">
      <x:c r="A13" t="str">
        <x:v>18/07/2026 10:42:07</x:v>
      </x:c>
      <x:c r="B13" t="str">
        <x:v>jarc72@gmail.com</x:v>
      </x:c>
      <x:c r="C13" t="str">
        <x:v>Juan Ramírez</x:v>
      </x:c>
      <x:c r="D13" t="str">
        <x:v>ARGENTINA</x:v>
      </x:c>
      <x:c r="E13" t="str">
        <x:v>DENTRO DE LOS 90"</x:v>
      </x:c>
      <x:c r="F13" t="str">
        <x:v>1</x:v>
      </x:c>
      <x:c r="G13" t="str">
        <x:v>2</x:v>
      </x:c>
      <x:c r="H13" t="str">
        <x:v>FRANCIA</x:v>
      </x:c>
      <x:c r="I13" t="str">
        <x:v>DENTRO DE LOS 90"</x:v>
      </x:c>
      <x:c r="J13" t="str">
        <x:v>2</x:v>
      </x:c>
      <x:c r="K13" t="str">
        <x:v>3</x:v>
      </x:c>
    </x:row>
    <x:row r="14" ht="15" hidden="0" customHeight="1">
      <x:c r="A14" t="str">
        <x:v>18/07/2026 14:39:18</x:v>
      </x:c>
      <x:c r="B14" t="str">
        <x:v>pachecoduenas.ae@gmail.com</x:v>
      </x:c>
      <x:c r="C14" t="str">
        <x:v>Anny pacheco</x:v>
      </x:c>
      <x:c r="D14" t="str">
        <x:v>ARGENTINA</x:v>
      </x:c>
      <x:c r="E14" t="str">
        <x:v>DENTRO DE LOS 90"</x:v>
      </x:c>
      <x:c r="F14" t="str">
        <x:v>1</x:v>
      </x:c>
      <x:c r="G14" t="str">
        <x:v>3</x:v>
      </x:c>
      <x:c r="H14" t="str">
        <x:v>INGLATERRA</x:v>
      </x:c>
      <x:c r="I14" t="str">
        <x:v>DENTRO DE LOS 90"</x:v>
      </x:c>
      <x:c r="J14" t="str">
        <x:v>2</x:v>
      </x:c>
      <x:c r="K14" t="str">
        <x:v>1</x:v>
      </x:c>
    </x:row>
    <x:row r="15" ht="15" hidden="0" customHeight="1">
      <x:c r="A15" t="str">
        <x:v>18/07/2026 15:54:06</x:v>
      </x:c>
      <x:c r="B15" t="str">
        <x:v>gino.diaz26@gmail.com</x:v>
      </x:c>
      <x:c r="C15" t="str">
        <x:v>Gino Diaz </x:v>
      </x:c>
      <x:c r="D15" t="str">
        <x:v>ARGENTINA</x:v>
      </x:c>
      <x:c r="E15" t="str">
        <x:v>DENTRO DE LOS 90"</x:v>
      </x:c>
      <x:c r="F15" t="str">
        <x:v>1</x:v>
      </x:c>
      <x:c r="G15" t="str">
        <x:v>2</x:v>
      </x:c>
      <x:c r="H15" t="str">
        <x:v>FRANCIA</x:v>
      </x:c>
      <x:c r="I15" t="str">
        <x:v>DENTRO DE LOS 90"</x:v>
      </x:c>
      <x:c r="J15" t="str">
        <x:v>1</x:v>
      </x:c>
      <x:c r="K15" t="str">
        <x:v>3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3799991607666" hidden="0" customWidth="1"/>
    <x:col min="2" max="2" width="39.380001068115234" hidden="0" customWidth="1"/>
    <x:col min="3" max="3" width="76.5" hidden="0" customWidth="1"/>
  </x:cols>
  <x:sheetData>
    <x:row r="1" ht="15" hidden="0" customHeight="1">
      <x:c r="A1" s="3" t="str">
        <x:v>Fuente</x:v>
      </x:c>
      <x:c r="B1" s="3" t="str">
        <x:v>Contenido</x:v>
      </x:c>
      <x:c r="C1" s="3" t="str">
        <x:v>Enlace/archivo</x:v>
      </x:c>
    </x:row>
    <x:row r="2" ht="15" hidden="0" customHeight="1">
      <x:c r="A2" t="str">
        <x:v>Tabla original 8vos</x:v>
      </x:c>
      <x:c r="B2" t="str">
        <x:v>Subtotal oficial de 8vos usado en tabla</x:v>
      </x:c>
      <x:c r="C2" t="str">
        <x:v>docs/data/octavos_acumulado.csv</x:v>
      </x:c>
    </x:row>
    <x:row r="3" ht="15" hidden="0" customHeight="1">
      <x:c r="A3" t="str">
        <x:v>Detalle 8vos publicado</x:v>
      </x:c>
      <x:c r="B3" t="str">
        <x:v>Apuestas y puntos por partido disponibles para 8vos</x:v>
      </x:c>
      <x:c r="C3" t="str">
        <x:v>docs/data/octavos_detalle.json</x:v>
      </x:c>
    </x:row>
    <x:row r="4" ht="15" hidden="0" customHeight="1">
      <x:c r="A4" t="str">
        <x:v>Formulario 8vos</x:v>
      </x:c>
      <x:c r="B4" t="str">
        <x:v>Respuestas originales de octavos</x:v>
      </x:c>
      <x:c r="C4" t="str">
        <x:v>https://docs.google.com/spreadsheets/d/1FYe_ebH8jMmGYZ6ykejaJvldHKYFCl7JZMSJib423G0/edit</x:v>
      </x:c>
    </x:row>
    <x:row r="5" ht="15" hidden="0" customHeight="1">
      <x:c r="A5" t="str">
        <x:v>Formulario 4tos</x:v>
      </x:c>
      <x:c r="B5" t="str">
        <x:v>Respuestas originales de cuartos</x:v>
      </x:c>
      <x:c r="C5" t="str">
        <x:v>https://docs.google.com/spreadsheets/d/1OkowhSrhW751BF8ioQmtRRJjmgXetYr3IDL8LUzbocg/edit</x:v>
      </x:c>
    </x:row>
    <x:row r="6" ht="15" hidden="0" customHeight="1">
      <x:c r="A6" t="str">
        <x:v>Formulario semifinal</x:v>
      </x:c>
      <x:c r="B6" t="str">
        <x:v>Respuestas originales de semifinal</x:v>
      </x:c>
      <x:c r="C6" t="str">
        <x:v>https://docs.google.com/spreadsheets/d/1HtTTk8JwGKw8KqGIA10DHtXgPNUcxXEepmrIYtGIPSQ/edit</x:v>
      </x:c>
    </x:row>
    <x:row r="7" ht="15" hidden="0" customHeight="1">
      <x:c r="A7" t="str">
        <x:v>Formulario final</x:v>
      </x:c>
      <x:c r="B7" t="str">
        <x:v>Respuestas originales de tercer puesto/final</x:v>
      </x:c>
      <x:c r="C7" t="str">
        <x:v>https://docs.google.com/spreadsheets/d/1KBz49QeUbgGDkSCgKQTwgbaiIVZ8Rxc638dKsCQx_Wc/edit</x:v>
      </x:c>
    </x:row>
  </x:sheetData>
  <x:pageMargins left="0.7" right="0.7" top="0.75" bottom="0.75" header="0.3" footer="0.3"/>
</x:worksheet>
</file>